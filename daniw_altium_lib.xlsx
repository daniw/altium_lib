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D90312FF-8031-4447-B0FA-35E5ABCE9B08}" xr6:coauthVersionLast="47" xr6:coauthVersionMax="47" xr10:uidLastSave="{00000000-0000-0000-0000-000000000000}"/>
  <bookViews>
    <workbookView xWindow="-120" yWindow="-120" windowWidth="38640" windowHeight="21120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2" l="1"/>
  <c r="G18" i="12"/>
  <c r="G16" i="12"/>
  <c r="G15" i="12"/>
  <c r="G14" i="12"/>
  <c r="G9" i="12"/>
  <c r="G10" i="12"/>
  <c r="G11" i="12"/>
  <c r="G12" i="12"/>
  <c r="G13" i="12"/>
  <c r="G275" i="8"/>
  <c r="G2048" i="7"/>
  <c r="G2047" i="7"/>
  <c r="G272" i="8"/>
  <c r="G271" i="8"/>
  <c r="G273" i="8"/>
  <c r="G274" i="8"/>
  <c r="G270" i="8"/>
  <c r="G269" i="8"/>
  <c r="G268" i="8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<sst xmlns="http://schemas.openxmlformats.org/spreadsheetml/2006/main" count="66005" uniqueCount="18918">
  <si>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</si>
  <si>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</si>
  <si>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</si>
  <si>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</si>
  <si>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</si>
  <si>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</si>
  <si>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</si>
  <si>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</si>
  <si>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</si>
  <si>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</si>
  <si>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</si>
  <si>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</si>
  <si>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</si>
  <si>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</si>
  <si>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</si>
  <si>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</si>
  <si>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</si>
  <si>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</si>
  <si>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</si>
  <si>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</si>
  <si>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</si>
  <si>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</si>
  <si>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</si>
  <si>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</si>
  <si>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</si>
  <si>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</si>
  <si>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</si>
  <si>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</si>
  <si>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</si>
  <si>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</si>
  <si>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</si>
  <si>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</si>
  <si>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</si>
  <si>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</si>
  <si>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</si>
  <si>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</si>
  <si>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</si>
  <si>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</si>
  <si>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</si>
  <si>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</si>
  <si>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</si>
  <si>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</si>
  <si>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</si>
  <si>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</si>
  <si>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</si>
  <si>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</si>
  <si>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</si>
  <si>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</si>
  <si>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</si>
  <si>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</si>
  <si>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</si>
  <si>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</si>
  <si>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</si>
  <si>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</si>
  <si>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</si>
  <si>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</si>
  <si>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</si>
  <si>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</si>
  <si>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</si>
  <si>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</si>
  <si>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</si>
  <si>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</si>
  <si>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</si>
  <si>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</si>
  <si>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</si>
  <si>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</si>
  <si>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</si>
  <si>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</si>
  <si>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</si>
  <si>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</si>
  <si>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</si>
  <si>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</si>
  <si>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</si>
  <si>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</si>
  <si>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</si>
  <si>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</si>
  <si>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</si>
  <si>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</si>
  <si>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</si>
  <si>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</si>
  <si>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</si>
  <si>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</si>
  <si>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</si>
  <si>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</si>
  <si>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</si>
  <si>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</si>
  <si>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</si>
  <si>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</si>
  <si>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</si>
  <si>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</si>
  <si>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</si>
  <si>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</si>
  <si>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</si>
  <si>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</si>
  <si>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</si>
  <si>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</si>
  <si>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</si>
  <si>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</si>
  <si>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</si>
  <si>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</si>
  <si>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</si>
  <si>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</si>
  <si>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</si>
  <si>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</si>
  <si>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</si>
  <si>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</si>
  <si>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</si>
  <si>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</si>
  <si>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</si>
  <si>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</si>
  <si>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</si>
  <si>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</si>
  <si>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</si>
  <si>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</si>
  <si>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</si>
  <si>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</si>
  <si>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</si>
  <si>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</si>
  <si>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</si>
  <si>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</si>
  <si>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</si>
  <si>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</si>
  <si>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</si>
  <si>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</si>
  <si>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</si>
  <si>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</si>
  <si>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</si>
  <si>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</si>
  <si>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</si>
  <si>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</si>
  <si>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</si>
  <si>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</si>
  <si>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</si>
  <si>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</si>
  <si>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</si>
  <si>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</si>
  <si>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</si>
  <si>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</si>
  <si>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</si>
  <si>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</si>
  <si>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</si>
  <si>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</si>
  <si>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</si>
  <si>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</si>
  <si>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</si>
  <si>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</si>
  <si>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</si>
  <si>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</si>
  <si>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</si>
  <si>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</si>
  <si>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</si>
  <si>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</si>
  <si>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</si>
  <si>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</si>
  <si>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</si>
  <si>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</si>
  <si>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</si>
  <si>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</si>
  <si>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</si>
  <si>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</si>
  <si>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</si>
  <si>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</si>
  <si>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</si>
  <si>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</si>
  <si>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</si>
  <si>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</si>
  <si>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</si>
  <si>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</si>
  <si>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</si>
  <si>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</si>
  <si>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</si>
  <si>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</si>
  <si>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</si>
  <si>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</si>
  <si>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</si>
  <si>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</si>
  <si>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</si>
  <si>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</si>
  <si>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</si>
  <si>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</si>
  <si>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</si>
  <si>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</si>
  <si>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</si>
  <si>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</si>
  <si>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</si>
  <si>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</si>
  <si>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</si>
  <si>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</si>
  <si>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</si>
  <si>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</si>
  <si>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</si>
  <si>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</si>
  <si>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</si>
  <si>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</si>
  <si>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</si>
  <si>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</si>
  <si>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</si>
  <si>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</si>
  <si>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</si>
  <si>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</si>
  <si>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</si>
  <si>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</si>
  <si>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</si>
  <si>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</si>
  <si>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</si>
  <si>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</si>
  <si>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</si>
  <si>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</si>
  <si>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</si>
  <si>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</si>
  <si>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</si>
  <si>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</si>
  <si>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</si>
  <si>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</si>
  <si>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</si>
  <si>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</si>
  <si>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</si>
  <si>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</si>
  <si>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</si>
  <si>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</si>
  <si>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</si>
  <si>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</si>
  <si>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</si>
  <si>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</si>
  <si>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</si>
  <si>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</si>
  <si>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</si>
  <si>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</si>
  <si>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</si>
  <si>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</si>
  <si>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</si>
  <si>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</si>
  <si>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</si>
  <si>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</si>
  <si>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</si>
  <si>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</si>
  <si>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</si>
  <si>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</si>
  <si>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</si>
  <si>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</si>
  <si>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</si>
  <si>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</si>
  <si>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</si>
  <si>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</si>
  <si>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</si>
  <si>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</si>
  <si>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</si>
  <si>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</si>
  <si>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</si>
  <si>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</si>
  <si>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</si>
  <si>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</si>
  <si>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</si>
  <si>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</si>
  <si>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</si>
  <si>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</si>
  <si>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</si>
  <si>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</si>
  <si>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</si>
  <si>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</si>
  <si>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</si>
  <si>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</si>
  <si>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</si>
  <si>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</si>
  <si>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</si>
  <si>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</si>
  <si>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</si>
  <si>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</si>
  <si>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</si>
  <si>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</si>
  <si>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</si>
  <si>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</si>
  <si>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</si>
  <si>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</si>
  <si>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</si>
  <si>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</si>
  <si>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</si>
  <si>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</si>
  <si>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</si>
  <si>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</si>
  <si>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</si>
  <si>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</si>
  <si>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</si>
  <si>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</si>
  <si>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</si>
  <si>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</si>
  <si>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</si>
  <si>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</si>
  <si>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</si>
  <si>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</si>
  <si>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</si>
  <si>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</si>
  <si>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</si>
  <si>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</si>
  <si>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</si>
  <si>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</si>
  <si>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</si>
  <si>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</si>
  <si>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</si>
  <si>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</si>
  <si>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</si>
  <si>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</si>
  <si>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</si>
  <si>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</si>
  <si>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</si>
  <si>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</si>
  <si>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</si>
  <si>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</si>
  <si>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</si>
  <si>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</si>
  <si>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</si>
  <si>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</si>
  <si>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</si>
  <si>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</si>
  <si>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</si>
  <si>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</si>
  <si>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</si>
  <si>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</si>
  <si>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</si>
  <si>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</si>
  <si>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</si>
  <si>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</si>
  <si>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</si>
  <si>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</si>
  <si>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</si>
  <si>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</si>
  <si>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</si>
  <si>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</si>
  <si>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</si>
  <si>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</si>
  <si>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</si>
  <si>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</si>
  <si>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</si>
  <si>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</si>
  <si>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</si>
  <si>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</si>
  <si>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</si>
  <si>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</si>
  <si>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</si>
  <si>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</si>
  <si>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</si>
  <si>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</si>
  <si>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</si>
  <si>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</si>
  <si>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</si>
  <si>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</si>
  <si>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</si>
  <si>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</si>
  <si>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</si>
  <si>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</si>
  <si>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</si>
  <si>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</si>
  <si>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</si>
  <si>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</si>
  <si>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</si>
  <si>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</si>
  <si>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</si>
  <si>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</si>
  <si>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</si>
  <si>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</si>
  <si>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</si>
  <si>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</si>
  <si>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</si>
  <si>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</si>
  <si>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</si>
  <si>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</si>
  <si>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</si>
  <si>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</si>
  <si>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</si>
  <si>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</si>
  <si>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</si>
  <si>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</si>
  <si>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</si>
  <si>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</si>
  <si>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</si>
  <si>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</si>
  <si>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</si>
  <si>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</si>
  <si>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</si>
  <si>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</si>
  <si>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</si>
  <si>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</si>
  <si>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</si>
  <si>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</si>
  <si>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</si>
  <si>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</si>
  <si>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</si>
  <si>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</si>
  <si>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</si>
  <si>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</si>
  <si>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</si>
  <si>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</si>
  <si>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</si>
  <si>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</si>
  <si>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</si>
  <si>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</si>
  <si>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</si>
  <si>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</si>
  <si>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</si>
  <si>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</si>
  <si>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</si>
  <si>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</si>
  <si>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</si>
  <si>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</si>
  <si>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</si>
  <si>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</si>
  <si>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</si>
  <si>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</si>
  <si>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</si>
  <si>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</si>
  <si>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</si>
  <si>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</si>
  <si>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</si>
  <si>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</si>
  <si>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</si>
  <si>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</si>
  <si>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</si>
  <si>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</si>
  <si>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</si>
  <si>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</si>
  <si>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</si>
  <si>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</si>
  <si>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</si>
  <si>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</si>
  <si>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</si>
  <si>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</si>
  <si>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</si>
  <si>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</si>
  <si>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</si>
  <si>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</si>
  <si>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</si>
  <si>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</si>
  <si>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</si>
  <si>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</si>
  <si>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</si>
  <si>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</si>
  <si>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</si>
  <si>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</si>
  <si>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</si>
  <si>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</si>
  <si>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</si>
  <si>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</si>
  <si>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</si>
  <si>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</si>
  <si>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</si>
  <si>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</si>
  <si>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</si>
  <si>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</si>
  <si>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</si>
  <si>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</si>
  <si>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</si>
  <si>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</si>
  <si>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</si>
  <si>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</si>
  <si>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</si>
  <si>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</si>
  <si>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</si>
  <si>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</si>
  <si>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</si>
  <si>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</si>
  <si>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</si>
  <si>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</si>
  <si>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</si>
  <si>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</si>
  <si>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</si>
  <si>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</si>
  <si>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</si>
  <si>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</si>
  <si>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</si>
  <si>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</si>
  <si>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</si>
  <si>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</si>
  <si>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</si>
  <si>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</si>
  <si>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</si>
  <si>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</si>
  <si>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</si>
  <si>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</si>
  <si>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</si>
  <si>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</si>
  <si>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</si>
  <si>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</si>
  <si>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</si>
  <si>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</si>
  <si>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</si>
  <si>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</si>
  <si>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</si>
  <si>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</si>
  <si>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</si>
  <si>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</si>
  <si>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</si>
  <si>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</si>
  <si>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</si>
  <si>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</si>
  <si>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</si>
  <si>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</si>
  <si>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</si>
  <si>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</si>
  <si>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</si>
  <si>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</si>
  <si>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</si>
  <si>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</si>
  <si>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</si>
  <si>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</si>
  <si>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</si>
  <si>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</si>
  <si>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</si>
  <si>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</si>
  <si>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</si>
  <si>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</si>
  <si>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</si>
  <si>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</si>
  <si>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</si>
  <si>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</si>
  <si>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</si>
  <si>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</si>
  <si>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</si>
  <si>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</si>
  <si>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</si>
  <si>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</si>
  <si>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</si>
  <si>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</si>
  <si>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</si>
  <si>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</si>
  <si>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</si>
  <si>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</si>
  <si>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</si>
  <si>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</si>
  <si>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</si>
  <si>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</si>
  <si>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</si>
  <si>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</si>
  <si>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</si>
  <si>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</si>
  <si>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</si>
  <si>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</si>
  <si>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</si>
  <si>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</si>
  <si>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</si>
  <si>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</si>
  <si>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</si>
  <si>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</si>
  <si>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</si>
  <si>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</si>
  <si>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</si>
  <si>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</si>
  <si>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</si>
  <si>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</si>
  <si>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</si>
  <si>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</si>
  <si>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</si>
  <si>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</si>
  <si>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</si>
  <si>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</si>
  <si>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</si>
  <si>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</si>
  <si>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</si>
  <si>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</si>
  <si>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</si>
  <si>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</si>
  <si>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</si>
  <si>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</si>
  <si>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</si>
  <si>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</si>
  <si>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</si>
  <si>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</si>
  <si>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</si>
  <si>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</si>
  <si>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</si>
  <si>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</si>
  <si>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</si>
  <si>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</si>
  <si>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</si>
  <si>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</si>
  <si>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</si>
  <si>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</si>
  <si>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</si>
  <si>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</si>
  <si>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</si>
  <si>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</si>
  <si>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</si>
  <si>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</si>
  <si>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</si>
  <si>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</si>
  <si>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</si>
  <si>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</si>
  <si>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</si>
  <si>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</si>
  <si>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</si>
  <si>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</si>
  <si>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</si>
  <si>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</si>
  <si>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</si>
  <si>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</si>
  <si>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</si>
  <si>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</si>
  <si>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</si>
  <si>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</si>
  <si>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</si>
  <si>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</si>
  <si>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</si>
  <si>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</si>
  <si>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</si>
  <si>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</si>
  <si>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</si>
  <si>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</si>
  <si>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</si>
  <si>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</si>
  <si>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</si>
  <si>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</si>
  <si>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</si>
  <si>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</si>
  <si>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</si>
  <si>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</si>
  <si>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</si>
  <si>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</si>
  <si>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</si>
  <si>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</si>
  <si>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</si>
  <si>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</si>
  <si>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</si>
  <si>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</si>
  <si>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</si>
  <si>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</si>
  <si>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</si>
  <si>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</si>
  <si>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</si>
  <si>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</si>
  <si>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</si>
  <si>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</si>
  <si>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</si>
  <si>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</si>
  <si>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</si>
  <si>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</si>
  <si>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</si>
  <si>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</si>
  <si>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</si>
  <si>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</si>
  <si>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</si>
  <si>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</si>
  <si>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</si>
  <si>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</si>
  <si>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</si>
  <si>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</si>
  <si>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</si>
  <si>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</si>
  <si>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</si>
  <si>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</si>
  <si>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</si>
  <si>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</si>
  <si>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</si>
  <si>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</si>
  <si>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</si>
  <si>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</si>
  <si>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</si>
  <si>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</si>
  <si>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</si>
  <si>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</si>
  <si>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</si>
  <si>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</si>
  <si>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</si>
  <si>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</si>
  <si>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</si>
  <si>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</si>
  <si>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</si>
  <si>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</si>
  <si>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</si>
  <si>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</si>
  <si>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</si>
  <si>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</si>
  <si>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</si>
  <si>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</si>
  <si>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</si>
  <si>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</si>
  <si>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</si>
  <si>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</si>
  <si>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</si>
  <si>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</si>
  <si>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</si>
  <si>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</si>
  <si>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</si>
  <si>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</si>
  <si>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</si>
  <si>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</si>
  <si>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</si>
  <si>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</si>
  <si>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</si>
  <si>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</si>
  <si>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</si>
  <si>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</si>
  <si>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</si>
  <si>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</si>
  <si>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</si>
  <si>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</si>
  <si>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</si>
  <si>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</si>
  <si>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</si>
  <si>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</si>
  <si>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</si>
  <si>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</si>
  <si>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</si>
  <si>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</si>
  <si>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</si>
  <si>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</si>
  <si>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</si>
  <si>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</si>
  <si>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</si>
  <si>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</si>
  <si>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</si>
  <si>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</si>
  <si>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</si>
  <si>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</si>
  <si>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</si>
  <si>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</si>
  <si>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</si>
  <si>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</si>
  <si>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</si>
  <si>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</si>
  <si>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</si>
  <si>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</si>
  <si>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</si>
  <si>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</si>
  <si>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</si>
  <si>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</si>
  <si>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</si>
  <si>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</si>
  <si>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</si>
  <si>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</si>
  <si>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</si>
  <si>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</si>
  <si>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</si>
  <si>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</si>
  <si>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</si>
  <si>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</si>
  <si>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</si>
  <si>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</si>
  <si>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</si>
  <si>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</si>
  <si>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</si>
  <si>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</si>
  <si>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</si>
  <si>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</si>
  <si>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</si>
  <si>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</si>
  <si>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</si>
  <si>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</si>
  <si>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</si>
  <si>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</si>
  <si>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</si>
  <si>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</si>
  <si>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</si>
  <si>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</si>
  <si>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</si>
  <si>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</si>
  <si>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</si>
  <si>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</si>
  <si>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</si>
  <si>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</si>
  <si>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</si>
  <si>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</si>
  <si>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</si>
  <si>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</si>
  <si>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</si>
  <si>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</si>
  <si>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</si>
  <si>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</si>
  <si>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</si>
  <si>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</si>
  <si>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</si>
  <si>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</si>
  <si>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</si>
  <si>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</si>
  <si>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</si>
  <si>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</si>
  <si>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</si>
  <si>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</si>
  <si>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</si>
  <si>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</si>
  <si>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</si>
  <si>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</si>
  <si>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</si>
  <si>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</si>
  <si>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</si>
  <si>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</si>
  <si>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</si>
  <si>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</si>
  <si>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</si>
  <si>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</si>
  <si>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</si>
  <si>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</si>
  <si>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</si>
  <si>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</si>
  <si>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</si>
  <si>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</si>
  <si>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</si>
  <si>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</si>
  <si>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</si>
  <si>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</si>
  <si>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</si>
  <si>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</si>
  <si>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</si>
  <si>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</si>
  <si>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</si>
  <si>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</si>
  <si>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</si>
  <si>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</si>
  <si>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</si>
  <si>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</si>
  <si>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</si>
  <si>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</si>
  <si>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</si>
  <si>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</si>
  <si>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</si>
  <si>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</si>
  <si>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</si>
  <si>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</si>
  <si>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</si>
  <si>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</si>
  <si>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</si>
  <si>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</si>
  <si>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</si>
  <si>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</si>
  <si>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</si>
  <si>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</si>
  <si>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</si>
  <si>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</si>
  <si>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</si>
  <si>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</si>
  <si>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</si>
  <si>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</si>
  <si>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</si>
  <si>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</si>
  <si>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</si>
  <si>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</si>
  <si>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</si>
  <si>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</si>
  <si>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</si>
  <si>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</si>
  <si>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</si>
  <si>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</si>
  <si>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</si>
  <si>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</si>
  <si>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</si>
  <si>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</si>
  <si>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</si>
  <si>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</si>
  <si>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</si>
  <si>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</si>
  <si>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</si>
  <si>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</si>
  <si>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</si>
  <si>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</si>
  <si>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</si>
  <si>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</si>
  <si>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</si>
  <si>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</si>
  <si>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</si>
  <si>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</si>
  <si>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</si>
  <si>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</si>
  <si>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</si>
  <si>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</si>
  <si>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</si>
  <si>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</si>
  <si>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</si>
  <si>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</si>
  <si>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</si>
  <si>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</si>
  <si>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</si>
  <si>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</si>
  <si>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</si>
  <si>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</si>
  <si>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</si>
  <si>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</si>
  <si>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</si>
  <si>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</si>
  <si>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</si>
  <si>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</si>
  <si>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</si>
  <si>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</si>
  <si>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</si>
  <si>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</si>
  <si>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</si>
  <si>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</si>
  <si>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</si>
  <si>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</si>
  <si>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</si>
  <si>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</si>
  <si>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</si>
  <si>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</si>
  <si>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</si>
  <si>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</si>
  <si>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</si>
  <si>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</si>
  <si>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</si>
  <si>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</si>
  <si>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</si>
  <si>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</si>
  <si>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</si>
  <si>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</si>
  <si>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</si>
  <si>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</si>
  <si>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</si>
  <si>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</si>
  <si>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</si>
  <si>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</si>
  <si>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</si>
  <si>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</si>
  <si>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</si>
  <si>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</si>
  <si>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</si>
  <si>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</si>
  <si>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</si>
  <si>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</si>
  <si>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</si>
  <si>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</si>
  <si>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</si>
  <si>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</si>
  <si>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</si>
  <si>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</si>
  <si>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</si>
  <si>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</si>
  <si>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</si>
  <si>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</si>
  <si>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</si>
  <si>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</si>
  <si>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</si>
  <si>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</si>
  <si>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</si>
  <si>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</si>
  <si>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</si>
  <si>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</si>
  <si>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</si>
  <si>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</si>
  <si>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</si>
  <si>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</si>
  <si>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</si>
  <si>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</si>
  <si>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</si>
  <si>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</si>
  <si>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</si>
  <si>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</si>
  <si>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</si>
  <si>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</si>
  <si>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</si>
  <si>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</si>
  <si>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</si>
  <si>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</si>
  <si>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</si>
  <si>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</si>
  <si>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</si>
  <si>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</si>
  <si>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</si>
  <si>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</si>
  <si>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</si>
  <si>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</si>
  <si>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</si>
  <si>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</si>
  <si>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</si>
  <si>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</si>
  <si>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</si>
  <si>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</si>
  <si>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</si>
  <si>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</si>
  <si>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</si>
  <si>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</si>
  <si>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</si>
  <si>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</si>
  <si>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</si>
  <si>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</si>
  <si>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</si>
  <si>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</si>
  <si>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</si>
  <si>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</si>
  <si>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</si>
  <si>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</si>
  <si>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</si>
  <si>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</si>
  <si>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</si>
  <si>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</si>
  <si>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</si>
  <si>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</si>
  <si>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</si>
  <si>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</si>
  <si>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</si>
  <si>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</si>
  <si>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</si>
  <si>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</si>
  <si>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</si>
  <si>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</si>
  <si>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</si>
  <si>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</si>
  <si>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</si>
  <si>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</si>
  <si>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</si>
  <si>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</si>
  <si>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</si>
  <si>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</si>
  <si>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</si>
  <si>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</si>
  <si>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</si>
  <si>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</si>
  <si>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</si>
  <si>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</si>
  <si>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</si>
  <si>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</si>
  <si>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</si>
  <si>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</si>
  <si>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</si>
  <si>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</si>
  <si>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</si>
  <si>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</si>
  <si>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</si>
  <si>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</si>
  <si>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</si>
  <si>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</si>
  <si>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</si>
  <si>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</si>
  <si>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</si>
  <si>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</si>
  <si>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</si>
  <si>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</si>
  <si>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</si>
  <si>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</si>
  <si>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</si>
  <si>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</si>
  <si>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</si>
  <si>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</si>
  <si>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</si>
  <si>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</si>
  <si>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</si>
  <si>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</si>
  <si>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</si>
  <si>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</si>
  <si>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</si>
  <si>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</si>
  <si>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</si>
  <si>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</si>
  <si>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</si>
  <si>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</si>
  <si>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</si>
  <si>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</si>
  <si>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</si>
  <si>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</si>
  <si>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</si>
  <si>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</si>
  <si>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</si>
  <si>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</si>
  <si>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</si>
  <si>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</si>
  <si>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</si>
  <si>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</si>
  <si>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</si>
  <si>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</si>
  <si>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</si>
  <si>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</si>
  <si>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</si>
  <si>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</si>
  <si>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</si>
  <si>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</si>
  <si>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</si>
  <si>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</si>
  <si>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</si>
  <si>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</si>
  <si>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</si>
  <si>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</si>
  <si>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</si>
  <si>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</si>
  <si>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</si>
  <si>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</si>
  <si>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</si>
  <si>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</si>
  <si>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</si>
  <si>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</si>
  <si>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</si>
  <si>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</si>
  <si>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</si>
  <si>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</si>
  <si>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</si>
  <si>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</si>
  <si>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</si>
  <si>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</si>
  <si>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</si>
  <si>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</si>
  <si>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</si>
  <si>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</si>
  <si>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</si>
  <si>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</si>
  <si>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</si>
  <si>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</si>
  <si>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</si>
  <si>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</si>
  <si>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</si>
  <si>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</si>
  <si>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</si>
  <si>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</si>
  <si>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</si>
  <si>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</si>
  <si>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</si>
  <si>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</si>
  <si>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</si>
  <si>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</si>
  <si>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</si>
  <si>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</si>
  <si>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</si>
  <si>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</si>
  <si>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</si>
  <si>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</si>
  <si>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</si>
  <si>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</si>
  <si>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</si>
  <si>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</si>
  <si>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</si>
  <si>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</si>
  <si>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</si>
  <si>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</si>
  <si>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</si>
  <si>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</si>
  <si>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</si>
  <si>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</si>
  <si>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</si>
  <si>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</si>
  <si>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</si>
  <si>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</si>
  <si>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</si>
  <si>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</si>
  <si>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</si>
  <si>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</si>
  <si>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</si>
  <si>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</si>
  <si>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</si>
  <si>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</si>
  <si>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</si>
  <si>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</si>
  <si>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</si>
  <si>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</si>
  <si>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</si>
  <si>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</si>
  <si>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</si>
  <si>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</si>
  <si>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</si>
  <si>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</si>
  <si>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</si>
  <si>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</si>
  <si>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</si>
  <si>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</si>
  <si>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</si>
  <si>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</si>
  <si>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</si>
  <si>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</si>
  <si>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</si>
  <si>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</si>
  <si>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</si>
  <si>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</si>
  <si>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</si>
  <si>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</si>
  <si>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</si>
  <si>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</si>
  <si>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</si>
  <si>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</si>
  <si>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</si>
  <si>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</si>
  <si>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</si>
  <si>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</si>
  <si>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</si>
  <si>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</si>
  <si>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</si>
  <si>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</si>
  <si>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</si>
  <si>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</si>
  <si>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</si>
  <si>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</si>
  <si>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</si>
  <si>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</si>
  <si>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</si>
  <si>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</si>
  <si>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</si>
  <si>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</si>
  <si>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</si>
  <si>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</si>
  <si>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</si>
  <si>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</si>
  <si>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</si>
  <si>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</si>
  <si>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</si>
  <si>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</si>
  <si>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</si>
  <si>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</si>
  <si>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</si>
  <si>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</si>
  <si>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</si>
  <si>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</si>
  <si>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</si>
  <si>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</si>
  <si>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</si>
  <si>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</si>
  <si>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</si>
  <si>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</si>
  <si>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</si>
  <si>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</si>
  <si>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</si>
  <si>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</si>
  <si>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</si>
  <si>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</si>
  <si>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</si>
  <si>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</si>
  <si>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</si>
  <si>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</si>
  <si>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</si>
  <si>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</si>
  <si>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</si>
  <si>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</si>
  <si>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</si>
  <si>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</si>
  <si>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</si>
  <si>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</si>
  <si>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</si>
  <si>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</si>
  <si>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</si>
  <si>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</si>
  <si>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</si>
  <si>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</si>
  <si>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</si>
  <si>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</si>
  <si>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</si>
  <si>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</si>
  <si>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</si>
  <si>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</si>
  <si>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</si>
  <si>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</si>
  <si>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</si>
  <si>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</si>
  <si>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</si>
  <si>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</si>
  <si>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</si>
  <si>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</si>
  <si>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</si>
  <si>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</si>
  <si>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</si>
  <si>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</si>
  <si>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</si>
  <si>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</si>
  <si>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</si>
  <si>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</si>
  <si>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</si>
  <si>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</si>
  <si>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</si>
  <si>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</si>
  <si>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</si>
  <si>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</si>
  <si>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</si>
  <si>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</si>
  <si>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</si>
  <si>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</si>
  <si>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</si>
  <si>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</si>
  <si>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</si>
  <si>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</si>
  <si>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</si>
  <si>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</si>
  <si>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</si>
  <si>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</si>
  <si>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</si>
  <si>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</si>
  <si>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</si>
  <si>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</si>
  <si>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</si>
  <si>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</si>
  <si>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</si>
  <si>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</si>
  <si>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</si>
  <si>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</si>
  <si>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</si>
  <si>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</si>
  <si>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</si>
  <si>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</si>
  <si>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</si>
  <si>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</si>
  <si>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</si>
  <si>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</si>
  <si>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</si>
  <si>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</si>
  <si>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</si>
  <si>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</si>
  <si>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</si>
  <si>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</si>
  <si>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</si>
  <si>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</si>
  <si>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</si>
  <si>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</si>
  <si>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</si>
  <si>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</si>
  <si>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</si>
  <si>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</si>
  <si>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</si>
  <si>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</si>
  <si>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</si>
  <si>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</si>
  <si>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</si>
  <si>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</si>
  <si>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</si>
  <si>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</si>
  <si>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</si>
  <si>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</si>
  <si>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</si>
  <si>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</si>
  <si>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</si>
  <si>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</si>
  <si>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</si>
  <si>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</si>
  <si>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</si>
  <si>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</si>
  <si>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</si>
  <si>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</si>
  <si>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</si>
  <si>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</si>
  <si>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</si>
  <si>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</si>
  <si>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</si>
  <si>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</si>
  <si>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</si>
  <si>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</si>
  <si>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</si>
  <si>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</si>
  <si>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</si>
  <si>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</si>
  <si>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</si>
  <si>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</si>
  <si>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</si>
  <si>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</si>
  <si>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</si>
  <si>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</si>
  <si>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</si>
  <si>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</si>
  <si>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</si>
  <si>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</si>
  <si>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</si>
  <si>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</si>
  <si>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</si>
  <si>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</si>
  <si>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</si>
  <si>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</si>
  <si>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</si>
  <si>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</si>
  <si>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</si>
  <si>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</si>
  <si>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</si>
  <si>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</si>
  <si>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</si>
  <si>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</si>
  <si>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</si>
  <si>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</si>
  <si>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</si>
  <si>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</si>
  <si>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</si>
  <si>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</si>
  <si>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</si>
  <si>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</si>
  <si>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</si>
  <si>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</si>
  <si>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</si>
  <si>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</si>
  <si>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</si>
  <si>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</si>
  <si>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</si>
  <si>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</si>
  <si>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</si>
  <si>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</si>
  <si>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</si>
  <si>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</si>
  <si>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</si>
  <si>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</si>
  <si>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</si>
  <si>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</si>
  <si>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</si>
  <si>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</si>
  <si>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</si>
  <si>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</si>
  <si>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</si>
  <si>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</si>
  <si>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</si>
  <si>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</si>
  <si>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</si>
  <si>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</si>
  <si>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</si>
  <si>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</si>
  <si>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</si>
  <si>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</si>
  <si>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</si>
  <si>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</si>
  <si>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</si>
  <si>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</si>
  <si>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</si>
  <si>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</si>
  <si>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</si>
  <si>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</si>
  <si>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</si>
  <si>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</si>
  <si>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</si>
  <si>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</si>
  <si>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</si>
  <si>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</si>
  <si>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</si>
  <si>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</si>
  <si>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</si>
  <si>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</si>
  <si>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</si>
  <si>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</si>
  <si>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</si>
  <si>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</si>
  <si>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</si>
  <si>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</si>
  <si>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</si>
  <si>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</si>
  <si>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</si>
  <si>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</si>
  <si>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</si>
  <si>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</si>
  <si>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</si>
  <si>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</si>
  <si>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</si>
  <si>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</si>
  <si>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</si>
  <si>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</si>
  <si>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</si>
  <si>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</si>
  <si>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</si>
  <si>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</si>
  <si>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</si>
  <si>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</si>
  <si>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</si>
  <si>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</si>
  <si>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</si>
  <si>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</si>
  <si>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</si>
  <si>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</si>
  <si>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</si>
  <si>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</si>
  <si>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</si>
  <si>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</si>
  <si>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</si>
  <si>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</si>
  <si>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</si>
  <si>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</si>
  <si>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</si>
  <si>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</si>
  <si>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</si>
  <si>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</si>
  <si>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</si>
  <si>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</si>
  <si>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</si>
  <si>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</si>
  <si>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</si>
  <si>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</si>
  <si>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</si>
  <si>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</si>
  <si>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</si>
  <si>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</si>
  <si>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</si>
  <si>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</si>
  <si>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</si>
  <si>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</si>
  <si>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</si>
  <si>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</si>
  <si>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</si>
  <si>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</si>
  <si>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</si>
  <si>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</si>
  <si>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</si>
  <si>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</si>
  <si>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</si>
  <si>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</si>
  <si>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</si>
  <si>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</si>
  <si>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</si>
  <si>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</si>
  <si>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</si>
  <si>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</si>
  <si>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</si>
  <si>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</si>
  <si>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</si>
  <si>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</si>
  <si>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</si>
  <si>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</si>
  <si>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</si>
  <si>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</si>
  <si>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</si>
  <si>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</si>
  <si>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</si>
  <si>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</si>
  <si>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</si>
  <si>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</si>
  <si>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</si>
  <si>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</si>
  <si>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</si>
  <si>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</si>
  <si>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</si>
  <si>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</si>
  <si>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</si>
  <si>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</si>
  <si>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</si>
  <si>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</si>
  <si>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</si>
  <si>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</si>
  <si>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</si>
  <si>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</si>
  <si>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</si>
  <si>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</si>
  <si>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</si>
  <si>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</si>
  <si>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</si>
  <si>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</si>
  <si>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</si>
  <si>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</si>
  <si>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</si>
  <si>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</si>
  <si>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</si>
  <si>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</si>
  <si>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</si>
  <si>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</si>
  <si>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</si>
  <si>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</si>
  <si>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</si>
  <si>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</si>
  <si>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</si>
  <si>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</si>
  <si>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</si>
  <si>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</si>
  <si>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</si>
  <si>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</si>
  <si>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</si>
  <si>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</si>
  <si>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</si>
  <si>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</si>
  <si>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</si>
  <si>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</si>
  <si>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</si>
  <si>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</si>
  <si>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</si>
  <si>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</si>
  <si>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</si>
  <si>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</si>
  <si>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</si>
  <si>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</si>
  <si>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</si>
  <si>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</si>
  <si>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</si>
  <si>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</si>
  <si>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</si>
  <si>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</si>
  <si>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</si>
  <si>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</si>
  <si>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</si>
  <si>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</si>
  <si>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</si>
  <si>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</si>
  <si>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</si>
  <si>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</si>
  <si>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</si>
  <si>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</si>
  <si>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</si>
  <si>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</si>
  <si>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</si>
  <si>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</si>
  <si>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</si>
  <si>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</si>
  <si>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</si>
  <si>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</si>
  <si>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</si>
  <si>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</si>
  <si>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</si>
  <si>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</si>
  <si>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</si>
  <si>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</si>
  <si>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</si>
  <si>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</si>
  <si>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</si>
  <si>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</si>
  <si>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</si>
  <si>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</si>
  <si>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</si>
  <si>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</si>
  <si>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</si>
  <si>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</si>
  <si>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</si>
  <si>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</si>
  <si>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</si>
  <si>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</si>
  <si>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</si>
  <si>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</si>
  <si>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</si>
  <si>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</si>
  <si>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</si>
  <si>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</si>
  <si>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</si>
  <si>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</si>
  <si>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</si>
  <si>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</si>
  <si>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</si>
  <si>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</si>
  <si>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</si>
  <si>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</si>
  <si>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</si>
  <si>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</si>
  <si>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</si>
  <si>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</si>
  <si>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</si>
  <si>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</si>
  <si>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</si>
  <si>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</si>
  <si>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</si>
  <si>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</si>
  <si>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</si>
  <si>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</si>
  <si>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</si>
  <si>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</si>
  <si>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</si>
  <si>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</si>
  <si>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</si>
  <si>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</si>
  <si>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</si>
  <si>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</si>
  <si>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</si>
  <si>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</si>
  <si>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</si>
  <si>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</si>
  <si>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</si>
  <si>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</si>
  <si>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</si>
  <si>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</si>
  <si>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</si>
  <si>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</si>
  <si>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</si>
  <si>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</si>
  <si>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</si>
  <si>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</si>
  <si>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</si>
  <si>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</si>
  <si>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</si>
  <si>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</si>
  <si>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</si>
  <si>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</si>
  <si>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</si>
  <si>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</si>
  <si>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</si>
  <si>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</si>
  <si>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</si>
  <si>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</si>
  <si>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</si>
  <si>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</si>
  <si>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</si>
  <si>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</si>
  <si>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</si>
  <si>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</si>
  <si>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</si>
  <si>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</si>
  <si>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</si>
  <si>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</si>
  <si>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</si>
  <si>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</si>
  <si>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</si>
  <si>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</si>
  <si>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</si>
  <si>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</si>
  <si>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</si>
  <si>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</si>
  <si>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</si>
  <si>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</si>
  <si>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</si>
  <si>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</si>
  <si>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</si>
  <si>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</si>
  <si>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</si>
  <si>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</si>
  <si>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</si>
  <si>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</si>
  <si>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</si>
  <si>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</si>
  <si>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</si>
  <si>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</si>
  <si>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</si>
  <si>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</si>
  <si>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</si>
  <si>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</si>
  <si>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</si>
  <si>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</si>
  <si>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</si>
  <si>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</si>
  <si>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</si>
  <si>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</si>
  <si>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</si>
  <si>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</si>
  <si>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</si>
  <si>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</si>
  <si>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</si>
  <si>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</si>
  <si>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</si>
  <si>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</si>
  <si>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</si>
  <si>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</si>
  <si>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</si>
  <si>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</si>
  <si>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</si>
  <si>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</si>
  <si>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</si>
  <si>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</si>
  <si>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</si>
  <si>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</si>
  <si>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</si>
  <si>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</si>
  <si>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</si>
  <si>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</si>
  <si>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</si>
  <si>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</si>
  <si>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</si>
  <si>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</si>
  <si>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</si>
  <si>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</si>
  <si>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</si>
  <si>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</si>
  <si>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</si>
  <si>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</si>
  <si>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</si>
  <si>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</si>
  <si>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</si>
  <si>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</si>
  <si>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</si>
  <si>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</si>
  <si>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</si>
  <si>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</si>
  <si>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</si>
  <si>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</si>
  <si>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</si>
  <si>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</si>
  <si>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</si>
  <si>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</si>
  <si>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</si>
  <si>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</si>
  <si>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</si>
  <si>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</si>
  <si>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</si>
  <si>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</si>
  <si>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</si>
  <si>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</si>
  <si>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</si>
  <si>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</si>
  <si>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</si>
  <si>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</si>
  <si>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</si>
  <si>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</si>
  <si>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</si>
  <si>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</si>
  <si>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</si>
  <si>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</si>
  <si>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</si>
  <si>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</si>
  <si>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</si>
  <si>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</si>
  <si>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</si>
  <si>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</si>
  <si>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</si>
  <si>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</si>
  <si>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</si>
  <si>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</si>
  <si>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</si>
  <si>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</si>
  <si>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</si>
  <si>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</si>
  <si>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</si>
  <si>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</si>
  <si>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</si>
  <si>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</si>
  <si>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</si>
  <si>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</si>
  <si>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</si>
  <si>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</si>
  <si>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</si>
  <si>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</si>
  <si>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</si>
  <si>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</si>
  <si>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</si>
  <si>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</si>
  <si>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</si>
  <si>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</si>
  <si>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</si>
  <si>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</si>
  <si>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</si>
  <si>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</si>
  <si>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</si>
  <si>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</si>
  <si>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</si>
  <si>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</si>
  <si>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</si>
  <si>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</si>
  <si>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</si>
  <si>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</si>
  <si>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</si>
  <si>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</si>
  <si>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</si>
  <si>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</si>
  <si>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</si>
  <si>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</si>
  <si>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</si>
  <si>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</si>
  <si>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</si>
  <si>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</si>
  <si>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</si>
  <si>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</si>
  <si>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</si>
  <si>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</si>
  <si>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</si>
  <si>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</si>
  <si>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</si>
  <si>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</si>
  <si>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</si>
  <si>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</si>
  <si>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</si>
  <si>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</si>
  <si>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</si>
  <si>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</si>
  <si>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</si>
  <si>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</si>
  <si>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</si>
  <si>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</si>
  <si>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</si>
  <si>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</si>
  <si>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</si>
  <si>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</si>
  <si>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</si>
  <si>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</si>
  <si>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</si>
  <si>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</si>
  <si>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</si>
  <si>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</si>
  <si>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</si>
  <si>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</si>
  <si>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</si>
  <si>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</si>
  <si>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</si>
  <si>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</si>
  <si>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</si>
  <si>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</si>
  <si>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</si>
  <si>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</si>
  <si>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</si>
  <si>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</si>
  <si>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</si>
  <si>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</si>
  <si>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</si>
  <si>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</si>
  <si>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</si>
  <si>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</si>
  <si>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</si>
  <si>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</si>
  <si>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</si>
  <si>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</si>
  <si>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</si>
  <si>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</si>
  <si>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</si>
  <si>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</si>
  <si>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</si>
  <si>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</si>
  <si>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</si>
  <si>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</si>
  <si>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</si>
  <si>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</si>
  <si>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</si>
  <si>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</si>
  <si>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</si>
  <si>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</si>
  <si>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</si>
  <si>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</si>
  <si>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</si>
  <si>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</si>
  <si>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</si>
  <si>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</si>
  <si>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</si>
  <si>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</si>
  <si>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</si>
  <si>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</si>
  <si>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</si>
  <si>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</si>
  <si>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</si>
  <si>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</si>
  <si>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</si>
  <si>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</si>
  <si>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</si>
  <si>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</si>
  <si>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</si>
  <si>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</si>
  <si>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</si>
  <si>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</si>
  <si>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</si>
  <si>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</si>
  <si>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</si>
  <si>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</si>
  <si>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</si>
  <si>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</si>
  <si>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</si>
  <si>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</si>
  <si>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</si>
  <si>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</si>
  <si>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</si>
  <si>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</si>
  <si>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</si>
  <si>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</si>
  <si>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</si>
  <si>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</si>
  <si>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</si>
  <si>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</si>
  <si>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</si>
  <si>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</si>
  <si>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</si>
  <si>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</si>
  <si>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</si>
  <si>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</si>
  <si>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</si>
  <si>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</si>
  <si>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</si>
  <si>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</si>
  <si>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</si>
  <si>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</si>
  <si>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</si>
  <si>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</si>
  <si>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</si>
  <si>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</si>
  <si>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</si>
  <si>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</si>
  <si>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</si>
  <si>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</si>
  <si>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</si>
  <si>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</si>
  <si>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</si>
  <si>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</si>
  <si>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</si>
  <si>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</si>
  <si>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</si>
  <si>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</si>
  <si>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</si>
  <si>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</si>
  <si>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</si>
  <si>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</si>
  <si>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</si>
  <si>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</si>
  <si>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</si>
  <si>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</si>
  <si>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</si>
  <si>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</si>
  <si>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</si>
  <si>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</si>
  <si>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</si>
  <si>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</si>
  <si>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</si>
  <si>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</si>
  <si>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</si>
  <si>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</si>
  <si>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</si>
  <si>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</si>
  <si>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</si>
  <si>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</si>
  <si>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</si>
  <si>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</si>
  <si>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</si>
  <si>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</si>
  <si>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</si>
  <si>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</si>
  <si>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</si>
  <si>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</si>
  <si>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</si>
  <si>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</si>
  <si>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</si>
  <si>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</si>
  <si>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</si>
  <si>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</si>
  <si>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</si>
  <si>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</si>
  <si>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</si>
  <si>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</si>
  <si>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</si>
  <si>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</si>
  <si>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</si>
  <si>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</si>
  <si>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</si>
  <si>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</si>
  <si>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</si>
  <si>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</si>
  <si>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</si>
  <si>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</si>
  <si>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</si>
  <si>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</si>
  <si>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</si>
  <si>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</si>
  <si>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</si>
  <si>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</si>
  <si>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</si>
  <si>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</si>
  <si>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</si>
  <si>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</si>
  <si>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</si>
  <si>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</si>
  <si>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</si>
  <si>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</si>
  <si>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</si>
  <si>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</si>
  <si>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</si>
  <si>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</si>
  <si>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</si>
  <si>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</si>
  <si>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</si>
  <si>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</si>
  <si>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</si>
  <si>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</si>
  <si>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</si>
  <si>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</si>
  <si>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</si>
  <si>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</si>
  <si>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</si>
  <si>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</si>
  <si>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</si>
  <si>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</si>
  <si>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</si>
  <si>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</si>
  <si>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</si>
  <si>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</si>
  <si>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</si>
  <si>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</si>
  <si>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</si>
  <si>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</si>
  <si>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</si>
  <si>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</si>
  <si>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</si>
  <si>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</si>
  <si>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</si>
  <si>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</si>
  <si>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</si>
  <si>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</si>
  <si>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</si>
  <si>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</si>
  <si>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</si>
  <si>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</si>
  <si>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</si>
  <si>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</si>
  <si>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</si>
  <si>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</si>
  <si>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</si>
  <si>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</si>
  <si>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</si>
  <si>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</si>
  <si>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</si>
  <si>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</si>
  <si>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</si>
  <si>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</si>
  <si>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</si>
  <si>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</si>
  <si>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</si>
  <si>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</si>
  <si>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</si>
  <si>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</si>
  <si>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</si>
  <si>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</si>
  <si>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</si>
  <si>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</si>
  <si>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</si>
  <si>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</si>
  <si>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</si>
  <si>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</si>
  <si>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</si>
  <si>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</si>
  <si>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</si>
  <si>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</si>
  <si>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</si>
  <si>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</si>
  <si>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</si>
  <si>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</si>
  <si>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</si>
  <si>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</si>
  <si>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</si>
  <si>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</si>
  <si>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</si>
  <si>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</si>
  <si>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</si>
  <si>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</si>
  <si>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</si>
  <si>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</si>
  <si>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</si>
  <si>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</si>
  <si>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</si>
  <si>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</si>
  <si>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</si>
  <si>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</si>
  <si>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</si>
  <si>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</si>
  <si>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</si>
  <si>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</si>
  <si>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</si>
  <si>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</si>
  <si>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</si>
  <si>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</si>
  <si>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</si>
  <si>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</si>
  <si>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</si>
  <si>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</si>
  <si>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</si>
  <si>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</si>
  <si>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</si>
  <si>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</si>
  <si>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</si>
  <si>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</si>
  <si>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</si>
  <si>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</si>
  <si>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</si>
  <si>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</si>
  <si>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</si>
  <si>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</si>
  <si>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</si>
  <si>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</si>
  <si>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</si>
  <si>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</si>
  <si>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</si>
  <si>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</si>
  <si>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</si>
  <si>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</si>
  <si>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</si>
  <si>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</si>
  <si>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</si>
  <si>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</si>
  <si>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</si>
  <si>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</si>
  <si>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</si>
  <si>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</si>
  <si>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</si>
  <si>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</si>
  <si>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</si>
  <si>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</si>
  <si>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</si>
  <si>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</si>
  <si>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</si>
  <si>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</si>
  <si>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</si>
  <si>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</si>
  <si>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</si>
  <si>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</si>
  <si>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</si>
  <si>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</si>
  <si>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</si>
  <si>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</si>
  <si>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</si>
  <si>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</si>
  <si>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</si>
  <si>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</si>
  <si>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</si>
  <si>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</si>
  <si>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</si>
  <si>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</si>
  <si>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</si>
  <si>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</si>
  <si>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</si>
  <si>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</si>
  <si>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</si>
  <si>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</si>
  <si>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</si>
  <si>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</si>
  <si>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</si>
  <si>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</si>
  <si>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</si>
  <si>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</si>
  <si>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</si>
  <si>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</si>
  <si>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</si>
  <si>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</si>
  <si>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</si>
  <si>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</si>
  <si>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</si>
  <si>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</si>
  <si>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</si>
  <si>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</si>
  <si>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</si>
  <si>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</si>
  <si>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</si>
  <si>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</si>
  <si>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</si>
  <si>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</si>
  <si>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</si>
  <si>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</si>
  <si>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</si>
  <si>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</si>
  <si>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</si>
  <si>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</si>
  <si>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</si>
  <si>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</si>
  <si>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</si>
  <si>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</si>
  <si>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</si>
  <si>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</si>
  <si>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</si>
  <si>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</si>
  <si>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</si>
  <si>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</si>
  <si>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</si>
  <si>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</si>
  <si>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</si>
  <si>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</si>
  <si>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</si>
  <si>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</si>
  <si>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</si>
  <si>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</si>
  <si>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</si>
  <si>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</si>
  <si>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</si>
  <si>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</si>
  <si>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</si>
  <si>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</si>
  <si>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</si>
  <si>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</si>
  <si>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</si>
  <si>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</si>
  <si>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</si>
  <si>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</si>
  <si>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</si>
  <si>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</si>
  <si>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</si>
  <si>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</si>
  <si>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</si>
  <si>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</si>
  <si>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</si>
  <si>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</si>
  <si>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</si>
  <si>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</si>
  <si>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</si>
  <si>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</si>
  <si>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</si>
  <si>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</si>
  <si>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</si>
  <si>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</si>
  <si>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</si>
  <si>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</si>
  <si>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</si>
  <si>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</si>
  <si>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</si>
  <si>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</si>
  <si>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</si>
  <si>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</si>
  <si>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</si>
  <si>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</si>
  <si>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</si>
  <si>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</si>
  <si>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</si>
  <si>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</si>
  <si>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</si>
  <si>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</si>
  <si>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</si>
  <si>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</si>
  <si>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</si>
  <si>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</si>
  <si>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</si>
  <si>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</si>
  <si>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</si>
  <si>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</si>
  <si>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</si>
  <si>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</si>
  <si>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</si>
  <si>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</si>
  <si>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</si>
  <si>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</si>
  <si>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</si>
  <si>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</si>
  <si>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</si>
  <si>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</si>
  <si>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</si>
  <si>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</si>
  <si>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</si>
  <si>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</si>
  <si>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</si>
  <si>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</si>
  <si>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</si>
  <si>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</si>
  <si>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</si>
  <si>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</si>
  <si>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</si>
  <si>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</si>
  <si>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</si>
  <si>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</si>
  <si>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</si>
  <si>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</si>
  <si>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</si>
  <si>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</si>
  <si>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</si>
  <si>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</si>
  <si>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</si>
  <si>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</si>
  <si>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</si>
  <si>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</si>
  <si>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</si>
  <si>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</si>
  <si>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</si>
  <si>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</si>
  <si>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</si>
  <si>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</si>
  <si>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</si>
  <si>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</si>
  <si>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</si>
  <si>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</si>
  <si>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</si>
  <si>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</si>
  <si>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</si>
  <si>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</si>
  <si>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</si>
  <si>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</si>
  <si>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</si>
  <si>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</si>
  <si>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</si>
  <si>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</si>
  <si>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</si>
  <si>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</si>
  <si>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</si>
  <si>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</si>
  <si>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</si>
  <si>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</si>
  <si>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</si>
  <si>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</si>
  <si>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</si>
  <si>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</si>
  <si>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</si>
  <si>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</si>
  <si>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</si>
  <si>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</si>
  <si>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</si>
  <si>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</si>
  <si>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</si>
  <si>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</si>
  <si>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</si>
  <si>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</si>
  <si>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</si>
  <si>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</si>
  <si>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</si>
  <si>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</si>
  <si>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</si>
  <si>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</si>
  <si>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</si>
  <si>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</si>
  <si>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</si>
  <si>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</si>
  <si>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</si>
  <si>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</si>
  <si>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</si>
  <si>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</si>
  <si>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</si>
  <si>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</si>
  <si>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</si>
  <si>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</si>
  <si>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</si>
  <si>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</si>
  <si>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</si>
  <si>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</si>
  <si>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</si>
  <si>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</si>
  <si>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</si>
  <si>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</si>
  <si>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</si>
  <si>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</si>
  <si>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</si>
  <si>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</si>
  <si>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</si>
  <si>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</si>
  <si>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</si>
  <si>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</si>
  <si>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</si>
  <si>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</si>
  <si>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</si>
  <si>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</si>
  <si>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</si>
  <si>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</si>
  <si>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</si>
  <si>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</si>
  <si>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</si>
  <si>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</si>
  <si>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</si>
  <si>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</si>
  <si>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</si>
  <si>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</si>
  <si>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</si>
  <si>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</si>
  <si>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</si>
  <si>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</si>
  <si>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</si>
  <si>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</si>
  <si>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</si>
  <si>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</si>
  <si>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</si>
  <si>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</si>
  <si>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</si>
  <si>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</si>
  <si>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</si>
  <si>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</si>
  <si>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</si>
  <si>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</si>
  <si>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</si>
  <si>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</si>
  <si>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</si>
  <si>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</si>
  <si>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</si>
  <si>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</si>
  <si>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</si>
  <si>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</si>
  <si>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</si>
  <si>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</si>
  <si>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</si>
  <si>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</si>
  <si>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</si>
  <si>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</si>
  <si>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</si>
  <si>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</si>
  <si>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</si>
  <si>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</si>
  <si>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</si>
  <si>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</si>
  <si>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</si>
  <si>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</si>
  <si>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</si>
  <si>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</si>
  <si>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</si>
  <si>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</si>
  <si>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</si>
  <si>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</si>
  <si>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</si>
  <si>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</si>
  <si>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</si>
  <si>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</si>
  <si>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</si>
  <si>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</si>
  <si>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</si>
  <si>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</si>
  <si>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</si>
  <si>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</si>
  <si>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</si>
  <si>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</si>
  <si>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</si>
  <si>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</si>
  <si>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</si>
  <si>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</si>
  <si>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</si>
  <si>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</si>
  <si>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</si>
  <si>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</si>
  <si>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</si>
  <si>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</si>
  <si>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</si>
  <si>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</si>
  <si>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</si>
  <si>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</si>
  <si>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</si>
  <si>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</si>
  <si>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</si>
  <si>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</si>
  <si>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</si>
  <si>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</si>
  <si>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</si>
  <si>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</si>
  <si>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</si>
  <si>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</si>
  <si>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</si>
  <si>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</si>
  <si>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</si>
  <si>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</si>
  <si>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</si>
  <si>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</si>
  <si>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</si>
  <si>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</si>
  <si>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</si>
  <si>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</si>
  <si>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</si>
  <si>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</si>
  <si>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</si>
  <si>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</si>
  <si>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</si>
  <si>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</si>
  <si>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</si>
  <si>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</si>
  <si>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</si>
  <si>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</si>
  <si>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</si>
  <si>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</si>
  <si>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</si>
  <si>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</si>
  <si>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</si>
  <si>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</si>
  <si>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</si>
  <si>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</si>
  <si>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</si>
  <si>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</si>
  <si>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</si>
  <si>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</si>
  <si>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</si>
  <si>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</si>
  <si>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</si>
  <si>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</si>
  <si>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</si>
  <si>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</si>
  <si>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</si>
  <si>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</si>
  <si>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</si>
  <si>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</si>
  <si>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</si>
  <si>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</si>
  <si>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</si>
  <si>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</si>
  <si>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</si>
  <si>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</si>
  <si>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</si>
  <si>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</si>
  <si>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</si>
  <si>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</si>
  <si>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</si>
  <si>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</si>
  <si>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</si>
  <si>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</si>
  <si>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</si>
  <si>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</si>
  <si>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</si>
  <si>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</si>
  <si>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</si>
  <si>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</si>
  <si>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</si>
  <si>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</si>
  <si>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</si>
  <si>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</si>
  <si>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</si>
  <si>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</si>
  <si>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</si>
  <si>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</si>
  <si>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</si>
  <si>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</si>
  <si>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</si>
  <si>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</si>
  <si>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</si>
  <si>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</si>
  <si>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</si>
  <si>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</si>
  <si>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</si>
  <si>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</si>
  <si>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</si>
  <si>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</si>
  <si>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</si>
  <si>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</si>
  <si>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</si>
  <si>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</si>
  <si>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</si>
  <si>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</si>
  <si>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</si>
  <si>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</si>
  <si>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</si>
  <si>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</si>
  <si>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</si>
  <si>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</si>
  <si>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</si>
  <si>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</si>
  <si>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</si>
  <si>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</si>
  <si>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</si>
  <si>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</si>
  <si>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</si>
  <si>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</si>
  <si>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</si>
  <si>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</si>
  <si>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</si>
  <si>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</si>
  <si>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</si>
  <si>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</si>
  <si>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</si>
  <si>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</si>
  <si>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</si>
  <si>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</si>
  <si>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</si>
  <si>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</si>
  <si>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</si>
  <si>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</si>
  <si>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</si>
  <si>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</si>
  <si>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</si>
  <si>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</si>
  <si>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</si>
  <si>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</si>
  <si>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</si>
  <si>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</si>
  <si>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</si>
  <si>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</si>
  <si>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</si>
  <si>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</si>
  <si>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</si>
  <si>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</si>
  <si>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</si>
  <si>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</si>
  <si>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</si>
  <si>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</si>
  <si>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</si>
  <si>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</si>
  <si>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</si>
  <si>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</si>
  <si>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</si>
  <si>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</si>
  <si>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</si>
  <si>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</si>
  <si>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</si>
  <si>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</si>
  <si>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</si>
  <si>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</si>
  <si>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</si>
  <si>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</si>
  <si>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</si>
  <si>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</si>
  <si>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</si>
  <si>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</si>
  <si>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</si>
  <si>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</si>
  <si>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</si>
  <si>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</si>
  <si>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</si>
  <si>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</si>
  <si>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</si>
  <si>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</si>
  <si>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</si>
  <si>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</si>
  <si>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</si>
  <si>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</si>
  <si>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</si>
  <si>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</si>
  <si>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</si>
  <si>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</si>
  <si>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</si>
  <si>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</si>
  <si>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</si>
  <si>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</si>
  <si>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</si>
  <si>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</si>
  <si>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</si>
  <si>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</si>
  <si>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</si>
  <si>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</si>
  <si>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</si>
  <si>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</si>
  <si>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</si>
  <si>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</si>
  <si>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</si>
  <si>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</si>
  <si>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</si>
  <si>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</si>
  <si>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</si>
  <si>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</si>
  <si>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</si>
  <si>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</si>
  <si>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</si>
  <si>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</si>
  <si>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</si>
  <si>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</si>
  <si>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</si>
  <si>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</si>
  <si>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</si>
  <si>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</si>
  <si>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</si>
  <si>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</si>
  <si>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</si>
  <si>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</si>
  <si>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</si>
  <si>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</si>
  <si>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</si>
  <si>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</si>
  <si>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</si>
  <si>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</si>
  <si>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</si>
  <si>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</si>
  <si>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</si>
  <si>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</si>
  <si>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</si>
  <si>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</si>
  <si>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</si>
  <si>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</si>
  <si>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</si>
  <si>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</si>
  <si>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</si>
  <si>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</si>
  <si>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</si>
  <si>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</si>
  <si>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</si>
  <si>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</si>
  <si>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</si>
  <si>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</si>
  <si>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</si>
  <si>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</si>
  <si>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</si>
  <si>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</si>
  <si>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</si>
  <si>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</si>
  <si>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</si>
  <si>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</si>
  <si>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</si>
  <si>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</si>
  <si>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</si>
  <si>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</si>
  <si>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</si>
  <si>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</si>
  <si>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</si>
  <si>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</si>
  <si>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</si>
  <si>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</si>
  <si>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</si>
  <si>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</si>
  <si>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</si>
  <si>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</si>
  <si>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</si>
  <si>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</si>
  <si>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</si>
  <si>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</si>
  <si>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</si>
  <si>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</si>
  <si>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</si>
  <si>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</si>
  <si>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</si>
  <si>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</si>
  <si>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</si>
  <si>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</si>
  <si>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</si>
  <si>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</si>
  <si>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</si>
  <si>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</si>
  <si>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</si>
  <si>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</si>
  <si>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</si>
  <si>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</si>
  <si>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</si>
  <si>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</si>
  <si>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</si>
  <si>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</si>
  <si>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</si>
  <si>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</si>
  <si>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</si>
  <si>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</si>
  <si>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</si>
  <si>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</si>
  <si>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</si>
  <si>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</si>
  <si>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</si>
  <si>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</si>
  <si>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</si>
  <si>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</si>
  <si>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</si>
  <si>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</si>
  <si>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</si>
  <si>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</si>
  <si>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</si>
  <si>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</si>
  <si>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</si>
  <si>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</si>
  <si>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</si>
  <si>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</si>
  <si>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</si>
  <si>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</si>
  <si>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</si>
  <si>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</si>
  <si>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</si>
  <si>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</si>
  <si>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</si>
  <si>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</si>
  <si>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</si>
  <si>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</si>
  <si>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</si>
  <si>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</si>
  <si>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</si>
  <si>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</si>
  <si>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</si>
  <si>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</si>
  <si>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</si>
  <si>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</si>
  <si>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</si>
  <si>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</si>
  <si>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</si>
  <si>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</si>
  <si>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</si>
  <si>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</si>
  <si>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</si>
  <si>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</si>
  <si>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</si>
  <si>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</si>
  <si>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</si>
  <si>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</si>
  <si>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</si>
  <si>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</si>
  <si>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</si>
  <si>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</si>
  <si>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</si>
  <si>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</si>
  <si>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</si>
  <si>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</si>
  <si>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</si>
  <si>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</si>
  <si>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</si>
  <si>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</si>
  <si>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</si>
  <si>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</si>
  <si>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</si>
  <si>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</si>
  <si>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</si>
  <si>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</si>
  <si>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</si>
  <si>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</si>
  <si>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</si>
  <si>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</si>
  <si>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</si>
  <si>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</si>
  <si>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</si>
  <si>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</si>
  <si>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</si>
  <si>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</si>
  <si>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</si>
  <si>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</si>
  <si>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</si>
  <si>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</si>
  <si>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</si>
  <si>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</si>
  <si>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</si>
  <si>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</si>
  <si>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</si>
  <si>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</si>
  <si>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</si>
  <si>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</si>
  <si>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</si>
  <si>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</si>
  <si>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</si>
  <si>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</si>
  <si>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</si>
  <si>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</si>
  <si>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</si>
  <si>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</si>
  <si>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</si>
  <si>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</si>
  <si>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</si>
  <si>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</si>
  <si>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</si>
  <si>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</si>
  <si>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</si>
  <si>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</si>
  <si>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</si>
  <si>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</si>
  <si>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</si>
  <si>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</si>
  <si>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</si>
  <si>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</si>
  <si>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</si>
  <si>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</si>
  <si>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</si>
  <si>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</si>
  <si>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</si>
  <si>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</si>
  <si>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</si>
  <si>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</si>
  <si>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</si>
  <si>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</si>
  <si>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</si>
  <si>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</si>
  <si>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</si>
  <si>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</si>
  <si>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</si>
  <si>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</si>
  <si>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</si>
  <si>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</si>
  <si>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</si>
  <si>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</si>
  <si>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</si>
  <si>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</si>
  <si>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</si>
  <si>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</si>
  <si>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</si>
  <si>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</si>
  <si>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</si>
  <si>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</si>
  <si>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</si>
  <si>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</si>
  <si>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</si>
  <si>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</si>
  <si>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</si>
  <si>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</si>
  <si>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</si>
  <si>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</si>
  <si>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</si>
  <si>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</si>
  <si>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</si>
  <si>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</si>
  <si>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</si>
  <si>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</si>
  <si>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</si>
  <si>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</si>
  <si>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</si>
  <si>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</si>
  <si>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</si>
  <si>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</si>
  <si>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</si>
  <si>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</si>
  <si>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</si>
  <si>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</si>
  <si>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</si>
  <si>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</si>
  <si>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</si>
  <si>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</si>
  <si>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</si>
  <si>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</si>
  <si>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</si>
  <si>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</si>
  <si>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</si>
  <si>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</si>
  <si>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</si>
  <si>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</si>
  <si>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</si>
  <si>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</si>
  <si>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</si>
  <si>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</si>
  <si>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</si>
  <si>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</si>
  <si>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</si>
  <si>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</si>
  <si>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</si>
  <si>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</si>
  <si>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</si>
  <si>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</si>
  <si>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</si>
  <si>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</si>
  <si>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</si>
  <si>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</si>
  <si>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</si>
  <si>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</si>
  <si>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</si>
  <si>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</si>
  <si>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</si>
  <si>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</si>
  <si>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</si>
  <si>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</si>
  <si>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</si>
  <si>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</si>
  <si>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</si>
  <si>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</si>
  <si>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</si>
  <si>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</si>
  <si>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</si>
  <si>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</si>
  <si>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</si>
  <si>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</si>
  <si>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</si>
  <si>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</si>
  <si>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</si>
  <si>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</si>
  <si>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</si>
  <si>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</si>
  <si>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</si>
  <si>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</si>
  <si>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</si>
  <si>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</si>
  <si>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</si>
  <si>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</si>
  <si>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</si>
  <si>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</si>
  <si>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</si>
  <si>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</si>
  <si>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</si>
  <si>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</si>
  <si>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</si>
  <si>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</si>
  <si>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</si>
  <si>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</si>
  <si>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</si>
  <si>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</si>
  <si>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</si>
  <si>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</si>
  <si>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</si>
  <si>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</si>
  <si>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</si>
  <si>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</si>
  <si>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</si>
  <si>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</si>
  <si>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</si>
  <si>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</si>
  <si>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</si>
  <si>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</si>
  <si>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</si>
  <si>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</si>
  <si>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</si>
  <si>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</si>
  <si>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</si>
  <si>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</si>
  <si>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</si>
  <si>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</si>
  <si>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</si>
  <si>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</si>
  <si>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</si>
  <si>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</si>
  <si>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</si>
  <si>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</si>
  <si>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</si>
  <si>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</si>
  <si>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</si>
  <si>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</si>
  <si>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</si>
  <si>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</si>
  <si>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</si>
  <si>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</si>
  <si>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</si>
  <si>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</si>
  <si>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</si>
  <si>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</si>
  <si>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</si>
  <si>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</si>
  <si>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</si>
  <si>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</si>
  <si>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</si>
  <si>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</si>
  <si>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</si>
  <si>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</si>
  <si>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</si>
  <si>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</si>
  <si>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</si>
  <si>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</si>
  <si>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</si>
  <si>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</si>
  <si>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</si>
  <si>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</si>
  <si>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</si>
  <si>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</si>
  <si>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</si>
  <si>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</si>
  <si>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</si>
  <si>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</si>
  <si>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</si>
  <si>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</si>
  <si>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</si>
  <si>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</si>
  <si>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</si>
  <si>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</si>
  <si>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</si>
  <si>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</si>
  <si>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</si>
  <si>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</si>
  <si>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</si>
  <si>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</si>
  <si>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</si>
  <si>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</si>
  <si>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</si>
  <si>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</si>
  <si>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</si>
  <si>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</si>
  <si>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</si>
  <si>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</si>
  <si>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</si>
  <si>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</si>
  <si>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</si>
  <si>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</si>
  <si>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</si>
  <si>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</si>
  <si>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</si>
  <si>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</si>
  <si>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</si>
  <si>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</si>
  <si>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</si>
  <si>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</si>
  <si>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</si>
  <si>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</si>
  <si>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</si>
  <si>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</si>
  <si>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</si>
  <si>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</si>
  <si>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</si>
  <si>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</si>
  <si>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</si>
  <si>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</si>
  <si>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</si>
  <si>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</si>
  <si>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</si>
  <si>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</si>
  <si>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</si>
  <si>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</si>
  <si>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</si>
  <si>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</si>
  <si>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</si>
  <si>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</si>
  <si>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</si>
  <si>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</si>
  <si>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</si>
  <si>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</si>
  <si>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</si>
  <si>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</si>
  <si>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</si>
  <si>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</si>
  <si>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</si>
  <si>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</si>
  <si>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</si>
  <si>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</si>
  <si>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</si>
  <si>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</si>
  <si>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</si>
  <si>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</si>
  <si>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</si>
  <si>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</si>
  <si>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</si>
  <si>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</si>
  <si>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</si>
  <si>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</si>
  <si>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</si>
  <si>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</si>
  <si>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</si>
  <si>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</si>
  <si>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</si>
  <si>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</si>
  <si>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</si>
  <si>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</si>
  <si>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</si>
  <si>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</si>
  <si>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</si>
  <si>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</si>
  <si>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</si>
  <si>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</si>
  <si>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</si>
  <si>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</si>
  <si>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</si>
  <si>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</si>
  <si>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</si>
  <si>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</si>
  <si>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</si>
  <si>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</si>
  <si>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</si>
  <si>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</si>
  <si>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</si>
  <si>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</si>
  <si>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</si>
  <si>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</si>
  <si>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</si>
  <si>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</si>
  <si>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</si>
  <si>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</si>
  <si>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</si>
  <si>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</si>
  <si>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</si>
  <si>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</si>
  <si>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</si>
  <si>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</si>
  <si>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</si>
  <si>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</si>
  <si>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</si>
  <si>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</si>
  <si>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</si>
  <si>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</si>
  <si>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</si>
  <si>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</si>
  <si>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</si>
  <si>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</si>
  <si>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</si>
  <si>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</si>
  <si>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</si>
  <si>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</si>
  <si>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</si>
  <si>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</si>
  <si>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</si>
  <si>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</si>
  <si>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</si>
  <si>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</si>
  <si>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</si>
  <si>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</si>
  <si>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</si>
  <si>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</si>
  <si>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</si>
  <si>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</si>
  <si>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</si>
  <si>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</si>
  <si>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</si>
  <si>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</si>
  <si>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</si>
  <si>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</si>
  <si>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</si>
  <si>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</si>
  <si>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</si>
  <si>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</si>
  <si>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</si>
  <si>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</si>
  <si>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</si>
  <si>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</si>
  <si>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</si>
  <si>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</si>
  <si>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</si>
  <si>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</si>
  <si>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</si>
  <si>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</si>
  <si>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</si>
  <si>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</si>
  <si>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</si>
  <si>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</si>
  <si>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</si>
  <si>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</si>
  <si>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</si>
  <si>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</si>
  <si>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</si>
  <si>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</si>
  <si>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</si>
  <si>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</si>
  <si>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</si>
  <si>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</si>
  <si>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</si>
  <si>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</si>
  <si>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</si>
  <si>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</si>
  <si>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</si>
  <si>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</si>
  <si>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</si>
  <si>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</si>
  <si>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</si>
  <si>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</si>
  <si>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</si>
  <si>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</si>
  <si>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</si>
  <si>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</si>
  <si>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</si>
  <si>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</si>
  <si>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</si>
  <si>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</si>
  <si>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</si>
  <si>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</si>
  <si>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</si>
  <si>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</si>
  <si>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</si>
  <si>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</si>
  <si>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</si>
  <si>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</si>
  <si>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</si>
  <si>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</si>
  <si>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</si>
  <si>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</si>
  <si>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</si>
  <si>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</si>
  <si>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</si>
  <si>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</si>
  <si>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</si>
  <si>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</si>
  <si>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</si>
  <si>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</si>
  <si>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</si>
  <si>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</si>
  <si>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</si>
  <si>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</si>
  <si>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</si>
  <si>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</si>
  <si>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</si>
  <si>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</si>
  <si>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</si>
  <si>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</si>
  <si>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</si>
  <si>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</si>
  <si>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</si>
  <si>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</si>
  <si>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</si>
  <si>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</si>
  <si>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</si>
  <si>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</si>
  <si>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</si>
  <si>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</si>
  <si>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</si>
  <si>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</si>
  <si>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</si>
  <si>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</si>
  <si>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</si>
  <si>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</si>
  <si>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</si>
  <si>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</si>
  <si>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</si>
  <si>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</si>
  <si>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</si>
  <si>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</si>
  <si>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</si>
  <si>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</si>
  <si>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</si>
  <si>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</si>
  <si>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</si>
  <si>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</si>
  <si>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</si>
  <si>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</si>
  <si>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</si>
  <si>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</si>
  <si>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</si>
  <si>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</si>
  <si>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</si>
  <si>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</si>
  <si>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</si>
  <si>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</si>
  <si>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</si>
  <si>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</si>
  <si>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</si>
  <si>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</si>
  <si>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</si>
  <si>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</si>
  <si>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</si>
  <si>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</si>
  <si>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</si>
  <si>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</si>
  <si>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</si>
  <si>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</si>
  <si>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</si>
  <si>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</si>
  <si>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</si>
  <si>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</si>
  <si>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</si>
  <si>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</si>
  <si>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</si>
  <si>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</si>
  <si>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</si>
  <si>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</si>
  <si>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</si>
  <si>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</si>
  <si>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</si>
  <si>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</si>
  <si>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</si>
  <si>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</si>
  <si>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</si>
  <si>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</si>
  <si>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</si>
  <si>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</si>
  <si>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</si>
  <si>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</si>
  <si>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</si>
  <si>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</si>
  <si>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</si>
  <si>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</si>
  <si>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</si>
  <si>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</si>
  <si>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</si>
  <si>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</si>
  <si>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</si>
  <si>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</si>
  <si>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</si>
  <si>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</si>
  <si>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</si>
  <si>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</si>
  <si>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</si>
  <si>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</si>
  <si>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</si>
  <si>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</si>
  <si>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</si>
  <si>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</si>
  <si>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</si>
  <si>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</si>
  <si>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</si>
  <si>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</si>
  <si>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</si>
  <si>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</si>
  <si>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</si>
  <si>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</si>
  <si>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</si>
  <si>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</si>
  <si>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</si>
  <si>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</si>
  <si>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</si>
  <si>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</si>
  <si>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</si>
  <si>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</si>
  <si>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</si>
  <si>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</si>
  <si>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</si>
  <si>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</si>
  <si>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</si>
  <si>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</si>
  <si>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</si>
  <si>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</si>
  <si>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</si>
  <si>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</si>
  <si>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</si>
  <si>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</si>
  <si>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</si>
  <si>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</si>
  <si>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</si>
  <si>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</si>
  <si>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</si>
  <si>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</si>
  <si>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</si>
  <si>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</si>
  <si>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</si>
  <si>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</si>
  <si>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</si>
  <si>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</si>
  <si>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</si>
  <si>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</si>
  <si>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</si>
  <si>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</si>
  <si>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</si>
  <si>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</si>
  <si>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</si>
  <si>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</si>
  <si>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</si>
  <si>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</si>
  <si>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</si>
  <si>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</si>
  <si>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</si>
  <si>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</si>
  <si>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</si>
  <si>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</si>
  <si>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</si>
  <si>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</si>
  <si>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</si>
  <si>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</si>
  <si>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</si>
  <si>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</si>
  <si>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</si>
  <si>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</si>
  <si>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</si>
  <si>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</si>
  <si>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</si>
  <si>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</si>
  <si>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</si>
  <si>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</si>
  <si>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</si>
  <si>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</si>
  <si>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</si>
  <si>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</si>
  <si>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</si>
  <si>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</si>
  <si>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</si>
  <si>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</si>
  <si>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</si>
  <si>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</si>
  <si>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</si>
  <si>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</si>
  <si>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</si>
  <si>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</si>
  <si>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</si>
  <si>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</si>
  <si>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</si>
  <si>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</si>
  <si>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</si>
  <si>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</si>
  <si>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</si>
  <si>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</si>
  <si>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</si>
  <si>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</si>
  <si>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</si>
  <si>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</si>
  <si>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</si>
  <si>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</si>
  <si>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</si>
  <si>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</si>
  <si>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</si>
  <si>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</si>
  <si>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</si>
  <si>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</si>
  <si>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</si>
  <si>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</si>
  <si>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</si>
  <si>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</si>
  <si>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</si>
  <si>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</si>
  <si>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</si>
  <si>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</si>
  <si>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</si>
  <si>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</si>
  <si>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</si>
  <si>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</si>
  <si>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</si>
  <si>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</si>
  <si>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</si>
  <si>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</si>
  <si>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</si>
  <si>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</si>
  <si>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</si>
  <si>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</si>
  <si>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</si>
  <si>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</si>
  <si>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</si>
  <si>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</si>
  <si>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</si>
  <si>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</si>
  <si>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</si>
  <si>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</si>
  <si>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</si>
  <si>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</si>
  <si>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</si>
  <si>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</si>
  <si>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</si>
  <si>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</si>
  <si>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</si>
  <si>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</si>
  <si>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</si>
  <si>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</si>
  <si>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</si>
  <si>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</si>
  <si>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</si>
  <si>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</si>
  <si>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</si>
  <si>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</si>
  <si>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</si>
  <si>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</si>
  <si>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</si>
  <si>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</si>
  <si>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</si>
  <si>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</si>
  <si>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</si>
  <si>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</si>
  <si>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</si>
  <si>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</si>
  <si>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</si>
  <si>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</si>
  <si>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</si>
  <si>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</si>
  <si>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</si>
  <si>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</si>
  <si>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</si>
  <si>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</si>
  <si>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</si>
  <si>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</si>
  <si>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</si>
  <si>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</si>
  <si>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</si>
  <si>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</si>
  <si>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</si>
  <si>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</si>
  <si>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</si>
  <si>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</si>
  <si>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</si>
  <si>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</si>
  <si>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</si>
  <si>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</si>
  <si>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</si>
  <si>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</si>
  <si>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</si>
  <si>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</si>
  <si>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</si>
  <si>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</si>
  <si>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</si>
  <si>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</si>
  <si>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</si>
  <si>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</si>
  <si>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</si>
  <si>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</si>
  <si>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</si>
  <si>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</si>
  <si>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</si>
  <si>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</si>
  <si>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</si>
  <si>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</si>
  <si>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</si>
  <si>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</si>
  <si>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</si>
  <si>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</si>
  <si>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</si>
  <si>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</si>
  <si>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</si>
  <si>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</si>
  <si>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</si>
  <si>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</si>
  <si>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</si>
  <si>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</si>
  <si>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</si>
  <si>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</si>
  <si>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</si>
  <si>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</si>
  <si>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</si>
  <si>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</si>
  <si>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</si>
  <si>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</si>
  <si>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</si>
  <si>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</si>
  <si>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</si>
  <si>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</si>
  <si>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</si>
  <si>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</si>
  <si>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</si>
  <si>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</si>
  <si>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</si>
  <si>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</si>
  <si>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</si>
  <si>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</si>
  <si>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</si>
  <si>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</si>
  <si>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</si>
  <si>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</si>
  <si>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</si>
  <si>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</si>
  <si>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</si>
  <si>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</si>
  <si>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</si>
  <si>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</si>
  <si>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</si>
  <si>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</si>
  <si>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</si>
  <si>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</si>
  <si>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</si>
  <si>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</si>
  <si>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</si>
  <si>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</si>
  <si>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</si>
  <si>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</si>
  <si>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</si>
  <si>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</si>
  <si>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</si>
  <si>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</si>
  <si>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</si>
  <si>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</si>
  <si>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</si>
  <si>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</si>
  <si>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</si>
  <si>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</si>
  <si>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</si>
  <si>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</si>
  <si>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</si>
  <si>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</si>
  <si>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</si>
  <si>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</si>
  <si>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</si>
  <si>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</si>
  <si>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</si>
  <si>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</si>
  <si>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</si>
  <si>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</si>
  <si>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</si>
  <si>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</si>
  <si>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</si>
  <si>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</si>
  <si>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</si>
  <si>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</si>
  <si>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</si>
  <si>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</si>
  <si>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</si>
  <si>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</si>
  <si>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</si>
  <si>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</si>
  <si>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</si>
  <si>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</si>
  <si>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</si>
  <si>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</si>
  <si>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</si>
  <si>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</si>
  <si>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</si>
  <si>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</si>
  <si>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</si>
  <si>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</si>
  <si>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</si>
  <si>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</si>
  <si>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</si>
  <si>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</si>
  <si>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</si>
  <si>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</si>
  <si>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</si>
  <si>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</si>
  <si>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</si>
  <si>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</si>
  <si>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</si>
  <si>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</si>
  <si>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</si>
  <si>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</si>
  <si>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</si>
  <si>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</si>
  <si>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</si>
  <si>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</si>
  <si>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</si>
  <si>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</si>
  <si>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</si>
  <si>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</si>
  <si>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</si>
  <si>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</si>
  <si>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</si>
  <si>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</si>
  <si>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</si>
  <si>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</si>
  <si>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</si>
  <si>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</si>
  <si>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</si>
  <si>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</si>
  <si>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</si>
  <si>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</si>
  <si>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</si>
  <si>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</si>
  <si>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</si>
  <si>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</si>
  <si>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</si>
  <si>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</si>
  <si>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</si>
  <si>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</si>
  <si>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</si>
  <si>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</si>
  <si>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</si>
  <si>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</si>
  <si>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</si>
  <si>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</si>
  <si>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</si>
  <si>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</si>
  <si>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</si>
  <si>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</si>
  <si>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</si>
  <si>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</si>
  <si>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</si>
  <si>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</si>
  <si>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</si>
  <si>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</si>
  <si>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</si>
  <si>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</si>
  <si>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</si>
  <si>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</si>
  <si>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</si>
  <si>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</si>
  <si>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</si>
  <si>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</si>
  <si>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</si>
  <si>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</si>
  <si>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</si>
  <si>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</si>
  <si>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</si>
  <si>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</si>
  <si>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</si>
  <si>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</si>
  <si>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</si>
  <si>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</si>
  <si>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</si>
  <si>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</si>
  <si>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</si>
  <si>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</si>
  <si>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</si>
  <si>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</si>
  <si>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</si>
  <si>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</si>
  <si>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</si>
  <si>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</si>
  <si>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</si>
  <si>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</si>
  <si>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</si>
  <si>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</si>
  <si>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</si>
  <si>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</si>
  <si>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</si>
  <si>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</si>
  <si>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</si>
  <si>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</si>
  <si>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</si>
  <si>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</si>
  <si>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</si>
  <si>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</si>
  <si>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</si>
  <si>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</si>
  <si>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</si>
  <si>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</si>
  <si>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</si>
  <si>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</si>
  <si>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</si>
  <si>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</si>
  <si>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</si>
  <si>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</si>
  <si>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</si>
  <si>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</si>
  <si>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</si>
  <si>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</si>
  <si>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</si>
  <si>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</si>
  <si>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</si>
  <si>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</si>
  <si>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</si>
  <si>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</si>
  <si>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</si>
  <si>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</si>
  <si>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</si>
  <si>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</si>
  <si>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</si>
  <si>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</si>
  <si>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</si>
  <si>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</si>
  <si>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</si>
  <si>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</si>
  <si>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</si>
  <si>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</si>
  <si>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</si>
  <si>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</si>
  <si>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</si>
  <si>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</si>
  <si>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</si>
  <si>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</si>
  <si>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</si>
  <si>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</si>
  <si>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</si>
  <si>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</si>
  <si>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</si>
  <si>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</si>
  <si>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</si>
  <si>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</si>
  <si>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</si>
  <si>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</si>
  <si>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</si>
  <si>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</si>
  <si>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</si>
  <si>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</si>
  <si>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</si>
  <si>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</si>
  <si>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</si>
  <si>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</si>
  <si>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</si>
  <si>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</si>
  <si>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</si>
  <si>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</si>
  <si>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</si>
  <si>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</si>
  <si>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</si>
  <si>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</si>
  <si>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</si>
  <si>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</si>
  <si>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</si>
  <si>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</si>
  <si>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</si>
  <si>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</si>
  <si>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</si>
  <si>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</si>
  <si>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</si>
  <si>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</si>
  <si>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</si>
  <si>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</si>
  <si>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</si>
  <si>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</si>
  <si>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</si>
  <si>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</si>
  <si>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</si>
  <si>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</si>
  <si>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</si>
  <si>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</si>
  <si>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</si>
  <si>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</si>
  <si>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</si>
  <si>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</si>
  <si>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</si>
  <si>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</si>
  <si>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</si>
  <si>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</si>
  <si>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</si>
  <si>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</si>
  <si>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</si>
  <si>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</si>
  <si>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</si>
  <si>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</si>
  <si>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</si>
  <si>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</si>
  <si>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</si>
  <si>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</si>
  <si>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</si>
  <si>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</si>
  <si>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</si>
  <si>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</si>
  <si>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</si>
  <si>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</si>
  <si>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</si>
  <si>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</si>
  <si>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</si>
  <si>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</si>
  <si>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</si>
  <si>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</si>
  <si>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</si>
  <si>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</si>
  <si>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</si>
  <si>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</si>
  <si>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</si>
  <si>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</si>
  <si>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</si>
  <si>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</si>
  <si>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</si>
  <si>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</si>
  <si>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</si>
  <si>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</si>
  <si>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</si>
  <si>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</si>
  <si>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</si>
  <si>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</si>
  <si>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</si>
  <si>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</si>
  <si>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</si>
  <si>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</si>
  <si>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</si>
  <si>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</si>
  <si>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</si>
  <si>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</si>
  <si>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</si>
  <si>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</si>
  <si>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</si>
  <si>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</si>
  <si>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</si>
  <si>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</si>
  <si>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</si>
  <si>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</si>
  <si>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</si>
  <si>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</si>
  <si>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</si>
  <si>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</si>
  <si>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</si>
  <si>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</si>
  <si>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</si>
  <si>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</si>
  <si>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</si>
  <si>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</si>
  <si>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</si>
  <si>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</si>
  <si>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</si>
  <si>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</si>
  <si>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</si>
  <si>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</si>
  <si>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</si>
  <si>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</si>
  <si>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</si>
  <si>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</si>
  <si>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</si>
  <si>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</si>
  <si>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</si>
  <si>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</si>
  <si>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</si>
  <si>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</si>
  <si>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</si>
  <si>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</si>
  <si>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</si>
  <si>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</si>
  <si>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</si>
  <si>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</si>
  <si>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</si>
  <si>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</si>
  <si>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</si>
  <si>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</si>
  <si>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</si>
  <si>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</si>
  <si>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</si>
  <si>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</si>
  <si>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</si>
  <si>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</si>
  <si>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</si>
  <si>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</si>
  <si>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</si>
  <si>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</si>
  <si>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</si>
  <si>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</si>
  <si>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</si>
  <si>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</si>
  <si>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</si>
  <si>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</si>
  <si>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</si>
  <si>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</si>
  <si>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</si>
  <si>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</si>
  <si>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</si>
  <si>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</si>
  <si>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</si>
  <si>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</si>
  <si>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</si>
  <si>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</si>
  <si>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</si>
  <si>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</si>
  <si>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</si>
  <si>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</si>
  <si>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</si>
  <si>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</si>
  <si>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</si>
  <si>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</si>
  <si>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</si>
  <si>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</si>
  <si>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</si>
  <si>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</si>
  <si>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</si>
  <si>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</si>
  <si>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</si>
  <si>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</si>
  <si>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</si>
  <si>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</si>
  <si>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</si>
  <si>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</si>
  <si>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</si>
  <si>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</si>
  <si>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</si>
  <si>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</si>
  <si>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</si>
  <si>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</si>
  <si>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</si>
  <si>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</si>
  <si>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</si>
  <si>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</si>
  <si>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</si>
  <si>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</si>
  <si>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</si>
  <si>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</si>
  <si>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</si>
  <si>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</si>
  <si>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</si>
  <si>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</si>
  <si>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</si>
  <si>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</si>
  <si>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</si>
  <si>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</si>
  <si>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</si>
  <si>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</si>
  <si>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</si>
  <si>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</si>
  <si>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</si>
  <si>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</si>
  <si>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</si>
  <si>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</si>
  <si>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</si>
  <si>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</si>
  <si>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</si>
  <si>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</si>
  <si>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</si>
  <si>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</si>
  <si>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</si>
  <si>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</si>
  <si>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</si>
  <si>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</si>
  <si>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</si>
  <si>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</si>
  <si>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</si>
  <si>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</si>
  <si>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</si>
  <si>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</si>
  <si>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</si>
  <si>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</si>
  <si>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</si>
  <si>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</si>
  <si>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</si>
  <si>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</si>
  <si>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</si>
  <si>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</si>
  <si>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</si>
  <si>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</si>
  <si>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</si>
  <si>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</si>
  <si>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</si>
  <si>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</si>
  <si>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</si>
  <si>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</si>
  <si>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</si>
  <si>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</si>
  <si>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</si>
  <si>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</si>
  <si>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</si>
  <si>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</si>
  <si>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</si>
  <si>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</si>
  <si>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</si>
  <si>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</si>
  <si>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</si>
  <si>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</si>
  <si>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</si>
  <si>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</si>
  <si>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</si>
  <si>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</si>
  <si>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</si>
  <si>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</si>
  <si>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</si>
  <si>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</si>
  <si>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</si>
  <si>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</si>
  <si>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</si>
  <si>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</si>
  <si>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</si>
  <si>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</si>
  <si>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</si>
  <si>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</si>
  <si>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</si>
  <si>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</si>
  <si>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</si>
  <si>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</si>
  <si>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</si>
  <si>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</si>
  <si>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</si>
  <si>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</si>
  <si>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</si>
  <si>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</si>
  <si>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</si>
  <si>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</si>
  <si>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</si>
  <si>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</si>
  <si>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</si>
  <si>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</si>
  <si>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</si>
  <si>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</si>
  <si>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</si>
  <si>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</si>
  <si>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</si>
  <si>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</si>
  <si>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</si>
  <si>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</si>
  <si>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</si>
  <si>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</si>
  <si>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</si>
  <si>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</si>
  <si>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</si>
  <si>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</si>
  <si>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</si>
  <si>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</si>
  <si>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</si>
  <si>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</si>
  <si>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</si>
  <si>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</si>
  <si>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</si>
  <si>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</si>
  <si>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</si>
  <si>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</si>
  <si>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</si>
  <si>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</si>
  <si>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</si>
  <si>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</si>
  <si>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</si>
  <si>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</si>
  <si>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</si>
  <si>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</si>
  <si>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</si>
  <si>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</si>
  <si>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</si>
  <si>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</si>
  <si>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</si>
  <si>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</si>
  <si>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</si>
  <si>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</si>
  <si>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</si>
  <si>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</si>
  <si>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</si>
  <si>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</si>
  <si>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</si>
  <si>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</si>
  <si>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</si>
  <si>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</si>
  <si>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</si>
  <si>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</si>
  <si>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</si>
  <si>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</si>
  <si>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</si>
  <si>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</si>
  <si>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</si>
  <si>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</si>
  <si>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</si>
  <si>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</si>
  <si>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</si>
  <si>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</si>
  <si>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</si>
  <si>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</si>
  <si>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</si>
  <si>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</si>
  <si>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</si>
  <si>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</si>
  <si>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</si>
  <si>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</si>
  <si>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</si>
  <si>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</si>
  <si>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</si>
  <si>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</si>
  <si>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</si>
  <si>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</si>
  <si>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</si>
  <si>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</si>
  <si>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</si>
  <si>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</si>
  <si>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</si>
  <si>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</si>
  <si>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</si>
  <si>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</si>
  <si>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</si>
  <si>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</si>
  <si>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</si>
  <si>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</si>
  <si>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</si>
  <si>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</si>
  <si>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</si>
  <si>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</si>
  <si>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</si>
  <si>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</si>
  <si>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</si>
  <si>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</si>
  <si>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</si>
  <si>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</si>
  <si>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</si>
  <si>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</si>
  <si>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</si>
  <si>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</si>
  <si>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</si>
  <si>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</si>
  <si>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</si>
  <si>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</si>
  <si>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</si>
  <si>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</si>
  <si>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</si>
  <si>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</si>
  <si>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</si>
  <si>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</si>
  <si>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</si>
  <si>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</si>
  <si>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</si>
  <si>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</si>
  <si>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</si>
  <si>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</si>
  <si>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</si>
  <si>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</si>
  <si>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</si>
  <si>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</si>
  <si>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</si>
  <si>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</si>
  <si>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</si>
  <si>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</si>
  <si>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</si>
  <si>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</si>
  <si>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</si>
  <si>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</si>
  <si>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</si>
  <si>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</si>
  <si>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</si>
  <si>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</si>
  <si>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</si>
  <si>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</si>
  <si>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</si>
  <si>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</si>
  <si>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</si>
  <si>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</si>
  <si>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</si>
  <si>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</si>
  <si>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</si>
  <si>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</si>
  <si>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</si>
  <si>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</si>
  <si>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</si>
  <si>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</si>
  <si>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</si>
  <si>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</si>
  <si>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</si>
  <si>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</si>
  <si>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</si>
  <si>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</si>
  <si>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</si>
  <si>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</si>
  <si>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</si>
  <si>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</si>
  <si>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</si>
  <si>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</si>
  <si>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</si>
  <si>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</si>
  <si>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</si>
  <si>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</si>
  <si>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</si>
  <si>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</si>
  <si>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</si>
  <si>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</si>
  <si>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</si>
  <si>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</si>
  <si>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</si>
  <si>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</si>
  <si>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</si>
  <si>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</si>
  <si>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</si>
  <si>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</si>
  <si>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</si>
  <si>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</si>
  <si>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</si>
  <si>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</si>
  <si>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</si>
  <si>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</si>
  <si>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</si>
  <si>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</si>
  <si>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</si>
  <si>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</si>
  <si>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</si>
  <si>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</si>
  <si>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</si>
  <si>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</si>
  <si>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</si>
  <si>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</si>
  <si>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</si>
  <si>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</si>
  <si>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</si>
  <si>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</si>
  <si>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</si>
  <si>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</si>
  <si>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</si>
  <si>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</si>
  <si>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</si>
  <si>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</si>
  <si>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</si>
  <si>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</si>
  <si>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</si>
  <si>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</si>
  <si>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</si>
  <si>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</si>
  <si>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</si>
  <si>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</si>
  <si>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</si>
  <si>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</si>
  <si>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</si>
  <si>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</si>
  <si>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</si>
  <si>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</si>
  <si>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</si>
  <si>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</si>
  <si>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</si>
  <si>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</si>
  <si>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</si>
  <si>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</si>
  <si>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</si>
  <si>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</si>
  <si>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</si>
  <si>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</si>
  <si>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</si>
  <si>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</si>
  <si>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</si>
  <si>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</si>
  <si>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</si>
  <si>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</si>
  <si>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</si>
  <si>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</si>
  <si>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</si>
  <si>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</si>
  <si>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</si>
  <si>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</si>
  <si>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</si>
  <si>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</si>
  <si>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</si>
  <si>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</si>
  <si>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</si>
  <si>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</si>
  <si>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</si>
  <si>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</si>
  <si>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</si>
  <si>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</si>
  <si>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</si>
  <si>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</si>
  <si>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</si>
  <si>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</si>
  <si>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</si>
  <si>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</si>
  <si>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</si>
  <si>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</si>
  <si>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</si>
  <si>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</si>
  <si>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</si>
  <si>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</si>
  <si>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</si>
  <si>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</si>
  <si>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</si>
  <si>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</si>
  <si>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</si>
  <si>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</si>
  <si>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</si>
  <si>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</si>
  <si>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</si>
  <si>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</si>
  <si>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</si>
  <si>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</si>
  <si>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</si>
  <si>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</si>
  <si>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</si>
  <si>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</si>
  <si>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</si>
  <si>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</si>
  <si>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</si>
  <si>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</si>
  <si>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</si>
  <si>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</si>
  <si>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</si>
  <si>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</si>
  <si>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</si>
  <si>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</si>
  <si>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</si>
  <si>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</si>
  <si>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</si>
  <si>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</si>
  <si>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</si>
  <si>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</si>
  <si>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</si>
  <si>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</si>
  <si>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</si>
  <si>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</si>
  <si>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</si>
  <si>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</si>
  <si>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</si>
  <si>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</si>
  <si>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</si>
  <si>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</si>
  <si>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</si>
  <si>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</si>
  <si>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</si>
  <si>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</si>
  <si>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</si>
  <si>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</si>
  <si>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</si>
  <si>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</si>
  <si>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</si>
  <si>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</si>
  <si>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</si>
  <si>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</si>
  <si>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</si>
  <si>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</si>
  <si>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</si>
  <si>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</si>
  <si>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</si>
  <si>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</si>
  <si>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</si>
  <si>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</si>
  <si>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</si>
  <si>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</si>
  <si>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</si>
  <si>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</si>
  <si>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</si>
  <si>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</si>
  <si>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</si>
  <si>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</si>
  <si>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</si>
  <si>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</si>
  <si>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</si>
  <si>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</si>
  <si>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</si>
  <si>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</si>
  <si>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</si>
  <si>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</si>
  <si>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</si>
  <si>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</si>
  <si>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</si>
  <si>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</si>
  <si>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</si>
  <si>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</si>
  <si>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</si>
  <si>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</si>
  <si>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</si>
  <si>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</si>
  <si>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</si>
  <si>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</si>
  <si>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</si>
  <si>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</si>
  <si>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</si>
  <si>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</si>
  <si>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</si>
  <si>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</si>
  <si>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</si>
  <si>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</si>
  <si>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</si>
  <si>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</si>
  <si>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</si>
  <si>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</si>
  <si>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</si>
  <si>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</si>
  <si>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</si>
  <si>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</si>
  <si>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</si>
  <si>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</si>
  <si>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</si>
  <si>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</si>
  <si>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</si>
  <si>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</si>
  <si>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</si>
  <si>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</si>
  <si>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</si>
  <si>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</si>
  <si>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</si>
  <si>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</si>
  <si>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</si>
  <si>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</si>
  <si>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</si>
  <si>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</si>
  <si>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</si>
  <si>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</si>
  <si>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</si>
  <si>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</si>
  <si>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</si>
  <si>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</si>
  <si>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</si>
  <si>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</si>
  <si>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</si>
  <si>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</si>
  <si>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</si>
  <si>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</si>
  <si>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</si>
  <si>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</si>
  <si>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</si>
  <si>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</si>
  <si>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</si>
  <si>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</si>
  <si>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</si>
  <si>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</si>
  <si>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</si>
  <si>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</si>
  <si>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</si>
  <si>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</si>
  <si>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</si>
  <si>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</si>
  <si>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</si>
  <si>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</si>
  <si>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</si>
  <si>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</si>
  <si>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</si>
  <si>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</si>
  <si>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</si>
  <si>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</si>
  <si>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</si>
  <si>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</si>
  <si>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</si>
  <si>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</si>
  <si>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</si>
  <si>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</si>
  <si>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</si>
  <si>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</si>
  <si>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</si>
  <si>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</si>
  <si>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</si>
  <si>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</si>
  <si>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</si>
  <si>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</si>
  <si>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</si>
  <si>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</si>
  <si>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</si>
  <si>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</si>
  <si>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</si>
  <si>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</si>
  <si>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</si>
  <si>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</si>
  <si>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</si>
  <si>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</si>
  <si>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</si>
  <si>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</si>
  <si>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</si>
  <si>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</si>
  <si>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</si>
  <si>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</si>
  <si>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</si>
  <si>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</si>
  <si>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</si>
  <si>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</si>
  <si>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</si>
  <si>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</si>
  <si>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</si>
  <si>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</si>
  <si>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</si>
  <si>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</si>
  <si>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</si>
  <si>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</si>
  <si>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</si>
  <si>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</si>
  <si>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</si>
  <si>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</si>
  <si>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</si>
  <si>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</si>
  <si>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</si>
  <si>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</si>
  <si>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</si>
  <si>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</si>
  <si>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</si>
  <si>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</si>
  <si>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</si>
  <si>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</si>
  <si>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</si>
  <si>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</si>
  <si>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</si>
  <si>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</si>
  <si>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</si>
  <si>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</si>
  <si>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</si>
  <si>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</si>
  <si>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</si>
  <si>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</si>
  <si>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</si>
  <si>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</si>
  <si>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</si>
  <si>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</si>
  <si>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</si>
  <si>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</si>
  <si>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</si>
  <si>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</si>
  <si>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</si>
  <si>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</si>
  <si>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</si>
  <si>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</si>
  <si>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</si>
  <si>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</si>
  <si>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</si>
  <si>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</si>
  <si>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</si>
  <si>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</si>
  <si>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</si>
  <si>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</si>
  <si>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</si>
  <si>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</si>
  <si>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</si>
  <si>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</si>
  <si>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</si>
  <si>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</si>
  <si>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</si>
  <si>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</si>
  <si>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</si>
  <si>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</si>
  <si>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</si>
  <si>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</si>
  <si>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</si>
  <si>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</si>
  <si>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</si>
  <si>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</si>
  <si>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</si>
  <si>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</si>
  <si>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</si>
  <si>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</si>
  <si>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</si>
  <si>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</si>
  <si>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</si>
  <si>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</si>
  <si>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</si>
  <si>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</si>
  <si>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</si>
  <si>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</si>
  <si>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</si>
  <si>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</si>
  <si>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</si>
  <si>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</si>
  <si>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</si>
  <si>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</si>
  <si>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</si>
  <si>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</si>
  <si>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</si>
  <si>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</si>
  <si>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</si>
  <si>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</si>
  <si>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</si>
  <si>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</si>
  <si>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</si>
  <si>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</si>
  <si>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</si>
  <si>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</si>
  <si>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</si>
  <si>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</si>
  <si>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</si>
  <si>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</si>
  <si>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</si>
  <si>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</si>
  <si>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</si>
  <si>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</si>
  <si>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</si>
  <si>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</si>
  <si>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</si>
  <si>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</si>
  <si>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</si>
  <si>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</si>
  <si>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</si>
  <si>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</si>
  <si>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</si>
  <si>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</si>
  <si>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</si>
  <si>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</si>
  <si>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</si>
  <si>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</si>
  <si>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</si>
  <si>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</si>
  <si>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</si>
  <si>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</si>
  <si>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</si>
  <si>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</si>
  <si>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</si>
  <si>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</si>
  <si>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</si>
  <si>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</si>
  <si>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</si>
  <si>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</si>
  <si>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</si>
  <si>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</si>
  <si>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</si>
  <si>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</si>
  <si>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</si>
  <si>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</si>
  <si>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</si>
  <si>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</si>
  <si>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</si>
  <si>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</si>
  <si>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</si>
  <si>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</si>
  <si>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</si>
  <si>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</si>
  <si>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</si>
  <si>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</si>
  <si>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</si>
  <si>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</si>
  <si>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</si>
  <si>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</si>
  <si>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</si>
  <si>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</si>
  <si>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</si>
  <si>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</si>
  <si>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</si>
  <si>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</si>
  <si>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</si>
  <si>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</si>
  <si>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</si>
  <si>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</si>
  <si>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</si>
  <si>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</si>
  <si>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</si>
  <si>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</si>
  <si>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</si>
  <si>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</si>
  <si>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</si>
  <si>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</si>
  <si>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</si>
  <si>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</si>
  <si>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</si>
  <si>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</si>
  <si>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</si>
  <si>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</si>
  <si>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</si>
  <si>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</si>
  <si>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</si>
  <si>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</si>
  <si>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</si>
  <si>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</si>
  <si>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</si>
  <si>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</si>
  <si>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</si>
  <si>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</si>
  <si>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</si>
  <si>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</si>
  <si>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</si>
  <si>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</si>
  <si>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</si>
  <si>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</si>
  <si>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</si>
  <si>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</si>
  <si>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</si>
  <si>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</si>
  <si>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</si>
  <si>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</si>
  <si>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</si>
  <si>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</si>
  <si>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</si>
  <si>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</si>
  <si>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</si>
  <si>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</si>
  <si>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</si>
  <si>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</si>
  <si>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</si>
  <si>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</si>
  <si>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</si>
  <si>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</si>
  <si>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</si>
  <si>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</si>
  <si>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</si>
  <si>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</si>
  <si>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</si>
  <si>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</si>
  <si>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</si>
  <si>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</si>
  <si>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</si>
  <si>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</si>
  <si>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</si>
  <si>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</si>
  <si>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</si>
  <si>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</si>
  <si>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</si>
  <si>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</si>
  <si>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</si>
  <si>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</si>
  <si>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</si>
  <si>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</si>
  <si>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</si>
  <si>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</si>
  <si>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</si>
  <si>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</si>
  <si>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</si>
  <si>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</si>
  <si>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</si>
  <si>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</si>
  <si>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</si>
  <si>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</si>
  <si>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</si>
  <si>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</si>
  <si>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</si>
  <si>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</si>
  <si>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</si>
  <si>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</si>
  <si>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</si>
  <si>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</si>
  <si>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</si>
  <si>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</si>
  <si>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</si>
  <si>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</si>
  <si>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</si>
  <si>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</si>
  <si>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</si>
  <si>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</si>
  <si>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</si>
  <si>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</si>
  <si>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</si>
  <si>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</si>
  <si>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</si>
  <si>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</si>
  <si>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</si>
  <si>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</si>
  <si>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</si>
  <si>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</si>
  <si>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</si>
  <si>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</si>
  <si>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</si>
  <si>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</si>
  <si>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</si>
  <si>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</si>
  <si>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</si>
  <si>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</si>
  <si>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</si>
  <si>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</si>
  <si>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</si>
  <si>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</si>
  <si>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</si>
  <si>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</si>
  <si>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</si>
  <si>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</si>
  <si>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</si>
  <si>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</si>
  <si>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</si>
  <si>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</si>
  <si>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</si>
  <si>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</si>
  <si>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</si>
  <si>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</si>
  <si>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</si>
  <si>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</si>
  <si>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</si>
  <si>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</si>
  <si>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</si>
  <si>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</si>
  <si>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</si>
  <si>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</si>
  <si>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</si>
  <si>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</si>
  <si>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</si>
  <si>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</si>
  <si>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</si>
  <si>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</si>
  <si>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</si>
  <si>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</si>
  <si>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</si>
  <si>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</si>
  <si>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</si>
  <si>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</si>
  <si>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</si>
  <si>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</si>
  <si>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</si>
  <si>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</si>
  <si>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</si>
  <si>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</si>
  <si>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</si>
  <si>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</si>
  <si>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</si>
  <si>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</si>
  <si>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</si>
  <si>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</si>
  <si>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</si>
  <si>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</si>
  <si>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</si>
  <si>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</si>
  <si>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</si>
  <si>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</si>
  <si>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</si>
  <si>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</si>
  <si>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</si>
  <si>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</si>
  <si>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</si>
  <si>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</si>
  <si>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</si>
  <si>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</si>
  <si>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</si>
  <si>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</si>
  <si>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</si>
  <si>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</si>
  <si>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</si>
  <si>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</si>
  <si>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</si>
  <si>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</si>
  <si>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</si>
  <si>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</si>
  <si>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</si>
  <si>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</si>
  <si>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</si>
  <si>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</si>
  <si>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</si>
  <si>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</si>
  <si>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</si>
  <si>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</si>
  <si>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</si>
  <si>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</si>
  <si>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</si>
  <si>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</si>
  <si>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</si>
  <si>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</si>
  <si>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</si>
  <si>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</si>
  <si>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</si>
  <si>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</si>
  <si>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</si>
  <si>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</si>
  <si>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</si>
  <si>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</si>
  <si>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</si>
  <si>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</si>
  <si>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</si>
  <si>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</si>
  <si>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</si>
  <si>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</si>
  <si>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</si>
  <si>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</si>
  <si>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</si>
  <si>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</si>
  <si>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</si>
  <si>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</si>
  <si>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</si>
  <si>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</si>
  <si>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</si>
  <si>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</si>
  <si>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</si>
  <si>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</si>
  <si>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</si>
  <si>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</si>
  <si>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</si>
  <si>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</si>
  <si>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</si>
  <si>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</si>
  <si>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</si>
  <si>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</si>
  <si>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</si>
  <si>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</si>
  <si>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</si>
  <si>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</si>
  <si>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</si>
  <si>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</si>
  <si>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</si>
  <si>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</si>
  <si>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</si>
  <si>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</si>
  <si>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</si>
  <si>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</si>
  <si>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</si>
  <si>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</si>
  <si>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</si>
  <si>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</si>
  <si>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</si>
  <si>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</si>
  <si>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</si>
  <si>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</si>
  <si>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</si>
  <si>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</si>
  <si>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</si>
  <si>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</si>
  <si>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</si>
  <si>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</si>
  <si>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</si>
  <si>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</si>
  <si>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</si>
  <si>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</si>
  <si>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</si>
  <si>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</si>
  <si>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</si>
  <si>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</si>
  <si>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</si>
  <si>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</si>
  <si>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</si>
  <si>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</si>
  <si>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</si>
  <si>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</si>
  <si>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</si>
  <si>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</si>
  <si>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</si>
  <si>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</si>
  <si>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</si>
  <si>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</si>
  <si>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</si>
  <si>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</si>
  <si>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</si>
  <si>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</si>
  <si>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</si>
  <si>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</si>
  <si>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</si>
  <si>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</si>
  <si>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</si>
  <si>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</si>
  <si>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</si>
  <si>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</si>
  <si>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</si>
  <si>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</si>
  <si>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</si>
  <si>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</si>
  <si>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</si>
  <si>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</si>
  <si>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</si>
  <si>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</si>
  <si>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</si>
  <si>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</si>
  <si>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</si>
  <si>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</si>
  <si>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</si>
  <si>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</si>
  <si>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</si>
  <si>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</si>
  <si>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</si>
  <si>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</si>
  <si>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</si>
  <si>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</si>
  <si>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</si>
  <si>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</si>
  <si>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</si>
  <si>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</si>
  <si>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</si>
  <si>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</si>
  <si>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</si>
  <si>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</si>
  <si>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</si>
  <si>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</si>
  <si>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</si>
  <si>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</si>
  <si>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</si>
  <si>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</si>
  <si>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</si>
  <si>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</si>
  <si>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</si>
  <si>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</si>
  <si>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</si>
  <si>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</si>
  <si>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</si>
  <si>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</si>
  <si>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</si>
  <si>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</si>
  <si>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</si>
  <si>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</si>
  <si>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</si>
  <si>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</si>
  <si>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</si>
  <si>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</si>
  <si>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</si>
  <si>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</si>
  <si>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</si>
  <si>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</si>
  <si>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</si>
  <si>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</si>
  <si>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</si>
  <si>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</si>
  <si>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</si>
  <si>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</si>
  <si>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</si>
  <si>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</si>
  <si>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</si>
  <si>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</si>
  <si>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</si>
  <si>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</si>
  <si>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</si>
  <si>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</si>
  <si>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</si>
  <si>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</si>
  <si>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</si>
  <si>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</si>
  <si>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</si>
  <si>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</si>
  <si>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</si>
  <si>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</si>
  <si>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</si>
  <si>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</si>
  <si>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</si>
  <si>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</si>
  <si>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</si>
  <si>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</si>
  <si>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</si>
  <si>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</si>
  <si>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</si>
  <si>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</si>
  <si>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</si>
  <si>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</si>
  <si>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</si>
  <si>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</si>
  <si>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</si>
  <si>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</si>
  <si>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</si>
  <si>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</si>
  <si>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</si>
  <si>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</si>
  <si>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</si>
  <si>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</si>
  <si>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</si>
  <si>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</si>
  <si>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</si>
  <si>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</si>
  <si>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</si>
  <si>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</si>
  <si>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</si>
  <si>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</si>
  <si>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</si>
  <si>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</si>
  <si>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</si>
  <si>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</si>
  <si>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</si>
  <si>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</si>
  <si>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</si>
  <si>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</si>
  <si>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</si>
  <si>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</si>
  <si>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</si>
  <si>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</si>
  <si>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</si>
  <si>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</si>
  <si>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</si>
  <si>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</si>
  <si>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</si>
  <si>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</si>
  <si>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</si>
  <si>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</si>
  <si>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</si>
  <si>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</si>
  <si>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</si>
  <si>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</si>
  <si>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</si>
  <si>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</si>
  <si>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</si>
  <si>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</si>
  <si>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</si>
  <si>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</si>
  <si>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</si>
  <si>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</si>
  <si>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</si>
  <si>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</si>
  <si>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</si>
  <si>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</si>
  <si>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</si>
  <si>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</si>
  <si>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</si>
  <si>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</si>
  <si>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</si>
  <si>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</si>
  <si>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</si>
  <si>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</si>
  <si>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</si>
  <si>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</si>
  <si>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</si>
  <si>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</si>
  <si>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</si>
  <si>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</si>
  <si>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</si>
  <si>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</si>
  <si>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</si>
  <si>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</si>
  <si>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</si>
  <si>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</si>
  <si>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</si>
  <si>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</si>
  <si>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</si>
  <si>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</si>
  <si>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</si>
  <si>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</si>
  <si>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</si>
  <si>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</si>
  <si>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</si>
  <si>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</si>
  <si>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</si>
  <si>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</si>
  <si>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</si>
  <si>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</si>
  <si>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</si>
  <si>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</si>
  <si>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</si>
  <si>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</si>
  <si>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</si>
  <si>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</si>
  <si>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</si>
  <si>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</si>
  <si>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</si>
  <si>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</si>
  <si>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</si>
  <si>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</si>
  <si>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</si>
  <si>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</si>
  <si>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</si>
  <si>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</si>
  <si>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</si>
  <si>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</si>
  <si>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</si>
  <si>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</si>
  <si>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</si>
  <si>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</si>
  <si>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</si>
  <si>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</si>
  <si>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</si>
  <si>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</si>
  <si>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</si>
  <si>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</si>
  <si>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</si>
  <si>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</si>
  <si>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</si>
  <si>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</si>
  <si>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</si>
  <si>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</si>
  <si>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</si>
  <si>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</si>
  <si>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</si>
  <si>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</si>
  <si>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</si>
  <si>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</si>
  <si>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</si>
  <si>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</si>
  <si>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</si>
  <si>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</si>
  <si>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</si>
  <si>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</si>
  <si>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</si>
  <si>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</si>
  <si>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</si>
  <si>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</si>
  <si>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</si>
  <si>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</si>
  <si>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</si>
  <si>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</si>
  <si>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</si>
  <si>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</si>
  <si>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</si>
  <si>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</si>
  <si>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</si>
  <si>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</si>
  <si>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</si>
  <si>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</si>
  <si>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</si>
  <si>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</si>
  <si>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</si>
  <si>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</si>
  <si>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</si>
  <si>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</si>
  <si>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</si>
  <si>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</si>
  <si>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</si>
  <si>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</si>
  <si>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</si>
  <si>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</si>
  <si>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</si>
  <si>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</si>
  <si>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</si>
  <si>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</si>
  <si>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</si>
  <si>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</si>
  <si>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</si>
  <si>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</si>
  <si>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</si>
  <si>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</si>
  <si>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</si>
  <si>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</si>
  <si>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</si>
  <si>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</si>
  <si>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</si>
  <si>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</si>
  <si>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</si>
  <si>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</si>
  <si>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</si>
  <si>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</si>
  <si>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</si>
  <si>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</si>
  <si>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</si>
  <si>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</si>
  <si>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</si>
  <si>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</si>
  <si>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</si>
  <si>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</si>
  <si>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</si>
  <si>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</si>
  <si>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</si>
  <si>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</si>
  <si>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</si>
  <si>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</si>
  <si>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</si>
  <si>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</si>
  <si>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</si>
  <si>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</si>
  <si>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</si>
  <si>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</si>
  <si>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</si>
  <si>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</si>
  <si>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</si>
  <si>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</si>
  <si>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</si>
  <si>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</si>
  <si>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</si>
  <si>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</si>
  <si>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</si>
  <si>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</si>
  <si>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</si>
  <si>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</si>
  <si>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</si>
  <si>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</si>
  <si>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</si>
  <si>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</si>
  <si>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</si>
  <si>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</si>
  <si>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</si>
  <si>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</si>
  <si>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</si>
  <si>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</si>
  <si>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</si>
  <si>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</si>
  <si>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</si>
  <si>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</si>
  <si>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</si>
  <si>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</si>
  <si>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</si>
  <si>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</si>
  <si>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</si>
  <si>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</si>
  <si>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</si>
  <si>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</si>
  <si>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</si>
  <si>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</si>
  <si>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</si>
  <si>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</si>
  <si>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</si>
  <si>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</si>
  <si>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</si>
  <si>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</si>
  <si>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</si>
  <si>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</si>
  <si>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</si>
  <si>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</si>
  <si>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</si>
  <si>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</si>
  <si>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</si>
  <si>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</si>
  <si>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</si>
  <si>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</si>
  <si>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</si>
  <si>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</si>
  <si>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</si>
  <si>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</si>
  <si>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</si>
  <si>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</si>
  <si>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</si>
  <si>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</si>
  <si>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</si>
  <si>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</si>
  <si>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</si>
  <si>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</si>
  <si>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</si>
  <si>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</si>
  <si>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</si>
  <si>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</si>
  <si>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</si>
  <si>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</si>
  <si>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</si>
  <si>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</si>
  <si>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</si>
  <si>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</si>
  <si>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</si>
  <si>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</si>
  <si>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</si>
  <si>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</si>
  <si>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</si>
  <si>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</si>
  <si>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</si>
  <si>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</si>
  <si>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</si>
  <si>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</si>
  <si>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</si>
  <si>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</si>
  <si>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</si>
  <si>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</si>
  <si>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</si>
  <si>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</si>
  <si>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</si>
  <si>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</si>
  <si>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</si>
  <si>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</si>
  <si>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</si>
  <si>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</si>
  <si>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</si>
  <si>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</si>
  <si>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</si>
  <si>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</si>
  <si>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</si>
  <si>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</si>
  <si>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</si>
  <si>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</si>
  <si>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</si>
  <si>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</si>
  <si>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</si>
  <si>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</si>
  <si>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</si>
  <si>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</si>
  <si>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</si>
  <si>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</si>
  <si>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</si>
  <si>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</si>
  <si>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</si>
  <si>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</si>
  <si>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</si>
  <si>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</si>
  <si>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</si>
  <si>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</si>
  <si>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</si>
  <si>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</si>
  <si>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</si>
  <si>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</si>
  <si>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</si>
  <si>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</si>
  <si>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</si>
  <si>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</si>
  <si>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</si>
  <si>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</si>
  <si>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</si>
  <si>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</si>
  <si>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</si>
  <si>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</si>
  <si>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</si>
  <si>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</si>
  <si>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</si>
  <si>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</si>
  <si>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</si>
  <si>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</si>
  <si>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</si>
  <si>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</si>
  <si>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</si>
  <si>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</si>
  <si>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</si>
  <si>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</si>
  <si>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</si>
  <si>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</si>
  <si>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</si>
  <si>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</si>
  <si>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</si>
  <si>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</si>
  <si>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</si>
  <si>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</si>
  <si>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</si>
  <si>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</si>
  <si>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</si>
  <si>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</si>
  <si>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</si>
  <si>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</si>
  <si>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</si>
  <si>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</si>
  <si>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</si>
  <si>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</si>
  <si>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</si>
  <si>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</si>
  <si>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</si>
  <si>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</si>
  <si>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</si>
  <si>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</si>
  <si>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</si>
  <si>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</si>
  <si>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</si>
  <si>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</si>
  <si>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</si>
  <si>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</si>
  <si>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</si>
  <si>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</si>
  <si>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</si>
  <si>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</si>
  <si>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</si>
  <si>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</si>
  <si>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</si>
  <si>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</si>
  <si>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</si>
  <si>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</si>
  <si>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</si>
  <si>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</si>
  <si>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</si>
  <si>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</si>
  <si>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</si>
  <si>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</si>
  <si>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</si>
  <si>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</si>
  <si>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</si>
  <si>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</si>
  <si>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</si>
  <si>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</si>
  <si>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</si>
  <si>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</si>
  <si>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</si>
  <si>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</si>
  <si>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</si>
  <si>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</si>
  <si>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</si>
  <si>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</si>
  <si>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</si>
  <si>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</si>
  <si>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</si>
  <si>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</si>
  <si>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</si>
  <si>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</si>
  <si>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</si>
  <si>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</si>
  <si>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</si>
  <si>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</si>
  <si>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</si>
  <si>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</si>
  <si>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</si>
  <si>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</si>
  <si>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</si>
  <si>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</si>
  <si>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</si>
  <si>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</si>
  <si>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</si>
  <si>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</si>
  <si>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</si>
  <si>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</si>
  <si>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</si>
  <si>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</si>
  <si>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</si>
  <si>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</si>
  <si>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</si>
  <si>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</si>
  <si>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</si>
  <si>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</si>
  <si>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</si>
  <si>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</si>
  <si>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</si>
  <si>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</si>
  <si>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</si>
  <si>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</si>
  <si>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</si>
  <si>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</si>
  <si>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</si>
  <si>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</si>
  <si>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</si>
  <si>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</si>
  <si>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</si>
  <si>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</si>
  <si>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</si>
  <si>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</si>
  <si>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</si>
  <si>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</si>
  <si>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</si>
  <si>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</si>
  <si>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</si>
  <si>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</si>
  <si>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</si>
  <si>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</si>
  <si>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</si>
  <si>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</si>
  <si>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</si>
  <si>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</si>
  <si>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</si>
  <si>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</si>
  <si>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</si>
  <si>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</si>
  <si>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</si>
  <si>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</si>
  <si>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</si>
  <si>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</si>
  <si>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</si>
  <si>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</si>
  <si>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</si>
  <si>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</si>
  <si>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</si>
  <si>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</si>
  <si>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</si>
  <si>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</si>
  <si>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</si>
  <si>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</si>
  <si>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</si>
  <si>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</si>
  <si>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</si>
  <si>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</si>
  <si>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</si>
  <si>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</si>
  <si>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</si>
  <si>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</si>
  <si>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</si>
  <si>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</si>
  <si>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</si>
  <si>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</si>
  <si>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</si>
  <si>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</si>
  <si>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</si>
  <si>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</si>
  <si>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</si>
  <si>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</si>
  <si>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</si>
  <si>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</si>
  <si>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</si>
  <si>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</si>
  <si>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</si>
  <si>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</si>
  <si>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</si>
  <si>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</si>
  <si>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</si>
  <si>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</si>
  <si>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</si>
  <si>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</si>
  <si>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</si>
  <si>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</si>
  <si>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</si>
  <si>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</si>
  <si>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</si>
  <si>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</si>
  <si>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</si>
  <si>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</si>
  <si>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</si>
  <si>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</si>
  <si>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</si>
  <si>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</si>
  <si>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</si>
  <si>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</si>
  <si>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</si>
  <si>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</si>
  <si>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</si>
  <si>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</si>
  <si>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</si>
  <si>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</si>
  <si>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</si>
  <si>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</si>
  <si>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</si>
  <si>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</si>
  <si>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</si>
  <si>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</si>
  <si>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</si>
  <si>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</si>
  <si>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</si>
  <si>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</si>
  <si>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</si>
  <si>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</si>
  <si>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</si>
  <si>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</si>
  <si>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</si>
  <si>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</si>
  <si>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</si>
  <si>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</si>
  <si>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</si>
  <si>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</si>
  <si>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</si>
  <si>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</si>
  <si>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</si>
  <si>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</si>
  <si>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</si>
  <si>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</si>
  <si>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</si>
  <si>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</si>
  <si>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</si>
  <si>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</si>
  <si>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</si>
  <si>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</si>
  <si>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</si>
  <si>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</si>
  <si>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</si>
  <si>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</si>
  <si>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</si>
  <si>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</si>
  <si>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</si>
  <si>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</si>
  <si>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</si>
  <si>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</si>
  <si>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</si>
  <si>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</si>
  <si>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</si>
  <si>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</si>
  <si>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</si>
  <si>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</si>
  <si>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</si>
  <si>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</si>
  <si>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</si>
  <si>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</si>
  <si>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</si>
  <si>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</si>
  <si>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</si>
  <si>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</si>
  <si>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</si>
  <si>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</si>
  <si>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</si>
  <si>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</si>
  <si>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</si>
  <si>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</si>
  <si>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</si>
  <si>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</si>
  <si>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</si>
  <si>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</si>
  <si>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</si>
  <si>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</si>
  <si>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</si>
  <si>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</si>
  <si>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</si>
  <si>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</si>
  <si>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</si>
  <si>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</si>
  <si>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</si>
  <si>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</si>
  <si>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</si>
  <si>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</si>
  <si>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</si>
  <si>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</si>
  <si>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</si>
  <si>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</si>
  <si>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</si>
  <si>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</si>
  <si>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</si>
  <si>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</si>
  <si>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</si>
  <si>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</si>
  <si>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</si>
  <si>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</si>
  <si>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</si>
  <si>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</si>
  <si>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</si>
  <si>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</si>
  <si>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</si>
  <si>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</si>
  <si>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</si>
  <si>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</si>
  <si>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</si>
  <si>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</si>
  <si>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</si>
  <si>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</si>
  <si>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</si>
  <si>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</si>
  <si>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</si>
  <si>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</si>
  <si>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</si>
  <si>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</si>
  <si>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</si>
  <si>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</si>
  <si>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</si>
  <si>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</si>
  <si>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</si>
  <si>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</si>
  <si>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</si>
  <si>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</si>
  <si>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</si>
  <si>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</si>
  <si>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</si>
  <si>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</si>
  <si>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</si>
  <si>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</si>
  <si>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</si>
  <si>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</si>
  <si>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</si>
  <si>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</si>
  <si>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</si>
  <si>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</si>
  <si>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</si>
  <si>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</si>
  <si>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</si>
  <si>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</si>
  <si>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</si>
  <si>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</si>
  <si>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</si>
  <si>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</si>
  <si>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</si>
  <si>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</si>
  <si>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</si>
  <si>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</si>
  <si>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</si>
  <si>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</si>
  <si>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</si>
  <si>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</si>
  <si>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</si>
  <si>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</si>
  <si>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</si>
  <si>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</si>
  <si>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</si>
  <si>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</si>
  <si>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</si>
  <si>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</si>
  <si>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</si>
  <si>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</si>
  <si>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</si>
  <si>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</si>
  <si>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</si>
  <si>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</si>
  <si>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</si>
  <si>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</si>
  <si>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</si>
  <si>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</si>
  <si>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</si>
  <si>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</si>
  <si>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</si>
  <si>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</si>
  <si>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</si>
  <si>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</si>
  <si>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</si>
  <si>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</si>
  <si>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</si>
  <si>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</si>
  <si>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</si>
  <si>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</si>
  <si>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</si>
  <si>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</si>
  <si>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</si>
  <si>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</si>
  <si>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</si>
  <si>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</si>
  <si>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</si>
  <si>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</si>
  <si>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</si>
  <si>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</si>
  <si>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</si>
  <si>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</si>
  <si>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</si>
  <si>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</si>
  <si>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</si>
  <si>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</si>
  <si>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</si>
  <si>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</si>
  <si>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</si>
  <si>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</si>
  <si>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</si>
  <si>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</si>
  <si>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</si>
  <si>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</si>
  <si>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</si>
  <si>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</si>
  <si>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</si>
  <si>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</si>
  <si>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</si>
  <si>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</si>
  <si>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</si>
  <si>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</si>
  <si>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</si>
  <si>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</si>
  <si>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</si>
  <si>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</si>
  <si>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</si>
  <si>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</si>
  <si>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</si>
  <si>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</si>
  <si>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</si>
  <si>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</si>
  <si>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</si>
  <si>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</si>
  <si>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</si>
  <si>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</si>
  <si>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</si>
  <si>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</si>
  <si>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</si>
  <si>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</si>
  <si>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</si>
  <si>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</si>
  <si>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</si>
  <si>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</si>
  <si>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</si>
  <si>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</si>
  <si>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</si>
  <si>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</si>
  <si>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</si>
  <si>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</si>
  <si>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</si>
  <si>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</si>
  <si>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</si>
  <si>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</si>
  <si>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</si>
  <si>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</si>
  <si>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</si>
  <si>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</si>
  <si>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</si>
  <si>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</si>
  <si>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</si>
  <si>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</si>
  <si>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</si>
  <si>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</si>
  <si>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</si>
  <si>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</si>
  <si>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</si>
  <si>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</si>
  <si>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</si>
  <si>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</si>
  <si>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</si>
  <si>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</si>
  <si>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</si>
  <si>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</si>
  <si>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</si>
  <si>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</si>
  <si>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</si>
  <si>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</si>
  <si>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</si>
  <si>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</si>
  <si>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</si>
  <si>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</si>
  <si>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</si>
  <si>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</si>
  <si>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</si>
  <si>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</si>
  <si>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</si>
  <si>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</si>
  <si>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</si>
  <si>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</si>
  <si>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</si>
  <si>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</si>
  <si>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</si>
  <si>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</si>
  <si>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</si>
  <si>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</si>
  <si>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</si>
  <si>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</si>
  <si>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</si>
  <si>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</si>
  <si>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</si>
  <si>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</si>
  <si>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</si>
  <si>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</si>
  <si>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</si>
  <si>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</si>
  <si>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</si>
  <si>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</si>
  <si>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</si>
  <si>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</si>
  <si>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</si>
  <si>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</si>
  <si>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</si>
  <si>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</si>
  <si>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</si>
  <si>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</si>
  <si>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</si>
  <si>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</si>
  <si>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</si>
  <si>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</si>
  <si>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</si>
  <si>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</si>
  <si>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</si>
  <si>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</si>
  <si>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</si>
  <si>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</si>
  <si>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</si>
  <si>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</si>
  <si>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</si>
  <si>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</si>
  <si>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</si>
  <si>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</si>
  <si>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</si>
  <si>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</si>
  <si>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</si>
  <si>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</si>
  <si>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</si>
  <si>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</si>
  <si>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</si>
  <si>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</si>
  <si>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</si>
  <si>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</si>
  <si>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</si>
  <si>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</si>
  <si>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</si>
  <si>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</si>
  <si>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</si>
  <si>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</si>
  <si>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</si>
  <si>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</si>
  <si>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</si>
  <si>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</si>
  <si>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</si>
  <si>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</si>
  <si>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</si>
  <si>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</si>
  <si>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</si>
  <si>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</si>
  <si>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</si>
  <si>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</si>
  <si>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</si>
  <si>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</si>
  <si>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</si>
  <si>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</si>
  <si>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</si>
  <si>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</si>
  <si>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</si>
  <si>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</si>
  <si>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</si>
  <si>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</si>
  <si>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</si>
  <si>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</si>
  <si>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</si>
  <si>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</si>
  <si>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</si>
  <si>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</si>
  <si>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</si>
  <si>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</si>
  <si>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</si>
  <si>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</si>
  <si>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</si>
  <si>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</si>
  <si>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</si>
  <si>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</si>
  <si>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</si>
  <si>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</si>
  <si>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</si>
  <si>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</si>
  <si>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</si>
  <si>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</si>
  <si>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</si>
  <si>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</si>
  <si>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</si>
  <si>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</si>
  <si>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</si>
  <si>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</si>
  <si>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</si>
  <si>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</si>
  <si>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</si>
  <si>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</si>
  <si>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</si>
  <si>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</si>
  <si>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</si>
  <si>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</si>
  <si>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</si>
  <si>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</si>
  <si>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</si>
  <si>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</si>
  <si>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</si>
  <si>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</si>
  <si>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</si>
  <si>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</si>
  <si>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</si>
  <si>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</si>
  <si>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</si>
  <si>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</si>
  <si>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</si>
  <si>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</si>
  <si>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</si>
  <si>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</si>
  <si>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</si>
  <si>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</si>
  <si>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</si>
  <si>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</si>
  <si>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</si>
  <si>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</si>
  <si>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</si>
  <si>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</si>
  <si>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</si>
  <si>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</si>
  <si>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</si>
  <si>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</si>
  <si>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</si>
  <si>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</si>
  <si>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</si>
  <si>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</si>
  <si>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</si>
  <si>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</si>
  <si>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</si>
  <si>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</si>
  <si>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</si>
  <si>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</si>
  <si>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</si>
  <si>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</si>
  <si>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</si>
  <si>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</si>
  <si>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</si>
  <si>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</si>
  <si>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</si>
  <si>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</si>
  <si>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</si>
  <si>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</si>
  <si>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</si>
  <si>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</si>
  <si>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</si>
  <si>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</si>
  <si>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</si>
  <si>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</si>
  <si>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</si>
  <si>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</si>
  <si>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</si>
  <si>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</si>
  <si>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</si>
  <si>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</si>
  <si>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</si>
  <si>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</si>
  <si>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</si>
  <si>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</si>
  <si>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</si>
  <si>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</si>
  <si>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</si>
  <si>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</si>
  <si>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</si>
  <si>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</si>
  <si>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</si>
  <si>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</si>
  <si>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</si>
  <si>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</si>
  <si>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</si>
  <si>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</si>
  <si>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</si>
  <si>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</si>
  <si>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</si>
  <si>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</si>
  <si>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</si>
  <si>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</si>
  <si>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</si>
  <si>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</si>
  <si>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</si>
  <si>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</si>
  <si>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</si>
  <si>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</si>
  <si>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</si>
  <si>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</si>
  <si>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</si>
  <si>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</si>
  <si>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</si>
  <si>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</si>
  <si>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</si>
  <si>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</si>
  <si>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</si>
  <si>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</si>
  <si>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</si>
  <si>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</si>
  <si>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</si>
  <si>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</si>
  <si>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</si>
  <si>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</si>
  <si>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</si>
  <si>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</si>
  <si>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</si>
  <si>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</si>
  <si>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</si>
  <si>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</si>
  <si>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</si>
  <si>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</si>
  <si>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</si>
  <si>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</si>
  <si>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</si>
  <si>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</si>
  <si>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</si>
  <si>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</si>
  <si>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</si>
  <si>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</si>
  <si>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</si>
  <si>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</si>
  <si>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</si>
  <si>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</si>
  <si>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</si>
  <si>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</si>
  <si>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</si>
  <si>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</si>
  <si>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</si>
  <si>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</si>
  <si>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</si>
  <si>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</si>
  <si>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</si>
  <si>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</si>
  <si>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</si>
  <si>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</si>
  <si>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</si>
  <si>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</si>
  <si>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</si>
  <si>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</si>
  <si>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</si>
  <si>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</si>
  <si>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</si>
  <si>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</si>
  <si>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</si>
  <si>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</si>
  <si>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</si>
  <si>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</si>
  <si>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</si>
  <si>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</si>
  <si>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</si>
  <si>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</si>
  <si>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</si>
  <si>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</si>
  <si>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</si>
  <si>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</si>
  <si>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</si>
  <si>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</si>
  <si>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</si>
  <si>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</si>
  <si>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</si>
  <si>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</si>
  <si>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</si>
  <si>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</si>
  <si>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</si>
  <si>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</si>
  <si>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</si>
  <si>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</si>
  <si>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</si>
  <si>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</si>
  <si>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</si>
  <si>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</si>
  <si>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</si>
  <si>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</si>
  <si>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</si>
  <si>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</si>
  <si>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</si>
  <si>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</si>
  <si>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</si>
  <si>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</si>
  <si>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</si>
  <si>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</si>
  <si>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</si>
  <si>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</si>
  <si>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</si>
  <si>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</si>
  <si>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</si>
  <si>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</si>
  <si>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</si>
  <si>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</si>
  <si>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</si>
  <si>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</si>
  <si>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</si>
  <si>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</si>
  <si>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</si>
  <si>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</si>
  <si>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</si>
  <si>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</si>
  <si>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</si>
  <si>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</si>
  <si>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</si>
  <si>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</si>
  <si>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</si>
  <si>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</si>
  <si>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</si>
  <si>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</si>
  <si>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</si>
  <si>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</si>
  <si>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</si>
  <si>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</si>
  <si>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</si>
  <si>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</si>
  <si>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</si>
  <si>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</si>
  <si>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</si>
  <si>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</si>
  <si>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</si>
  <si>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</si>
  <si>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</si>
  <si>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</si>
  <si>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</si>
  <si>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</si>
  <si>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</si>
  <si>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</si>
  <si>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</si>
  <si>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</si>
  <si>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</si>
  <si>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</si>
  <si>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</si>
  <si>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</si>
  <si>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</si>
  <si>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</si>
  <si>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</si>
  <si>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</si>
  <si>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</si>
  <si>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</si>
  <si>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</si>
  <si>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</si>
  <si>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</si>
  <si>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</si>
  <si>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</si>
  <si>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</si>
  <si>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</si>
  <si>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</si>
  <si>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</si>
  <si>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</si>
  <si>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</si>
  <si>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</si>
  <si>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</si>
  <si>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</si>
  <si>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</si>
  <si>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</si>
  <si>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</si>
  <si>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</si>
  <si>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</si>
  <si>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</si>
  <si>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</si>
  <si>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</si>
  <si>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</si>
  <si>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</si>
  <si>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</si>
  <si>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</si>
  <si>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</si>
  <si>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</si>
  <si>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</si>
  <si>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</si>
  <si>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</si>
  <si>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</si>
  <si>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</si>
  <si>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</si>
  <si>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</si>
  <si>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</si>
  <si>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</si>
  <si>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</si>
  <si>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</si>
  <si>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</si>
  <si>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</si>
  <si>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</si>
  <si>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</si>
  <si>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</si>
  <si>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</si>
  <si>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</si>
  <si>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</si>
  <si>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</si>
  <si>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</si>
  <si>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</si>
  <si>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</si>
  <si>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</si>
  <si>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</si>
  <si>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</si>
  <si>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</si>
  <si>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</si>
  <si>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</si>
  <si>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</si>
  <si>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</si>
  <si>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</si>
  <si>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</si>
  <si>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</si>
  <si>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</si>
  <si>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</si>
  <si>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</si>
  <si>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</si>
  <si>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</si>
  <si>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</si>
  <si>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</si>
  <si>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</si>
  <si>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</si>
  <si>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</si>
  <si>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</si>
  <si>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</si>
  <si>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</si>
  <si>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</si>
  <si>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</si>
  <si>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</si>
  <si>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</si>
  <si>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</si>
  <si>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</si>
  <si>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</si>
  <si>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</si>
  <si>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</si>
  <si>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</si>
  <si>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</si>
  <si>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</si>
  <si>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</si>
  <si>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</si>
  <si>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</si>
  <si>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</si>
  <si>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</si>
  <si>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</si>
  <si>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</si>
  <si>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</si>
  <si>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</si>
  <si>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</si>
  <si>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</si>
  <si>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</si>
  <si>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</si>
  <si>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</si>
  <si>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</si>
  <si>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</si>
  <si>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</si>
  <si>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</si>
  <si>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</si>
  <si>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</si>
  <si>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</si>
  <si>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</si>
  <si>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</si>
  <si>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</si>
  <si>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</si>
  <si>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</si>
  <si>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</si>
  <si>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</si>
  <si>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</si>
  <si>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</si>
  <si>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</si>
  <si>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</si>
  <si>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</si>
  <si>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</si>
  <si>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</si>
  <si>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</si>
  <si>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</si>
  <si>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</si>
  <si>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</si>
  <si>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</si>
  <si>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</si>
  <si>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</si>
  <si>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</si>
  <si>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</si>
  <si>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</si>
  <si>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</si>
  <si>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</si>
  <si>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</si>
  <si>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</si>
  <si>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</si>
  <si>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</si>
  <si>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</si>
  <si>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</si>
  <si>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</si>
  <si>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</si>
  <si>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</si>
  <si>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</si>
  <si>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</si>
  <si>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</si>
  <si>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</si>
  <si>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</si>
  <si>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</si>
  <si>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</si>
  <si>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</si>
  <si>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</si>
  <si>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</si>
  <si>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</si>
  <si>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</si>
  <si>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</si>
  <si>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</si>
  <si>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</si>
  <si>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</si>
  <si>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</si>
  <si>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</si>
  <si>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</si>
  <si>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</si>
  <si>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</si>
  <si>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</si>
  <si>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</si>
  <si>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</si>
  <si>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</si>
  <si>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</si>
  <si>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</si>
  <si>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</si>
  <si>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</si>
  <si>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</si>
  <si>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</si>
  <si>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</si>
  <si>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</si>
  <si>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</si>
  <si>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</si>
  <si>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</si>
  <si>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</si>
  <si>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</si>
  <si>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</si>
  <si>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</si>
  <si>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</si>
  <si>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</si>
  <si>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</si>
  <si>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</si>
  <si>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</si>
  <si>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</si>
  <si>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</si>
  <si>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</si>
  <si>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</si>
  <si>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</si>
  <si>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</si>
  <si>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</si>
  <si>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</si>
  <si>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</si>
  <si>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</si>
  <si>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</si>
  <si>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</si>
  <si>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</si>
  <si>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</si>
  <si>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</si>
  <si>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</si>
  <si>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</si>
  <si>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</si>
  <si>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</si>
  <si>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</si>
  <si>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</si>
  <si>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</si>
  <si>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</si>
  <si>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</si>
  <si>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</si>
  <si>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</si>
  <si>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</si>
  <si>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</si>
  <si>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</si>
  <si>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</si>
  <si>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</si>
  <si>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</si>
  <si>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</si>
  <si>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</si>
  <si>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</si>
  <si>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</si>
  <si>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</si>
  <si>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</si>
  <si>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</si>
  <si>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</si>
  <si>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</si>
  <si>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</si>
  <si>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</si>
  <si>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</si>
  <si>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</si>
  <si>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</si>
  <si>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</si>
  <si>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</si>
  <si>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</si>
  <si>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</si>
  <si>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</si>
  <si>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</si>
  <si>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</si>
  <si>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</si>
  <si>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</si>
  <si>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</si>
  <si>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</si>
  <si>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</si>
  <si>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</si>
  <si>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</si>
  <si>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</si>
  <si>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</si>
  <si>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</si>
  <si>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</si>
  <si>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</si>
  <si>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</si>
  <si>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</si>
  <si>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</si>
  <si>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</si>
  <si>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</si>
  <si>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</si>
  <si>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</si>
  <si>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</si>
  <si>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</si>
  <si>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</si>
  <si>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</si>
  <si>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</si>
  <si>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</si>
  <si>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</si>
  <si>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</si>
  <si>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</si>
  <si>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</si>
  <si>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</si>
  <si>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</si>
  <si>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</si>
  <si>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</si>
  <si>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</si>
  <si>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</si>
  <si>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</si>
  <si>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</si>
  <si>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</si>
  <si>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</si>
  <si>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</si>
  <si>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</si>
  <si>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</si>
  <si>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</si>
  <si>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</si>
  <si>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</si>
  <si>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</si>
  <si>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</si>
  <si>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</si>
  <si>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</si>
  <si>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</si>
  <si>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</si>
  <si>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</si>
  <si>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</si>
  <si>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</si>
  <si>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</si>
  <si>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</si>
  <si>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</si>
  <si>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</si>
  <si>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</si>
  <si>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</si>
  <si>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</si>
  <si>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</si>
  <si>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</si>
  <si>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</si>
  <si>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</si>
  <si>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</si>
  <si>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</si>
  <si>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</si>
  <si>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</si>
  <si>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</si>
  <si>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</si>
  <si>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</si>
  <si>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</si>
  <si>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</si>
  <si>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</si>
  <si>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</si>
  <si>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</si>
  <si>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</si>
  <si>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</si>
  <si>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</si>
  <si>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</si>
  <si>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</si>
  <si>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</si>
  <si>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</si>
  <si>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</si>
  <si>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</si>
  <si>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</si>
  <si>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</si>
  <si>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</si>
  <si>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</si>
  <si>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</si>
  <si>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</si>
  <si>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</si>
  <si>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</si>
  <si>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</si>
  <si>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</si>
  <si>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</si>
  <si>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</si>
  <si>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</si>
  <si>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</si>
  <si>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</si>
  <si>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</si>
  <si>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</si>
  <si>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</si>
  <si>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</si>
  <si>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</si>
  <si>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</si>
  <si>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</si>
  <si>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</si>
  <si>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</si>
  <si>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</si>
  <si>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</si>
  <si>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</si>
  <si>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</si>
  <si>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</si>
  <si>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</si>
  <si>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</si>
  <si>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</si>
  <si>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</si>
  <si>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</si>
  <si>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</si>
  <si>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</si>
  <si>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</si>
  <si>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</si>
  <si>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</si>
  <si>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</si>
  <si>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</si>
  <si>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</si>
  <si>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</si>
  <si>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</si>
  <si>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</si>
  <si>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</si>
  <si>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</si>
  <si>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</si>
  <si>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</si>
  <si>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</si>
  <si>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</si>
  <si>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</si>
  <si>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</si>
  <si>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</si>
  <si>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</si>
  <si>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</si>
  <si>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</si>
  <si>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</si>
  <si>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</si>
  <si>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</si>
  <si>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</si>
  <si>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</si>
  <si>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</si>
  <si>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</si>
  <si>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</si>
  <si>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</si>
  <si>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</si>
  <si>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</si>
  <si>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</si>
  <si>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</si>
  <si>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</si>
  <si>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</si>
  <si>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</si>
  <si>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</si>
  <si>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</si>
  <si>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</si>
  <si>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</si>
  <si>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</si>
  <si>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</si>
  <si>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</si>
  <si>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</si>
  <si>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</si>
  <si>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</si>
  <si>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</si>
  <si>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</si>
  <si>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</si>
  <si>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</si>
  <si>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</si>
  <si>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</si>
  <si>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</si>
  <si>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</si>
  <si>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</si>
  <si>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</si>
  <si>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</si>
  <si>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</si>
  <si>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</si>
  <si>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</si>
  <si>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</si>
  <si>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</si>
  <si>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</si>
  <si>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</si>
  <si>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</si>
  <si>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</si>
  <si>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</si>
  <si>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</si>
  <si>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</si>
  <si>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</si>
  <si>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</si>
  <si>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</si>
  <si>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</si>
  <si>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</si>
  <si>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</si>
  <si>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</si>
  <si>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</si>
  <si>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</si>
  <si>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</si>
  <si>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</si>
  <si>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</si>
  <si>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</si>
  <si>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</si>
  <si>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</si>
  <si>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</si>
  <si>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</si>
  <si>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</si>
  <si>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</si>
  <si>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</si>
  <si>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</si>
  <si>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</si>
  <si>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</si>
  <si>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</si>
  <si>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</si>
  <si>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</si>
  <si>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</si>
  <si>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</si>
  <si>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</si>
  <si>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</si>
  <si>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</si>
  <si>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</si>
  <si>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</si>
  <si>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</si>
  <si>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</si>
  <si>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</si>
  <si>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</si>
  <si>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</si>
  <si>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</si>
  <si>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</si>
  <si>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</si>
  <si>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</si>
  <si>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</si>
  <si>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</si>
  <si>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</si>
  <si>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</si>
  <si>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</si>
  <si>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</si>
  <si>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</si>
  <si>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</si>
  <si>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</si>
  <si>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</si>
  <si>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</si>
  <si>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</si>
  <si>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</si>
  <si>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</si>
  <si>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</si>
  <si>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</si>
  <si>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</si>
  <si>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</si>
  <si>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</si>
  <si>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</si>
  <si>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</si>
  <si>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</si>
  <si>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</si>
  <si>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</si>
  <si>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</si>
  <si>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</si>
  <si>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</si>
  <si>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</si>
  <si>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</si>
  <si>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</si>
  <si>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</si>
  <si>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</si>
  <si>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</si>
  <si>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</si>
  <si>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</si>
  <si>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</si>
  <si>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</si>
  <si>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</si>
  <si>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</si>
  <si>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</si>
  <si>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</si>
  <si>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</si>
  <si>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</si>
  <si>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</si>
  <si>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</si>
  <si>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</si>
  <si>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</si>
  <si>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</si>
  <si>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</si>
  <si>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</si>
  <si>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</si>
  <si>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</si>
  <si>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</si>
  <si>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</si>
  <si>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</si>
  <si>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</si>
  <si>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</si>
  <si>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</si>
  <si>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</si>
  <si>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</si>
  <si>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</si>
  <si>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</si>
  <si>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</si>
  <si>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</si>
  <si>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</si>
  <si>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</si>
  <si>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</si>
  <si>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</si>
  <si>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</si>
  <si>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</si>
  <si>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</si>
  <si>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</si>
  <si>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</si>
  <si>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</si>
  <si>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</si>
  <si>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</si>
  <si>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</si>
  <si>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</si>
  <si>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</si>
  <si>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</si>
  <si>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</si>
  <si>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</si>
  <si>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</si>
  <si>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</si>
  <si>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</si>
  <si>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</si>
  <si>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</si>
  <si>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</si>
  <si>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</si>
  <si>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</si>
  <si>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</si>
  <si>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</si>
  <si>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</si>
  <si>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</si>
  <si>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</si>
  <si>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</si>
  <si>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</si>
  <si>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</si>
  <si>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</si>
  <si>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</si>
  <si>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</si>
  <si>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</si>
  <si>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</si>
  <si>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</si>
  <si>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</si>
  <si>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</si>
  <si>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</si>
  <si>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</si>
  <si>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</si>
  <si>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</si>
  <si>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</si>
  <si>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</si>
  <si>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</si>
  <si>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</si>
  <si>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</si>
  <si>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</si>
  <si>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</si>
  <si>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</si>
  <si>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</si>
  <si>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</si>
  <si>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</si>
  <si>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</si>
  <si>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</si>
  <si>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</si>
  <si>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</si>
  <si>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</si>
  <si>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</si>
  <si>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</si>
  <si>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</si>
  <si>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</si>
  <si>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</si>
  <si>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</si>
  <si>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</si>
  <si>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</si>
  <si>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</si>
  <si>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</si>
  <si>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</si>
  <si>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</si>
  <si>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</si>
  <si>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</si>
  <si>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</si>
  <si>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</si>
  <si>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</si>
  <si>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</si>
  <si>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</si>
  <si>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</si>
  <si>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</si>
  <si>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</si>
  <si>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</si>
  <si>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</si>
  <si>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</si>
  <si>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</si>
  <si>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</si>
  <si>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</si>
  <si>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</si>
  <si>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</si>
  <si>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</si>
  <si>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</si>
  <si>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</si>
  <si>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</si>
  <si>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</si>
  <si>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</si>
  <si>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</si>
  <si>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</si>
  <si>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</si>
  <si>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</si>
  <si>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</si>
  <si>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</si>
  <si>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</si>
  <si>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</si>
  <si>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</si>
  <si>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</si>
  <si>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</si>
  <si>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</si>
  <si>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</si>
  <si>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</si>
  <si>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</si>
  <si>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</si>
  <si>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</si>
  <si>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</si>
  <si>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</si>
  <si>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</si>
  <si>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</si>
  <si>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</si>
  <si>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</si>
  <si>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</si>
  <si>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</si>
  <si>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</si>
  <si>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</si>
  <si>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</si>
  <si>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</si>
  <si>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</si>
  <si>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</si>
  <si>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</si>
  <si>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</si>
  <si>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</si>
  <si>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</si>
  <si>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</si>
  <si>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</si>
  <si>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</si>
  <si>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</si>
  <si>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</si>
  <si>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</si>
  <si>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</si>
  <si>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</si>
  <si>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</si>
  <si>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</si>
  <si>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</si>
  <si>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</si>
  <si>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</si>
  <si>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</si>
  <si>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</si>
  <si>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</si>
  <si>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</si>
  <si>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</si>
  <si>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</si>
  <si>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</si>
  <si>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</si>
  <si>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</si>
  <si>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</si>
  <si>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</si>
  <si>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</si>
  <si>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</si>
  <si>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</si>
  <si>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</si>
  <si>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</si>
  <si>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</si>
  <si>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</si>
  <si>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</si>
  <si>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</si>
  <si>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</si>
  <si>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</si>
  <si>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</si>
  <si>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</si>
  <si>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</si>
  <si>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</si>
  <si>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</si>
  <si>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</si>
  <si>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</si>
  <si>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</si>
  <si>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</si>
  <si>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</si>
  <si>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</si>
  <si>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</si>
  <si>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</si>
  <si>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</si>
  <si>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</si>
  <si>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</si>
  <si>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</si>
  <si>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</si>
  <si>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</si>
  <si>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</si>
  <si>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</si>
  <si>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</si>
  <si>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</si>
  <si>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</si>
  <si>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</si>
  <si>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</si>
  <si>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</si>
  <si>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</si>
  <si>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</si>
  <si>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</si>
  <si>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</si>
  <si>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</si>
  <si>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</si>
  <si>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</si>
  <si>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</si>
  <si>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</si>
  <si>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</si>
  <si>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</si>
  <si>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</si>
  <si>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</si>
  <si>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</si>
  <si>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</si>
  <si>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</si>
  <si>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</si>
  <si>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</si>
  <si>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</si>
  <si>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</si>
  <si>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</si>
  <si>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</si>
  <si>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</si>
  <si>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</si>
  <si>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</si>
  <si>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</si>
  <si>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</si>
  <si>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</si>
  <si>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</si>
  <si>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</si>
  <si>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</si>
  <si>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</si>
  <si>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</si>
  <si>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</si>
  <si>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</si>
  <si>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</si>
  <si>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</si>
  <si>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</si>
  <si>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</si>
  <si>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</si>
  <si>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</si>
  <si>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</si>
  <si>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</si>
  <si>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</si>
  <si>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</si>
  <si>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</si>
  <si>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</si>
  <si>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</si>
  <si>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</si>
  <si>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</si>
  <si>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</si>
  <si>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</si>
  <si>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</si>
  <si>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https://toshiba.semicon-storage.com/info/TA75S393F_datasheet_en_20220525.pdf?did=20981&amp;prodName=TA75S393F</t>
  </si>
  <si>
    <t>36V Single Voltage Comparator</t>
  </si>
  <si>
    <t>C840438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</si>
  <si>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</si>
  <si>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</si>
  <si>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</si>
  <si>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</si>
  <si>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</si>
  <si>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</si>
  <si>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</si>
  <si>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</si>
  <si>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</si>
  <si>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</si>
  <si>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</si>
  <si>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</si>
  <si>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</si>
  <si>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</si>
  <si>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</si>
  <si>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</si>
  <si>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</si>
  <si>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</si>
  <si>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</si>
  <si>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</si>
  <si>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</si>
  <si>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</si>
  <si>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</si>
  <si>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</si>
  <si>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</si>
  <si>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</si>
  <si>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</si>
  <si>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</si>
  <si>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</si>
  <si>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</si>
  <si>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</si>
  <si>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</si>
  <si>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</si>
  <si>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</si>
  <si>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</si>
  <si>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</si>
  <si>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</si>
  <si>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</si>
  <si>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</si>
  <si>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</si>
  <si>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</si>
  <si>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</si>
  <si>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</si>
  <si>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</si>
  <si>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</si>
  <si>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</si>
  <si>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</si>
  <si>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</si>
  <si>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</si>
  <si>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</si>
  <si>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</si>
  <si>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</si>
  <si>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</si>
  <si>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</si>
  <si>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</si>
  <si>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</si>
  <si>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</si>
  <si>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</si>
  <si>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</si>
  <si>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</si>
  <si>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</si>
  <si>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</si>
  <si>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</si>
  <si>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</si>
  <si>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</si>
  <si>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</si>
  <si>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</si>
  <si>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</si>
  <si>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</si>
  <si>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</si>
  <si>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</si>
  <si>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</si>
  <si>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</si>
  <si>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</si>
  <si>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</si>
  <si>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</si>
  <si>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</si>
  <si>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</si>
  <si>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</si>
  <si>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</si>
  <si>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</si>
  <si>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</si>
  <si>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</si>
  <si>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</si>
  <si>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</si>
  <si>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</si>
  <si>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</si>
  <si>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</si>
  <si>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</si>
  <si>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</si>
  <si>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</si>
  <si>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</si>
  <si>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</si>
  <si>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</si>
  <si>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</si>
  <si>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</si>
  <si>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</si>
  <si>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</si>
  <si>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</si>
  <si>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</si>
  <si>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</si>
  <si>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</si>
  <si>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</si>
  <si>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</si>
  <si>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</si>
  <si>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</si>
  <si>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</si>
  <si>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</si>
  <si>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</si>
  <si>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</si>
  <si>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</si>
  <si>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</si>
  <si>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</si>
  <si>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</si>
  <si>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</si>
  <si>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</si>
  <si>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</si>
  <si>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</si>
  <si>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</si>
  <si>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</si>
  <si>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</si>
  <si>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</si>
  <si>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</si>
  <si>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</si>
  <si>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</si>
  <si>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</si>
  <si>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</si>
  <si>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</si>
  <si>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</si>
  <si>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</si>
  <si>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</si>
  <si>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</si>
  <si>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</si>
  <si>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</si>
  <si>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</si>
  <si>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</si>
  <si>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</si>
  <si>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</si>
  <si>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</si>
  <si>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</si>
  <si>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</si>
  <si>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</si>
  <si>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</si>
  <si>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</si>
  <si>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</si>
  <si>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</si>
  <si>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</si>
  <si>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</si>
  <si>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</si>
  <si>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</si>
  <si>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</si>
  <si>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</si>
  <si>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</si>
  <si>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</si>
  <si>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</si>
  <si>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</si>
  <si>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</si>
  <si>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</si>
  <si>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</si>
  <si>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</si>
  <si>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</si>
  <si>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</si>
  <si>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</si>
  <si>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</si>
  <si>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</si>
  <si>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</si>
  <si>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</si>
  <si>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</si>
  <si>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</si>
  <si>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</si>
  <si>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</si>
  <si>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</si>
  <si>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</si>
  <si>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</si>
  <si>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</si>
  <si>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</si>
  <si>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</si>
  <si>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</si>
  <si>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</si>
  <si>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</si>
  <si>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</si>
  <si>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</si>
  <si>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</si>
  <si>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</si>
  <si>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</si>
  <si>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</si>
  <si>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</si>
  <si>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</si>
  <si>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</si>
  <si>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</si>
  <si>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</si>
  <si>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</si>
  <si>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</si>
  <si>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</si>
  <si>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</si>
  <si>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</si>
  <si>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</si>
  <si>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</si>
  <si>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</si>
  <si>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</si>
  <si>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</si>
  <si>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</si>
  <si>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</si>
  <si>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</si>
  <si>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</si>
  <si>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</si>
  <si>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</si>
  <si>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</si>
  <si>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</si>
  <si>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</si>
  <si>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</si>
  <si>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</si>
  <si>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</si>
  <si>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</si>
  <si>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</si>
  <si>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</si>
  <si>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</si>
  <si>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</si>
  <si>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</si>
  <si>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</si>
  <si>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</si>
  <si>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</si>
  <si>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</si>
  <si>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</si>
  <si>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</si>
  <si>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</si>
  <si>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</si>
  <si>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</si>
  <si>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</si>
  <si>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</si>
  <si>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</si>
  <si>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</si>
  <si>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</si>
  <si>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</si>
  <si>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</si>
  <si>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</si>
  <si>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</si>
  <si>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</si>
  <si>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</si>
  <si>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</si>
  <si>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</si>
  <si>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</si>
  <si>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</si>
  <si>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</si>
  <si>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</si>
  <si>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</si>
  <si>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</si>
  <si>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</si>
  <si>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</si>
  <si>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</si>
  <si>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</si>
  <si>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</si>
  <si>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</si>
  <si>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</si>
  <si>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</si>
  <si>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</si>
  <si>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</si>
  <si>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</si>
  <si>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</si>
  <si>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</si>
  <si>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</si>
  <si>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</si>
  <si>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</si>
  <si>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</si>
  <si>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</si>
  <si>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</si>
  <si>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</si>
  <si>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</si>
  <si>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</si>
  <si>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</si>
  <si>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</si>
  <si>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</si>
  <si>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</si>
  <si>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</si>
  <si>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</si>
  <si>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</si>
  <si>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</si>
  <si>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</si>
  <si>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</si>
  <si>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</si>
  <si>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</si>
  <si>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</si>
  <si>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</si>
  <si>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</si>
  <si>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</si>
  <si>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</si>
  <si>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</si>
  <si>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</si>
  <si>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</si>
  <si>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</si>
  <si>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</si>
  <si>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</si>
  <si>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</si>
  <si>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</si>
  <si>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</si>
  <si>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</si>
  <si>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</si>
  <si>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</si>
  <si>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</si>
  <si>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</si>
  <si>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</si>
  <si>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</si>
  <si>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</si>
  <si>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</si>
  <si>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</si>
  <si>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</si>
  <si>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</si>
  <si>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</si>
  <si>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</si>
  <si>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</si>
  <si>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</si>
  <si>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</si>
  <si>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</si>
  <si>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</si>
  <si>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</si>
  <si>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</si>
  <si>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</si>
  <si>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</si>
  <si>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</si>
  <si>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</si>
  <si>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</si>
  <si>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</si>
  <si>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</si>
  <si>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</si>
  <si>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</si>
  <si>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</si>
  <si>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</si>
  <si>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</si>
  <si>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</si>
  <si>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</si>
  <si>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</si>
  <si>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</si>
  <si>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</si>
  <si>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</si>
  <si>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</si>
  <si>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</si>
  <si>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</si>
  <si>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</si>
  <si>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</si>
  <si>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</si>
  <si>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</si>
  <si>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</si>
  <si>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</si>
  <si>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</si>
  <si>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</si>
  <si>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</si>
  <si>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</si>
  <si>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</si>
  <si>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</si>
  <si>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</si>
  <si>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</si>
  <si>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</si>
  <si>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</si>
  <si>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</si>
  <si>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</si>
  <si>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</si>
  <si>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</si>
  <si>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</si>
  <si>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</si>
  <si>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</si>
  <si>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</si>
  <si>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</si>
  <si>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</si>
  <si>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</si>
  <si>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</si>
  <si>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</si>
  <si>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</si>
  <si>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</si>
  <si>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</si>
  <si>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</si>
  <si>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</si>
  <si>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</si>
  <si>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</si>
  <si>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</si>
  <si>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</si>
  <si>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</si>
  <si>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</si>
  <si>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</si>
  <si>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</si>
  <si>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</si>
  <si>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</si>
  <si>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</si>
  <si>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</si>
  <si>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</si>
  <si>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</si>
  <si>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</si>
  <si>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</si>
  <si>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</si>
  <si>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</si>
  <si>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</si>
  <si>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</si>
  <si>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</si>
  <si>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</si>
  <si>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</si>
  <si>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</si>
  <si>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</si>
  <si>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</si>
  <si>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</si>
  <si>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</si>
  <si>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</si>
  <si>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</si>
  <si>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</si>
  <si>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</si>
  <si>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</si>
  <si>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</si>
  <si>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</si>
  <si>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</si>
  <si>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</si>
  <si>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</si>
  <si>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</si>
  <si>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</si>
  <si>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</si>
  <si>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</si>
  <si>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</si>
  <si>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</si>
  <si>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</si>
  <si>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</si>
  <si>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</si>
  <si>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</si>
  <si>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</si>
  <si>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</si>
  <si>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</si>
  <si>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</si>
  <si>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</si>
  <si>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</si>
  <si>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</si>
  <si>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</si>
  <si>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</si>
  <si>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</si>
  <si>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</si>
  <si>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</si>
  <si>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</si>
  <si>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</si>
  <si>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</si>
  <si>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</si>
  <si>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</si>
  <si>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</si>
  <si>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</si>
  <si>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</si>
  <si>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</si>
  <si>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</si>
  <si>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</si>
  <si>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</si>
  <si>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</si>
  <si>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</si>
  <si>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</si>
  <si>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</si>
  <si>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</si>
  <si>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</si>
  <si>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</si>
  <si>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</si>
  <si>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</si>
  <si>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</si>
  <si>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</si>
  <si>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</si>
  <si>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</si>
  <si>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</si>
  <si>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</si>
  <si>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</si>
  <si>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</si>
  <si>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</si>
  <si>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</si>
  <si>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</si>
  <si>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</si>
  <si>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</si>
  <si>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</si>
  <si>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</si>
  <si>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</si>
  <si>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</si>
  <si>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</si>
  <si>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</si>
  <si>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</si>
  <si>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</si>
  <si>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</si>
  <si>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</si>
  <si>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</si>
  <si>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</si>
  <si>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</si>
  <si>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</si>
  <si>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</si>
  <si>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</si>
  <si>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</si>
  <si>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</si>
  <si>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</si>
  <si>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</si>
  <si>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</si>
  <si>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</si>
  <si>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</si>
  <si>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</si>
  <si>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</si>
  <si>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</si>
  <si>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</si>
  <si>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</si>
  <si>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</si>
  <si>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</si>
  <si>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</si>
  <si>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</si>
  <si>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</si>
  <si>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</si>
  <si>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</si>
  <si>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</si>
  <si>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</si>
  <si>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</si>
  <si>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</si>
  <si>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</si>
  <si>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</si>
  <si>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</si>
  <si>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</si>
  <si>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</si>
  <si>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</si>
  <si>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</si>
  <si>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</si>
  <si>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</si>
  <si>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</si>
  <si>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</si>
  <si>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</si>
  <si>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</si>
  <si>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</si>
  <si>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</si>
  <si>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</si>
  <si>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</si>
  <si>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</si>
  <si>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</si>
  <si>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</si>
  <si>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</si>
  <si>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</si>
  <si>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</si>
  <si>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</si>
  <si>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</si>
  <si>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</si>
  <si>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</si>
  <si>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</si>
  <si>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</si>
  <si>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</si>
  <si>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</si>
  <si>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</si>
  <si>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</si>
  <si>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</si>
  <si>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</si>
  <si>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</si>
  <si>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</si>
  <si>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</si>
  <si>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</si>
  <si>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</si>
  <si>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</si>
  <si>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</si>
  <si>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</si>
  <si>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</si>
  <si>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</si>
  <si>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</si>
  <si>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</si>
  <si>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</si>
  <si>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</si>
  <si>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</si>
  <si>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</si>
  <si>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</si>
  <si>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</si>
  <si>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</si>
  <si>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</si>
  <si>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</si>
  <si>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</si>
  <si>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</si>
  <si>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</si>
  <si>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</si>
  <si>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</si>
  <si>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</si>
  <si>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</si>
  <si>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</si>
  <si>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</si>
  <si>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</si>
  <si>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</si>
  <si>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</si>
  <si>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</si>
  <si>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</si>
  <si>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</si>
  <si>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</si>
  <si>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</si>
  <si>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</si>
  <si>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</si>
  <si>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</si>
  <si>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</si>
  <si>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</si>
  <si>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</si>
  <si>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</si>
  <si>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</si>
  <si>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</si>
  <si>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</si>
  <si>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</si>
  <si>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</si>
  <si>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</si>
  <si>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</si>
  <si>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</si>
  <si>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</si>
  <si>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</si>
  <si>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</si>
  <si>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</si>
  <si>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</si>
  <si>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</si>
  <si>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</si>
  <si>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</si>
  <si>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</si>
  <si>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</si>
  <si>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</si>
  <si>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</si>
  <si>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</si>
  <si>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</si>
  <si>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</si>
  <si>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</si>
  <si>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</si>
  <si>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</si>
  <si>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</si>
  <si>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</si>
  <si>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</si>
  <si>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</si>
  <si>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</si>
  <si>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</si>
  <si>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</si>
  <si>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</si>
  <si>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</si>
  <si>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</si>
  <si>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</si>
  <si>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</si>
  <si>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</si>
  <si>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</si>
  <si>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</si>
  <si>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</si>
  <si>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</si>
  <si>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</si>
  <si>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</si>
  <si>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</si>
  <si>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</si>
  <si>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</si>
  <si>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</si>
  <si>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</si>
  <si>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</si>
  <si>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</si>
  <si>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</si>
  <si>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</si>
  <si>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</si>
  <si>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</si>
  <si>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</si>
  <si>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</si>
  <si>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</si>
  <si>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</si>
  <si>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</si>
  <si>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</si>
  <si>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</si>
  <si>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</si>
  <si>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</si>
  <si>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</si>
  <si>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</si>
  <si>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</si>
  <si>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</si>
  <si>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</si>
  <si>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</si>
  <si>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</si>
  <si>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</si>
  <si>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</si>
  <si>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</si>
  <si>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</si>
  <si>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</si>
  <si>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</si>
  <si>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</si>
  <si>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</si>
  <si>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</si>
  <si>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</si>
  <si>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</si>
  <si>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</si>
  <si>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</si>
  <si>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</si>
  <si>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</si>
  <si>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</si>
  <si>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</si>
  <si>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</si>
  <si>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</si>
  <si>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</si>
  <si>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</si>
  <si>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</si>
  <si>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</si>
  <si>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</si>
  <si>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</si>
  <si>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</si>
  <si>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</si>
  <si>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</si>
  <si>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</si>
  <si>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</si>
  <si>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</si>
  <si>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</si>
  <si>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</si>
  <si>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</si>
  <si>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</si>
  <si>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</si>
  <si>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</si>
  <si>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</si>
  <si>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</si>
  <si>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</si>
  <si>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</si>
  <si>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</si>
  <si>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</si>
  <si>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</si>
  <si>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</si>
  <si>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</si>
  <si>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</si>
  <si>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</si>
  <si>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</si>
  <si>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</si>
  <si>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</si>
  <si>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</si>
  <si>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</si>
  <si>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</si>
  <si>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</si>
  <si>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</si>
  <si>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</si>
  <si>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</si>
  <si>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</si>
  <si>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</si>
  <si>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</si>
  <si>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</si>
  <si>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</si>
  <si>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</si>
  <si>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</si>
  <si>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</si>
  <si>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</si>
  <si>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</si>
  <si>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</si>
  <si>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</si>
  <si>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</si>
  <si>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</si>
  <si>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</si>
  <si>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</si>
  <si>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</si>
  <si>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</si>
  <si>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</si>
  <si>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</si>
  <si>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</si>
  <si>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</si>
  <si>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</si>
  <si>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</si>
  <si>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</si>
  <si>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</si>
  <si>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</si>
  <si>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</si>
  <si>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</si>
  <si>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</si>
  <si>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</si>
  <si>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</si>
  <si>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</si>
  <si>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</si>
  <si>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</si>
  <si>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</si>
  <si>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</si>
  <si>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</si>
  <si>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</si>
  <si>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</si>
  <si>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</si>
  <si>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</si>
  <si>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</si>
  <si>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</si>
  <si>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</si>
  <si>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</si>
  <si>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</si>
  <si>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</si>
  <si>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</si>
  <si>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</si>
  <si>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</si>
  <si>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</si>
  <si>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</si>
  <si>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</si>
  <si>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</si>
  <si>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</si>
  <si>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</si>
  <si>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</si>
  <si>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</si>
  <si>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</si>
  <si>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</si>
  <si>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</si>
  <si>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</si>
  <si>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</si>
  <si>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</si>
  <si>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</si>
  <si>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</si>
  <si>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</si>
  <si>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</si>
  <si>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</si>
  <si>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</si>
  <si>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</si>
  <si>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</si>
  <si>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</si>
  <si>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</si>
  <si>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</si>
  <si>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</si>
  <si>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</si>
  <si>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</si>
  <si>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</si>
  <si>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</si>
  <si>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</si>
  <si>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</si>
  <si>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</si>
  <si>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</si>
  <si>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</si>
  <si>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</si>
  <si>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</si>
  <si>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</si>
  <si>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</si>
  <si>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</si>
  <si>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</si>
  <si>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</si>
  <si>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</si>
  <si>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</si>
  <si>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</si>
  <si>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</si>
  <si>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</si>
  <si>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</si>
  <si>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</si>
  <si>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</si>
  <si>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</si>
  <si>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</si>
  <si>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</si>
  <si>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</si>
  <si>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</si>
  <si>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</si>
  <si>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</si>
  <si>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</si>
  <si>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</si>
  <si>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</si>
  <si>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</si>
  <si>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</si>
  <si>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</si>
  <si>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</si>
  <si>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</si>
  <si>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</si>
  <si>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</si>
  <si>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</si>
  <si>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</si>
  <si>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</si>
  <si>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</si>
  <si>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</si>
  <si>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</si>
  <si>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</si>
  <si>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</si>
  <si>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</si>
  <si>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</si>
  <si>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</si>
  <si>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</si>
  <si>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</si>
  <si>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</si>
  <si>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</si>
  <si>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</si>
  <si>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</si>
  <si>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</si>
  <si>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</si>
  <si>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</si>
  <si>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</si>
  <si>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</si>
  <si>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</si>
  <si>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</si>
  <si>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</si>
  <si>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</si>
  <si>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</si>
  <si>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</si>
  <si>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</si>
  <si>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</si>
  <si>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</si>
  <si>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</si>
  <si>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</si>
  <si>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</si>
  <si>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</si>
  <si>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</si>
  <si>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</si>
  <si>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</si>
  <si>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</si>
  <si>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</si>
  <si>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</si>
  <si>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</si>
  <si>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</si>
  <si>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</si>
  <si>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</si>
  <si>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</si>
  <si>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</si>
  <si>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</si>
  <si>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</si>
  <si>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</si>
  <si>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</si>
  <si>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</si>
  <si>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</si>
  <si>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</si>
  <si>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</si>
  <si>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</si>
  <si>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</si>
  <si>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</si>
  <si>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</si>
  <si>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</si>
  <si>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</si>
  <si>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</si>
  <si>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</si>
  <si>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</si>
  <si>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</si>
  <si>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</si>
  <si>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</si>
  <si>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</si>
  <si>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</si>
  <si>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</si>
  <si>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</si>
  <si>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</si>
  <si>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</si>
  <si>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</si>
  <si>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</si>
  <si>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</si>
  <si>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</si>
  <si>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</si>
  <si>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</si>
  <si>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</si>
  <si>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</si>
  <si>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</si>
  <si>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</si>
  <si>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</si>
  <si>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</si>
  <si>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</si>
  <si>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</si>
  <si>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</si>
  <si>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</si>
  <si>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</si>
  <si>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</si>
  <si>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</si>
  <si>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</si>
  <si>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</si>
  <si>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</si>
  <si>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</si>
  <si>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</si>
  <si>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</si>
  <si>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</si>
  <si>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</si>
  <si>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</si>
  <si>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</si>
  <si>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</si>
  <si>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</si>
  <si>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</si>
  <si>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</si>
  <si>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</si>
  <si>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</si>
  <si>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</si>
  <si>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</si>
  <si>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</si>
  <si>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</si>
  <si>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</si>
  <si>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</si>
  <si>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</si>
  <si>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</si>
  <si>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</si>
  <si>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</si>
  <si>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</si>
  <si>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</si>
  <si>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</si>
  <si>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</si>
  <si>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</si>
  <si>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</si>
  <si>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</si>
  <si>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</si>
  <si>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</si>
  <si>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</si>
  <si>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</si>
  <si>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</si>
  <si>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</si>
  <si>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</si>
  <si>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</si>
  <si>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</si>
  <si>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</si>
  <si>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</si>
  <si>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</si>
  <si>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</si>
  <si>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</si>
  <si>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</si>
  <si>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</si>
  <si>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</si>
  <si>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</si>
  <si>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</si>
  <si>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</si>
  <si>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</si>
  <si>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</si>
  <si>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</si>
  <si>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</si>
  <si>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</si>
  <si>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</si>
  <si>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</si>
  <si>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</si>
  <si>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</si>
  <si>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</si>
  <si>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</si>
  <si>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</si>
  <si>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</si>
  <si>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</si>
  <si>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</si>
  <si>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</si>
  <si>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</si>
  <si>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</si>
  <si>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</si>
  <si>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</si>
  <si>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</si>
  <si>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</si>
  <si>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</si>
  <si>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</si>
  <si>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</si>
  <si>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</si>
  <si>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</si>
  <si>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</si>
  <si>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</si>
  <si>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</si>
  <si>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</si>
  <si>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</si>
  <si>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</si>
  <si>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</si>
  <si>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</si>
  <si>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</si>
  <si>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</si>
  <si>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</si>
  <si>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</si>
  <si>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</si>
  <si>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</si>
  <si>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</si>
  <si>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</si>
  <si>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</si>
  <si>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</si>
  <si>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</si>
  <si>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</si>
  <si>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</si>
  <si>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</si>
  <si>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</si>
  <si>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</si>
  <si>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</si>
  <si>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</si>
  <si>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</si>
  <si>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</si>
  <si>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</si>
  <si>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</si>
  <si>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</si>
  <si>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</si>
  <si>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</si>
  <si>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</si>
  <si>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</si>
  <si>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</si>
  <si>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</si>
  <si>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</si>
  <si>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</si>
  <si>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</si>
  <si>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</si>
  <si>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</si>
  <si>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</si>
  <si>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</si>
  <si>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</si>
  <si>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</si>
  <si>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</si>
  <si>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</si>
  <si>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</si>
  <si>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</si>
  <si>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</si>
  <si>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</si>
  <si>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</si>
  <si>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</si>
  <si>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</si>
  <si>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</si>
  <si>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</si>
  <si>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</si>
  <si>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</si>
  <si>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</si>
  <si>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</si>
  <si>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</si>
  <si>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</si>
  <si>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</si>
  <si>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</si>
  <si>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</si>
  <si>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</si>
  <si>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</si>
  <si>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</si>
  <si>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</si>
  <si>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</si>
  <si>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</si>
  <si>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</si>
  <si>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</si>
  <si>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</si>
  <si>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</si>
  <si>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</si>
  <si>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</si>
  <si>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</si>
  <si>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</si>
  <si>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</si>
  <si>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</si>
  <si>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</si>
  <si>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</si>
  <si>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</si>
  <si>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</si>
  <si>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</si>
  <si>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</si>
  <si>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</si>
  <si>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</si>
  <si>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</si>
  <si>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</si>
  <si>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</si>
  <si>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</si>
  <si>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</si>
  <si>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</si>
  <si>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</si>
  <si>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</si>
  <si>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</si>
  <si>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</si>
  <si>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</si>
  <si>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</si>
  <si>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</si>
  <si>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</si>
  <si>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</si>
  <si>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</si>
  <si>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</si>
  <si>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</si>
  <si>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</si>
  <si>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</si>
  <si>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</si>
  <si>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</si>
  <si>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</si>
  <si>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</si>
  <si>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</si>
  <si>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</si>
  <si>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</si>
  <si>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</si>
  <si>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</si>
  <si>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</si>
  <si>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</si>
  <si>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</si>
  <si>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</si>
  <si>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</si>
  <si>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</si>
  <si>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</si>
  <si>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</si>
  <si>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</si>
  <si>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</si>
  <si>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</si>
  <si>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</si>
  <si>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</si>
  <si>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</si>
  <si>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</si>
  <si>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</si>
  <si>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</si>
  <si>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</si>
  <si>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</si>
  <si>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</si>
  <si>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</si>
  <si>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</si>
  <si>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</si>
  <si>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</si>
  <si>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</si>
  <si>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</si>
  <si>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</si>
  <si>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</si>
  <si>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</si>
  <si>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</si>
  <si>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</si>
  <si>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</si>
  <si>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</si>
  <si>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</si>
  <si>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</si>
  <si>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</si>
  <si>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</si>
  <si>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</si>
  <si>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</si>
  <si>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</si>
  <si>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</si>
  <si>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</si>
  <si>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</si>
  <si>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</si>
  <si>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</si>
  <si>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</si>
  <si>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</si>
  <si>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</si>
  <si>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</si>
  <si>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</si>
  <si>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</si>
  <si>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</si>
  <si>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</si>
  <si>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</si>
  <si>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</si>
  <si>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</si>
  <si>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</si>
  <si>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</si>
  <si>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</si>
  <si>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</si>
  <si>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</si>
  <si>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</si>
  <si>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</si>
  <si>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</si>
  <si>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</si>
  <si>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</si>
  <si>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</si>
  <si>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</si>
  <si>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</si>
  <si>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</si>
  <si>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</si>
  <si>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</si>
  <si>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</si>
  <si>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</si>
  <si>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</si>
  <si>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</si>
  <si>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</si>
  <si>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</si>
  <si>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</si>
  <si>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</si>
  <si>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</si>
  <si>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</si>
  <si>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</si>
  <si>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</si>
  <si>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</si>
  <si>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</si>
  <si>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</si>
  <si>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</si>
  <si>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</si>
  <si>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</si>
  <si>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</si>
  <si>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</si>
  <si>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</si>
  <si>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</si>
  <si>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</si>
  <si>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</si>
  <si>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</si>
  <si>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</si>
  <si>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</si>
  <si>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</si>
  <si>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</si>
  <si>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</si>
  <si>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</si>
  <si>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</si>
  <si>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</si>
  <si>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</si>
  <si>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</si>
  <si>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</si>
  <si>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</si>
  <si>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</si>
  <si>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</si>
  <si>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</si>
  <si>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</si>
  <si>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</si>
  <si>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</si>
  <si>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</si>
  <si>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</si>
  <si>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</si>
  <si>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</si>
  <si>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</si>
  <si>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</si>
  <si>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</si>
  <si>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</si>
  <si>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</si>
  <si>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</si>
  <si>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</si>
  <si>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</si>
  <si>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</si>
  <si>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</si>
  <si>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</si>
  <si>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</si>
  <si>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</si>
  <si>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</si>
  <si>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</si>
  <si>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</si>
  <si>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</si>
  <si>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</si>
  <si>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</si>
  <si>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</si>
  <si>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</si>
  <si>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</si>
  <si>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</si>
  <si>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</si>
  <si>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</si>
  <si>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</si>
  <si>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</si>
  <si>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</si>
  <si>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</si>
  <si>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</si>
  <si>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</si>
  <si>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</si>
  <si>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</si>
  <si>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</si>
  <si>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</si>
  <si>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</si>
  <si>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</si>
  <si>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</si>
  <si>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</si>
  <si>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</si>
  <si>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</si>
  <si>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</si>
  <si>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</si>
  <si>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</si>
  <si>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</si>
  <si>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</si>
  <si>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</si>
  <si>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</si>
  <si>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</si>
  <si>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</si>
  <si>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</si>
  <si>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</si>
  <si>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</si>
  <si>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</si>
  <si>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</si>
  <si>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</si>
  <si>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</si>
  <si>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</si>
  <si>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</si>
  <si>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</si>
  <si>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</si>
  <si>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</si>
  <si>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</si>
  <si>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</si>
  <si>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</si>
  <si>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</si>
  <si>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</si>
  <si>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</si>
  <si>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</si>
  <si>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</si>
  <si>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</si>
  <si>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</si>
  <si>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</si>
  <si>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</si>
  <si>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</si>
  <si>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</si>
  <si>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</si>
  <si>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</si>
  <si>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</si>
  <si>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</si>
  <si>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</si>
  <si>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</si>
  <si>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</si>
  <si>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</si>
  <si>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</si>
  <si>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</si>
  <si>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</si>
  <si>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</si>
  <si>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</si>
  <si>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</si>
  <si>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</si>
  <si>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</si>
  <si>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</si>
  <si>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</si>
  <si>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</si>
  <si>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</si>
  <si>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</si>
  <si>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</si>
  <si>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</si>
  <si>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</si>
  <si>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</si>
  <si>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</si>
  <si>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</si>
  <si>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</si>
  <si>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</si>
  <si>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</si>
  <si>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</si>
  <si>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</si>
  <si>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</si>
  <si>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</si>
  <si>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</si>
  <si>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</si>
  <si>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</si>
  <si>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</si>
  <si>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</si>
  <si>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</si>
  <si>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</si>
  <si>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</si>
  <si>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</si>
  <si>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</si>
  <si>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</si>
  <si>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</si>
  <si>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</si>
  <si>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</si>
  <si>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</si>
  <si>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</si>
  <si>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</si>
  <si>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</si>
  <si>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</si>
  <si>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</si>
  <si>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</si>
  <si>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</si>
  <si>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</si>
  <si>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</si>
  <si>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</si>
  <si>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</si>
  <si>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</si>
  <si>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</si>
  <si>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</si>
  <si>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</si>
  <si>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</si>
  <si>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</si>
  <si>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</si>
  <si>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</si>
  <si>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</si>
  <si>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</si>
  <si>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</si>
  <si>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</si>
  <si>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</si>
  <si>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</si>
  <si>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</si>
  <si>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</si>
  <si>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</si>
  <si>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</si>
  <si>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</si>
  <si>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</si>
  <si>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</si>
  <si>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</si>
  <si>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</si>
  <si>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</si>
  <si>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</si>
  <si>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</si>
  <si>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</si>
  <si>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</si>
  <si>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</si>
  <si>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</si>
  <si>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</si>
  <si>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</si>
  <si>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</si>
  <si>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</si>
  <si>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</si>
  <si>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</si>
  <si>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</si>
  <si>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</si>
  <si>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</si>
  <si>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</si>
  <si>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</si>
  <si>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</si>
  <si>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</si>
  <si>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</si>
  <si>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</si>
  <si>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</si>
  <si>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</si>
  <si>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</si>
  <si>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</si>
  <si>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</si>
  <si>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</si>
  <si>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</si>
  <si>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</si>
  <si>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</si>
  <si>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</si>
  <si>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</si>
  <si>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</si>
  <si>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</si>
  <si>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</si>
  <si>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</si>
  <si>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</si>
  <si>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</si>
  <si>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</si>
  <si>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</si>
  <si>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</si>
  <si>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</si>
  <si>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</si>
  <si>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</si>
  <si>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</si>
  <si>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</si>
  <si>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</si>
  <si>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</si>
  <si>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</si>
  <si>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</si>
  <si>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</si>
  <si>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</si>
  <si>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</si>
  <si>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</si>
  <si>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</si>
  <si>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</si>
  <si>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</si>
  <si>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</si>
  <si>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</si>
  <si>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</si>
  <si>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</si>
  <si>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</si>
  <si>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</si>
  <si>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</si>
  <si>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</si>
  <si>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</si>
  <si>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</si>
  <si>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</si>
  <si>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</si>
  <si>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</si>
  <si>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</si>
  <si>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</si>
  <si>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</si>
  <si>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</si>
  <si>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</si>
  <si>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</si>
  <si>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</si>
  <si>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</si>
  <si>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</si>
  <si>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</si>
  <si>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</si>
  <si>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</si>
  <si>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</si>
  <si>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</si>
  <si>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</si>
  <si>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</si>
  <si>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</si>
  <si>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</si>
  <si>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</si>
  <si>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</si>
  <si>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</si>
  <si>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</si>
  <si>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</si>
  <si>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</si>
  <si>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</si>
  <si>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</si>
  <si>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</si>
  <si>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</si>
  <si>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</si>
  <si>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</si>
  <si>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</si>
  <si>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</si>
  <si>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</si>
  <si>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</si>
  <si>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</si>
  <si>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</si>
  <si>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</si>
  <si>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</si>
  <si>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</si>
  <si>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</si>
  <si>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</si>
  <si>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</si>
  <si>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</si>
  <si>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</si>
  <si>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</si>
  <si>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</si>
  <si>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</si>
  <si>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</si>
  <si>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</si>
  <si>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</si>
  <si>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</si>
  <si>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</si>
  <si>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</si>
  <si>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</si>
  <si>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</si>
  <si>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</si>
  <si>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</si>
  <si>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</si>
  <si>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</si>
  <si>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</si>
  <si>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</si>
  <si>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</si>
  <si>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</si>
  <si>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</si>
  <si>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</si>
  <si>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</si>
  <si>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</si>
  <si>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</si>
  <si>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</si>
  <si>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</si>
  <si>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</si>
  <si>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</si>
  <si>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</si>
  <si>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</si>
  <si>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</si>
  <si>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</si>
  <si>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</si>
  <si>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</si>
  <si>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</si>
  <si>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</si>
  <si>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</si>
  <si>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</si>
  <si>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</si>
  <si>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</si>
  <si>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</si>
  <si>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</si>
  <si>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</si>
  <si>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</si>
  <si>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</si>
  <si>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</si>
  <si>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</si>
  <si>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</si>
  <si>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</si>
  <si>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</si>
  <si>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</si>
  <si>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</si>
  <si>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</si>
  <si>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</si>
  <si>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</si>
  <si>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</si>
  <si>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</si>
  <si>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</si>
  <si>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</si>
  <si>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</si>
  <si>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</si>
  <si>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</si>
  <si>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</si>
  <si>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</si>
  <si>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</si>
  <si>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</si>
  <si>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</si>
  <si>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</si>
  <si>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</si>
  <si>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</si>
  <si>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</si>
  <si>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</si>
  <si>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</si>
  <si>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</si>
  <si>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</si>
  <si>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</si>
  <si>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</si>
  <si>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</si>
  <si>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</si>
  <si>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</si>
  <si>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</si>
  <si>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</si>
  <si>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</si>
  <si>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</si>
  <si>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</si>
  <si>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</si>
  <si>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</si>
  <si>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</si>
  <si>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</si>
  <si>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</si>
  <si>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</si>
  <si>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</si>
  <si>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</si>
  <si>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</si>
  <si>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</si>
  <si>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</si>
  <si>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</si>
  <si>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</si>
  <si>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</si>
  <si>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</si>
  <si>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</si>
  <si>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</si>
  <si>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</si>
  <si>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</si>
  <si>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</si>
  <si>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</si>
  <si>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</si>
  <si>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</si>
  <si>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</si>
  <si>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</si>
  <si>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</si>
  <si>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</si>
  <si>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</si>
  <si>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</si>
  <si>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</si>
  <si>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</si>
  <si>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</si>
  <si>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</si>
  <si>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</si>
  <si>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</si>
  <si>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</si>
  <si>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</si>
  <si>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</si>
  <si>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</si>
  <si>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</si>
  <si>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</si>
  <si>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</si>
  <si>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</si>
  <si>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</si>
  <si>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</si>
  <si>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</si>
  <si>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</si>
  <si>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</si>
  <si>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</si>
  <si>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</si>
  <si>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</si>
  <si>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</si>
  <si>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</si>
  <si>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</si>
  <si>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</si>
  <si>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</si>
  <si>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</si>
  <si>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</si>
  <si>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</si>
  <si>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</si>
  <si>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</si>
  <si>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</si>
  <si>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</si>
  <si>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</si>
  <si>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</si>
  <si>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</si>
  <si>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</si>
  <si>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</si>
  <si>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</si>
  <si>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</si>
  <si>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</si>
  <si>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</si>
  <si>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</si>
  <si>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</si>
  <si>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</si>
  <si>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</si>
  <si>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</si>
  <si>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</si>
  <si>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</si>
  <si>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</si>
  <si>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</si>
  <si>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</si>
  <si>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</si>
  <si>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</si>
  <si>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</si>
  <si>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</si>
  <si>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</si>
  <si>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</si>
  <si>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</si>
  <si>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</si>
  <si>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</si>
  <si>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</si>
  <si>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</si>
  <si>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</si>
  <si>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</si>
  <si>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</si>
  <si>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</si>
  <si>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</si>
  <si>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</si>
  <si>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</si>
  <si>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</si>
  <si>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</si>
  <si>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</si>
  <si>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</si>
  <si>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</si>
  <si>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</si>
  <si>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</si>
  <si>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</si>
  <si>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</si>
  <si>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</si>
  <si>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</si>
  <si>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</si>
  <si>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</si>
  <si>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</si>
  <si>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</si>
  <si>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</si>
  <si>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</si>
  <si>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</si>
  <si>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</si>
  <si>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</si>
  <si>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</si>
  <si>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</si>
  <si>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</si>
  <si>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</si>
  <si>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</si>
  <si>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</si>
  <si>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</si>
  <si>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</si>
  <si>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</si>
  <si>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</si>
  <si>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</si>
  <si>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</si>
  <si>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</si>
  <si>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</si>
  <si>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</si>
  <si>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</si>
  <si>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</si>
  <si>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</si>
  <si>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</si>
  <si>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</si>
  <si>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</si>
  <si>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</si>
  <si>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</si>
  <si>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</si>
  <si>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</si>
  <si>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</si>
  <si>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</si>
  <si>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</si>
  <si>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</si>
  <si>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</si>
  <si>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</si>
  <si>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</si>
  <si>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</si>
  <si>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</si>
  <si>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</si>
  <si>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</si>
  <si>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</si>
  <si>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</si>
  <si>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</si>
  <si>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</si>
  <si>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</si>
  <si>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</si>
  <si>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</si>
  <si>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</si>
  <si>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</si>
  <si>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</si>
  <si>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</si>
  <si>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</si>
  <si>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</si>
  <si>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</si>
  <si>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</si>
  <si>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</si>
  <si>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</si>
  <si>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</si>
  <si>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</si>
  <si>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</si>
  <si>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</si>
  <si>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</si>
  <si>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</si>
  <si>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</si>
  <si>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</si>
  <si>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</si>
  <si>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</si>
  <si>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</si>
  <si>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</si>
  <si>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</si>
  <si>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</si>
  <si>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</si>
  <si>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</si>
  <si>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</si>
  <si>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</si>
  <si>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</si>
  <si>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</si>
  <si>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</si>
  <si>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</si>
  <si>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</si>
  <si>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</si>
  <si>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</si>
  <si>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</si>
  <si>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</si>
  <si>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</si>
  <si>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</si>
  <si>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</si>
  <si>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</si>
  <si>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</si>
  <si>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</si>
  <si>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</si>
  <si>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</si>
  <si>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</si>
  <si>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</si>
  <si>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</si>
  <si>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</si>
  <si>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</si>
  <si>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</si>
  <si>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</si>
  <si>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</si>
  <si>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</si>
  <si>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</si>
  <si>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</si>
  <si>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</si>
  <si>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</si>
  <si>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</si>
  <si>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</si>
  <si>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</si>
  <si>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</si>
  <si>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</si>
  <si>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</si>
  <si>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</si>
  <si>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</si>
  <si>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</si>
  <si>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</si>
  <si>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</si>
  <si>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</si>
  <si>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</si>
  <si>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</si>
  <si>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</si>
  <si>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</si>
  <si>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</si>
  <si>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</si>
  <si>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</si>
  <si>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</si>
  <si>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</si>
  <si>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</si>
  <si>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</si>
  <si>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</si>
  <si>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</si>
  <si>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</si>
  <si>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</si>
  <si>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</si>
  <si>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</si>
  <si>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</si>
  <si>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</si>
  <si>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</si>
  <si>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</si>
  <si>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</si>
  <si>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</si>
  <si>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</si>
  <si>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</si>
  <si>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</si>
  <si>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</si>
  <si>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</si>
  <si>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</si>
  <si>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</si>
  <si>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</si>
  <si>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</si>
  <si>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</si>
  <si>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</si>
  <si>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</si>
  <si>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</si>
  <si>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</si>
  <si>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</si>
  <si>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</si>
  <si>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</si>
  <si>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</si>
  <si>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</si>
  <si>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</si>
  <si>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</si>
  <si>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</si>
  <si>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</si>
  <si>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</si>
  <si>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</si>
  <si>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</si>
  <si>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</si>
  <si>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</si>
  <si>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</si>
  <si>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</si>
  <si>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</si>
  <si>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</si>
  <si>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</si>
  <si>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</si>
  <si>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</si>
  <si>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</si>
  <si>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</si>
  <si>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</si>
  <si>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</si>
  <si>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</si>
  <si>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</si>
  <si>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</si>
  <si>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</si>
  <si>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</si>
  <si>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</si>
  <si>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</si>
  <si>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</si>
  <si>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</si>
  <si>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</si>
  <si>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</si>
  <si>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</si>
  <si>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</si>
  <si>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</si>
  <si>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</si>
  <si>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</si>
  <si>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</si>
  <si>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</si>
  <si>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</si>
  <si>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</si>
  <si>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</si>
  <si>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</si>
  <si>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</si>
  <si>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</si>
  <si>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</si>
  <si>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</si>
  <si>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</si>
  <si>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</si>
  <si>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</si>
  <si>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</si>
  <si>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</si>
  <si>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</si>
  <si>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</si>
  <si>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</si>
  <si>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</si>
  <si>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</si>
  <si>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</si>
  <si>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</si>
  <si>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</si>
  <si>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</si>
  <si>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</si>
  <si>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</si>
  <si>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</si>
  <si>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</si>
  <si>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</si>
  <si>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</si>
  <si>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</si>
  <si>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</si>
  <si>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</si>
  <si>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</si>
  <si>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</si>
  <si>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</si>
  <si>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</si>
  <si>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</si>
  <si>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</si>
  <si>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</si>
  <si>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</si>
  <si>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</si>
  <si>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</si>
  <si>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</si>
  <si>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</si>
  <si>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</si>
  <si>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</si>
  <si>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</si>
  <si>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</si>
  <si>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</si>
  <si>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</si>
  <si>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</si>
  <si>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</si>
  <si>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</si>
  <si>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</si>
  <si>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</si>
  <si>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</si>
  <si>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</si>
  <si>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</si>
  <si>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</si>
  <si>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</si>
  <si>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</si>
  <si>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</si>
  <si>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</si>
  <si>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</si>
  <si>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</si>
  <si>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</si>
  <si>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</si>
  <si>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</si>
  <si>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</si>
  <si>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</si>
  <si>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</si>
  <si>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</si>
  <si>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</si>
  <si>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</si>
  <si>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</si>
  <si>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</si>
  <si>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</si>
  <si>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</si>
  <si>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</si>
  <si>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</si>
  <si>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</si>
  <si>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</si>
  <si>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</si>
  <si>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</si>
  <si>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</si>
  <si>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</si>
  <si>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</si>
  <si>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</si>
  <si>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</si>
  <si>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</si>
  <si>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</si>
  <si>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</si>
  <si>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</si>
  <si>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</si>
  <si>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</si>
  <si>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</si>
  <si>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</si>
  <si>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</si>
  <si>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</si>
  <si>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</si>
  <si>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</si>
  <si>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</si>
  <si>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</si>
  <si>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</si>
  <si>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</si>
  <si>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</si>
  <si>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</si>
  <si>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</si>
  <si>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</si>
  <si>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</si>
  <si>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</si>
  <si>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</si>
  <si>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</si>
  <si>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</si>
  <si>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</si>
  <si>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</si>
  <si>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</si>
  <si>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</si>
  <si>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</si>
  <si>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</si>
  <si>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</si>
  <si>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</si>
  <si>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</si>
  <si>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</si>
  <si>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</si>
  <si>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</si>
  <si>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</si>
  <si>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</si>
  <si>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</si>
  <si>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</si>
  <si>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</si>
  <si>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</si>
  <si>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</si>
  <si>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</si>
  <si>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</si>
  <si>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</si>
  <si>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</si>
  <si>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</si>
  <si>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</si>
  <si>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</si>
  <si>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</si>
  <si>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</si>
  <si>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</si>
  <si>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</si>
  <si>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</si>
  <si>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</si>
  <si>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</si>
  <si>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</si>
  <si>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</si>
  <si>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</si>
  <si>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</si>
  <si>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</si>
  <si>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</si>
  <si>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</si>
  <si>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</si>
  <si>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</si>
  <si>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</si>
  <si>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</si>
  <si>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</si>
  <si>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</si>
  <si>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</si>
  <si>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</si>
  <si>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</si>
  <si>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</si>
  <si>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</si>
  <si>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</si>
  <si>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</si>
  <si>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</si>
  <si>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</si>
  <si>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</si>
  <si>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</si>
  <si>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</si>
  <si>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</si>
  <si>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</si>
  <si>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</si>
  <si>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</si>
  <si>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</si>
  <si>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</si>
  <si>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</si>
  <si>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</si>
  <si>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</si>
  <si>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</si>
  <si>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</si>
  <si>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</si>
  <si>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</si>
  <si>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</si>
  <si>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</si>
  <si>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</si>
  <si>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</si>
  <si>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</si>
  <si>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</si>
  <si>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</si>
  <si>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</si>
  <si>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</si>
  <si>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</si>
  <si>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</si>
  <si>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</si>
  <si>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</si>
  <si>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</si>
  <si>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</si>
  <si>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</si>
  <si>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</si>
  <si>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</si>
  <si>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</si>
  <si>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</si>
  <si>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</si>
  <si>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</si>
  <si>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</si>
  <si>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</si>
  <si>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</si>
  <si>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</si>
  <si>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</si>
  <si>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</si>
  <si>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</si>
  <si>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</si>
  <si>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</si>
  <si>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</si>
  <si>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</si>
  <si>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</si>
  <si>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</si>
  <si>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</si>
  <si>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</si>
  <si>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</si>
  <si>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</si>
  <si>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</si>
  <si>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</si>
  <si>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</si>
  <si>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</si>
  <si>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</si>
  <si>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</si>
  <si>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</si>
  <si>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</si>
  <si>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</si>
  <si>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</si>
  <si>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</si>
  <si>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</si>
  <si>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</si>
  <si>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</si>
  <si>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</si>
  <si>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</si>
  <si>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</si>
  <si>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</si>
  <si>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</si>
  <si>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</si>
  <si>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</si>
  <si>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</si>
  <si>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</si>
  <si>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</si>
  <si>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</si>
  <si>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</si>
  <si>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</si>
  <si>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</si>
  <si>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</si>
  <si>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</si>
  <si>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</si>
  <si>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</si>
  <si>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</si>
  <si>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</si>
  <si>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</si>
  <si>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</si>
  <si>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</si>
  <si>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</si>
  <si>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</si>
  <si>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</si>
  <si>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</si>
  <si>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</si>
  <si>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</si>
  <si>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</si>
  <si>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</si>
  <si>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</si>
  <si>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</si>
  <si>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</si>
  <si>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</si>
  <si>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</si>
  <si>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</si>
  <si>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</si>
  <si>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</si>
  <si>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</si>
  <si>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</si>
  <si>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</si>
  <si>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</si>
  <si>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</si>
  <si>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</si>
  <si>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</si>
  <si>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</si>
  <si>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</si>
  <si>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</si>
  <si>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</si>
  <si>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</si>
  <si>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</si>
  <si>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</si>
  <si>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</si>
  <si>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</si>
  <si>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</si>
  <si>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</si>
  <si>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</si>
  <si>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</si>
  <si>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</si>
  <si>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</si>
  <si>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</si>
  <si>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</si>
  <si>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</si>
  <si>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</si>
  <si>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</si>
  <si>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</si>
  <si>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</si>
  <si>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</si>
  <si>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</si>
  <si>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</si>
  <si>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</si>
  <si>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</si>
  <si>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</si>
  <si>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</si>
  <si>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</si>
  <si>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</si>
  <si>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</si>
  <si>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</si>
  <si>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</si>
  <si>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</si>
  <si>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</si>
  <si>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</si>
  <si>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</si>
  <si>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</si>
  <si>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</si>
  <si>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</si>
  <si>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</si>
  <si>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</si>
  <si>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</si>
  <si>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</si>
  <si>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</si>
  <si>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</si>
  <si>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</si>
  <si>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</si>
  <si>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</si>
  <si>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</si>
  <si>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</si>
  <si>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</si>
  <si>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</si>
  <si>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</si>
  <si>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</si>
  <si>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</si>
  <si>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</si>
  <si>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</si>
  <si>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</si>
  <si>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</si>
  <si>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</si>
  <si>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</si>
  <si>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</si>
  <si>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</si>
  <si>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</si>
  <si>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</si>
  <si>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</si>
  <si>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</si>
  <si>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</si>
  <si>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</si>
  <si>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</si>
  <si>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</si>
  <si>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</si>
  <si>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</si>
  <si>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</si>
  <si>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</si>
  <si>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</si>
  <si>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</si>
  <si>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</si>
  <si>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</si>
  <si>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</si>
  <si>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</si>
  <si>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</si>
  <si>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</si>
  <si>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</si>
  <si>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</si>
  <si>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</si>
  <si>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</si>
  <si>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</si>
  <si>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</si>
  <si>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</si>
  <si>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</si>
  <si>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</si>
  <si>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</si>
  <si>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</si>
  <si>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</si>
  <si>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</si>
  <si>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</si>
  <si>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</si>
  <si>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</si>
  <si>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</si>
  <si>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</si>
  <si>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</si>
  <si>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</si>
  <si>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</si>
  <si>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</si>
  <si>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</si>
  <si>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</si>
  <si>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</si>
  <si>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</si>
  <si>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</si>
  <si>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</si>
  <si>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</si>
  <si>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</si>
  <si>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</si>
  <si>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</si>
  <si>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</si>
  <si>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</si>
  <si>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</si>
  <si>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</si>
  <si>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</si>
  <si>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</si>
  <si>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</si>
  <si>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</si>
  <si>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</si>
  <si>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</si>
  <si>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</si>
  <si>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</si>
  <si>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</si>
  <si>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</si>
  <si>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</si>
  <si>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</si>
  <si>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</si>
  <si>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</si>
  <si>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</si>
  <si>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</si>
  <si>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</si>
  <si>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</si>
  <si>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</si>
  <si>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</si>
  <si>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</si>
  <si>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</si>
  <si>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</si>
  <si>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</si>
  <si>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</si>
  <si>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</si>
  <si>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</si>
  <si>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</si>
  <si>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</si>
  <si>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</si>
  <si>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</si>
  <si>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</si>
  <si>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</si>
  <si>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</si>
  <si>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</si>
  <si>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</si>
  <si>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</si>
  <si>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</si>
  <si>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</si>
  <si>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</si>
  <si>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</si>
  <si>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</si>
  <si>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</si>
  <si>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</si>
  <si>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</si>
  <si>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</si>
  <si>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</si>
  <si>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</si>
  <si>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</si>
  <si>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</si>
  <si>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</si>
  <si>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</si>
  <si>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</si>
  <si>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</si>
  <si>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</si>
  <si>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</si>
  <si>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</si>
  <si>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</si>
  <si>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</si>
  <si>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</si>
  <si>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</si>
  <si>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</si>
  <si>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</si>
  <si>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</si>
  <si>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</si>
  <si>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</si>
  <si>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</si>
  <si>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</si>
  <si>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</si>
  <si>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</si>
  <si>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</si>
  <si>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</si>
  <si>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</si>
  <si>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</si>
  <si>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</si>
  <si>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</si>
  <si>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</si>
  <si>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</si>
  <si>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</si>
  <si>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</si>
  <si>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</si>
  <si>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</si>
  <si>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</si>
  <si>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</si>
  <si>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</si>
  <si>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</si>
  <si>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</si>
  <si>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</si>
  <si>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</si>
  <si>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</si>
  <si>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</si>
  <si>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</si>
  <si>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</si>
  <si>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</si>
  <si>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</si>
  <si>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</si>
  <si>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</si>
  <si>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</si>
  <si>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</si>
  <si>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</si>
  <si>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</si>
  <si>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</si>
  <si>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</si>
  <si>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</si>
  <si>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</si>
  <si>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</si>
  <si>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</si>
  <si>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</si>
  <si>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</si>
  <si>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</si>
  <si>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</si>
  <si>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</si>
  <si>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</si>
  <si>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</si>
  <si>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</si>
  <si>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</si>
  <si>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</si>
  <si>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</si>
  <si>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</si>
  <si>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</si>
  <si>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</si>
  <si>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</si>
  <si>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</si>
  <si>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</si>
  <si>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</si>
  <si>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</si>
  <si>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</si>
  <si>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</si>
  <si>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</si>
  <si>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</si>
  <si>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</si>
  <si>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</si>
  <si>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</si>
  <si>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</si>
  <si>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</si>
  <si>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</si>
  <si>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</si>
  <si>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</si>
  <si>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</si>
  <si>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</si>
  <si>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</si>
  <si>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</si>
  <si>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</si>
  <si>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</si>
  <si>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</si>
  <si>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</si>
  <si>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</si>
  <si>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</si>
  <si>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</si>
  <si>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</si>
  <si>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</si>
  <si>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</si>
  <si>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</si>
  <si>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</si>
  <si>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</si>
  <si>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</si>
  <si>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</si>
  <si>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</si>
  <si>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</si>
  <si>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</si>
  <si>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</si>
  <si>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</si>
  <si>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</si>
  <si>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</si>
  <si>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</si>
  <si>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</si>
  <si>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</si>
  <si>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</si>
  <si>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</si>
  <si>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</si>
  <si>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</si>
  <si>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</si>
  <si>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</si>
  <si>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</si>
  <si>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</si>
  <si>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</si>
  <si>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</si>
  <si>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</si>
  <si>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</si>
  <si>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</si>
  <si>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</si>
  <si>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</si>
  <si>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</si>
  <si>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</si>
  <si>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</si>
  <si>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</si>
  <si>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</si>
  <si>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</si>
  <si>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</si>
  <si>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</si>
  <si>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</si>
  <si>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</si>
  <si>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</si>
  <si>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</si>
  <si>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</si>
  <si>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</si>
  <si>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</si>
  <si>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</si>
  <si>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</si>
  <si>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</si>
  <si>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</si>
  <si>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</si>
  <si>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</si>
  <si>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</si>
  <si>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</si>
  <si>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</si>
  <si>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</si>
  <si>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</si>
  <si>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</si>
  <si>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</si>
  <si>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</si>
  <si>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</si>
  <si>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</si>
  <si>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</si>
  <si>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</si>
  <si>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</si>
  <si>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</si>
  <si>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</si>
  <si>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</si>
  <si>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</si>
  <si>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</si>
  <si>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</si>
  <si>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</si>
  <si>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</si>
  <si>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</si>
  <si>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</si>
  <si>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</si>
  <si>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</si>
  <si>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</si>
  <si>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</si>
  <si>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</si>
  <si>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</si>
  <si>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</si>
  <si>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</si>
  <si>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</si>
  <si>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</si>
  <si>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</si>
  <si>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</si>
  <si>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</si>
  <si>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</si>
  <si>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</si>
  <si>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</si>
  <si>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</si>
  <si>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</si>
  <si>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</si>
  <si>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</si>
  <si>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</si>
  <si>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</si>
  <si>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</si>
  <si>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</si>
  <si>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</si>
  <si>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</si>
  <si>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</si>
  <si>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</si>
  <si>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</si>
  <si>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</si>
  <si>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</si>
  <si>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</si>
  <si>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</si>
  <si>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</si>
  <si>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</si>
  <si>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</si>
  <si>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</si>
  <si>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</si>
  <si>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</si>
  <si>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</si>
  <si>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</si>
  <si>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</si>
  <si>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</si>
  <si>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</si>
  <si>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</si>
  <si>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</si>
  <si>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</si>
  <si>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</si>
  <si>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</si>
  <si>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</si>
  <si>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</si>
  <si>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</si>
  <si>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</si>
  <si>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</si>
  <si>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</si>
  <si>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</si>
  <si>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</si>
  <si>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</si>
  <si>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</si>
  <si>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</si>
  <si>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</si>
  <si>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</si>
  <si>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</si>
  <si>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</si>
  <si>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</si>
  <si>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</si>
  <si>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</si>
  <si>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</si>
  <si>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</si>
  <si>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</si>
  <si>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</si>
  <si>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</si>
  <si>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</si>
  <si>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</si>
  <si>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</si>
  <si>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</si>
  <si>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</si>
  <si>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</si>
  <si>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</si>
  <si>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</si>
  <si>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</si>
  <si>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</si>
  <si>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</si>
  <si>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</si>
  <si>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</si>
  <si>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</si>
  <si>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</si>
  <si>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</si>
  <si>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</si>
  <si>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</si>
  <si>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</si>
  <si>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</si>
  <si>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</si>
  <si>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</si>
  <si>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</si>
  <si>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</si>
  <si>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</si>
  <si>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</si>
  <si>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</si>
  <si>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</si>
  <si>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</si>
  <si>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</si>
  <si>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</si>
  <si>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</si>
  <si>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</si>
  <si>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</si>
  <si>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</si>
  <si>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</si>
  <si>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</si>
  <si>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</si>
  <si>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</si>
  <si>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</si>
  <si>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</si>
  <si>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</si>
  <si>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</si>
  <si>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</si>
  <si>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</si>
  <si>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</si>
  <si>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</si>
  <si>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</si>
  <si>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</si>
  <si>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</si>
  <si>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</si>
  <si>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</si>
  <si>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</si>
  <si>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</si>
  <si>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</si>
  <si>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</si>
  <si>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</si>
  <si>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</si>
  <si>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</si>
  <si>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</si>
  <si>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</si>
  <si>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</si>
  <si>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</si>
  <si>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</si>
  <si>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</si>
  <si>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</si>
  <si>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</si>
  <si>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</si>
  <si>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</si>
  <si>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</si>
  <si>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</si>
  <si>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</si>
  <si>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</si>
  <si>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</si>
  <si>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</si>
  <si>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</si>
  <si>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</si>
  <si>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</si>
  <si>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</si>
  <si>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</si>
  <si>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</si>
  <si>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</si>
  <si>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</si>
  <si>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</si>
  <si>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</si>
  <si>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</si>
  <si>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</si>
  <si>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</si>
  <si>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</si>
  <si>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</si>
  <si>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</si>
  <si>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</si>
  <si>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</si>
  <si>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</si>
  <si>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</si>
  <si>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</si>
  <si>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</si>
  <si>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</si>
  <si>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</si>
  <si>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</si>
  <si>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</si>
  <si>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</si>
  <si>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</si>
  <si>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</si>
  <si>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</si>
  <si>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</si>
  <si>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</si>
  <si>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</si>
  <si>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</si>
  <si>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</si>
  <si>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</si>
  <si>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</si>
  <si>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</si>
  <si>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</si>
  <si>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</si>
  <si>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</si>
  <si>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</si>
  <si>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</si>
  <si>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</si>
  <si>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</si>
  <si>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</si>
  <si>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</si>
  <si>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</si>
  <si>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</si>
  <si>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</si>
  <si>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</si>
  <si>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</si>
  <si>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</si>
  <si>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</si>
  <si>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</si>
  <si>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</si>
  <si>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</si>
  <si>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</si>
  <si>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</si>
  <si>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</si>
  <si>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</si>
  <si>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</si>
  <si>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</si>
  <si>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</si>
  <si>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</si>
  <si>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</si>
  <si>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</si>
  <si>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</si>
  <si>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</si>
  <si>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</si>
  <si>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</si>
  <si>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</si>
  <si>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</si>
  <si>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</si>
  <si>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</si>
  <si>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</si>
  <si>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</si>
  <si>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</si>
  <si>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</si>
  <si>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</si>
  <si>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</si>
  <si>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</si>
  <si>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</si>
  <si>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</si>
  <si>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</si>
  <si>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</si>
  <si>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</si>
  <si>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</si>
  <si>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</si>
  <si>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</si>
  <si>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</si>
  <si>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</si>
  <si>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</si>
  <si>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</si>
  <si>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</si>
  <si>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</si>
  <si>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</si>
  <si>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</si>
  <si>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</si>
  <si>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</si>
  <si>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</si>
  <si>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</si>
  <si>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</si>
  <si>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</si>
  <si>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</si>
  <si>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</si>
  <si>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</si>
  <si>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</si>
  <si>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</si>
  <si>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</si>
  <si>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</si>
  <si>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</si>
  <si>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</si>
  <si>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</si>
  <si>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</si>
  <si>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</si>
  <si>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</si>
  <si>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</si>
  <si>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</si>
  <si>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</si>
  <si>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</si>
  <si>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</si>
  <si>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</si>
  <si>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</si>
  <si>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</si>
  <si>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</si>
  <si>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</si>
  <si>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</si>
  <si>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</si>
  <si>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</si>
  <si>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</si>
  <si>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</si>
  <si>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</si>
  <si>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</si>
  <si>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</si>
  <si>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</si>
  <si>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</si>
  <si>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</si>
  <si>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</si>
  <si>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</si>
  <si>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</si>
  <si>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</si>
  <si>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</si>
  <si>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</si>
  <si>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</si>
  <si>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</si>
  <si>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</si>
  <si>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</si>
  <si>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</si>
  <si>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</si>
  <si>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</si>
  <si>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</si>
  <si>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</si>
  <si>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</si>
  <si>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</si>
  <si>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</si>
  <si>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</si>
  <si>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</si>
  <si>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</si>
  <si>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</si>
  <si>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</si>
  <si>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</si>
  <si>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</si>
  <si>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</si>
  <si>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</si>
  <si>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</si>
  <si>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</si>
  <si>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</si>
  <si>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</si>
  <si>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</si>
  <si>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</si>
  <si>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</si>
  <si>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</si>
  <si>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</si>
  <si>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</si>
  <si>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</si>
  <si>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</si>
  <si>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</si>
  <si>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</si>
  <si>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</si>
  <si>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</si>
  <si>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</si>
  <si>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</si>
  <si>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</si>
  <si>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</si>
  <si>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</si>
  <si>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</si>
  <si>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</si>
  <si>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</si>
  <si>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</si>
  <si>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</si>
  <si>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</si>
  <si>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</si>
  <si>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</si>
  <si>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</si>
  <si>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</si>
  <si>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</si>
  <si>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</si>
  <si>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</si>
  <si>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</si>
  <si>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</si>
  <si>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</si>
  <si>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</si>
  <si>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</si>
  <si>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</si>
  <si>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</si>
  <si>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</si>
  <si>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</si>
  <si>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</si>
  <si>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</si>
  <si>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</si>
  <si>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</si>
  <si>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</si>
  <si>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</si>
  <si>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</si>
  <si>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</si>
  <si>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</si>
  <si>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</si>
  <si>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</si>
  <si>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</si>
  <si>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</si>
  <si>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</si>
  <si>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</si>
  <si>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</si>
  <si>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</si>
  <si>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</si>
  <si>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</si>
  <si>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</si>
  <si>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</si>
  <si>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</si>
  <si>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</si>
  <si>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</si>
  <si>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</si>
  <si>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</si>
  <si>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</si>
  <si>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</si>
  <si>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</si>
  <si>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</si>
  <si>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</si>
  <si>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</si>
  <si>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</si>
  <si>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</si>
  <si>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</si>
  <si>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</si>
  <si>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</si>
  <si>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</si>
  <si>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</si>
  <si>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</si>
  <si>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</si>
  <si>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</si>
  <si>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</si>
  <si>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</si>
  <si>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</si>
  <si>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</si>
  <si>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</si>
  <si>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</si>
  <si>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</si>
  <si>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</si>
  <si>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</si>
  <si>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</si>
  <si>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</si>
  <si>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</si>
  <si>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</si>
  <si>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</si>
  <si>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</si>
  <si>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</si>
  <si>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</si>
  <si>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</si>
  <si>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</si>
  <si>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</si>
  <si>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</si>
  <si>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</si>
  <si>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</si>
  <si>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</si>
  <si>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</si>
  <si>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</si>
  <si>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</si>
  <si>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</si>
  <si>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</si>
  <si>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</si>
  <si>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</si>
  <si>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</si>
  <si>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</si>
  <si>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</si>
  <si>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</si>
  <si>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</si>
  <si>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</si>
  <si>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</si>
  <si>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</si>
  <si>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</si>
  <si>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</si>
  <si>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</si>
  <si>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</si>
  <si>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</si>
  <si>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</si>
  <si>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</si>
  <si>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</si>
  <si>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</si>
  <si>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</si>
  <si>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</si>
  <si>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</si>
  <si>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</si>
  <si>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</si>
  <si>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</si>
  <si>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</si>
  <si>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</si>
  <si>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</si>
  <si>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</si>
  <si>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</si>
  <si>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</si>
  <si>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</si>
  <si>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</si>
  <si>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</si>
  <si>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</si>
  <si>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</si>
  <si>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</si>
  <si>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</si>
  <si>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</si>
  <si>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</si>
  <si>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</si>
  <si>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</si>
  <si>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</si>
  <si>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</si>
  <si>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</si>
  <si>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</si>
  <si>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</si>
  <si>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</si>
  <si>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</si>
  <si>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</si>
  <si>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</si>
  <si>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</si>
  <si>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</si>
  <si>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</si>
  <si>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</si>
  <si>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</si>
  <si>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</si>
  <si>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</si>
  <si>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</si>
  <si>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</si>
  <si>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</si>
  <si>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</si>
  <si>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</si>
  <si>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</si>
  <si>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</si>
  <si>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</si>
  <si>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</si>
  <si>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</si>
  <si>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</si>
  <si>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</si>
  <si>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</si>
  <si>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</si>
  <si>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</si>
  <si>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</si>
  <si>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</si>
  <si>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</si>
  <si>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</si>
  <si>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</si>
  <si>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</si>
  <si>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</si>
  <si>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</si>
  <si>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</si>
  <si>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</si>
  <si>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</si>
  <si>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</si>
  <si>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</si>
  <si>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</si>
  <si>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</si>
  <si>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</si>
  <si>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</si>
  <si>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</si>
  <si>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</si>
  <si>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</si>
  <si>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</si>
  <si>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</si>
  <si>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</si>
  <si>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</si>
  <si>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</si>
  <si>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</si>
  <si>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</si>
  <si>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</si>
  <si>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</si>
  <si>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</si>
  <si>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</si>
  <si>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</si>
  <si>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</si>
  <si>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</si>
  <si>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</si>
  <si>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</si>
  <si>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</si>
  <si>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</si>
  <si>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</si>
  <si>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</si>
  <si>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</si>
  <si>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</si>
  <si>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</si>
  <si>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</si>
  <si>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</si>
  <si>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</si>
  <si>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</si>
  <si>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</si>
  <si>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</si>
  <si>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</si>
  <si>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</si>
  <si>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</si>
  <si>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</si>
  <si>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</si>
  <si>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</si>
  <si>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</si>
  <si>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</si>
  <si>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</si>
  <si>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</si>
  <si>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</si>
  <si>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</si>
  <si>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</si>
  <si>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</si>
  <si>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</si>
  <si>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</si>
  <si>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</si>
  <si>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</si>
  <si>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</si>
  <si>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</si>
  <si>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</si>
  <si>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</si>
  <si>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</si>
  <si>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</si>
  <si>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</si>
  <si>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</si>
  <si>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</si>
  <si>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</si>
  <si>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</si>
  <si>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</si>
  <si>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</si>
  <si>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</si>
  <si>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</si>
  <si>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</si>
  <si>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</si>
  <si>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</si>
  <si>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</si>
  <si>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</si>
  <si>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</si>
  <si>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</si>
  <si>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</si>
  <si>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</si>
  <si>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</si>
  <si>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</si>
  <si>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</si>
  <si>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</si>
  <si>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</si>
  <si>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</si>
  <si>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</si>
  <si>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</si>
  <si>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</si>
  <si>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</si>
  <si>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</si>
  <si>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</si>
  <si>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</si>
  <si>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</si>
  <si>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</si>
  <si>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</si>
  <si>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</si>
  <si>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</si>
  <si>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</si>
  <si>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</si>
  <si>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</si>
  <si>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</si>
  <si>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</si>
  <si>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</si>
  <si>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</si>
  <si>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</si>
  <si>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</si>
  <si>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</si>
  <si>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</si>
  <si>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</si>
  <si>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</si>
  <si>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</si>
  <si>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</si>
  <si>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</si>
  <si>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</si>
  <si>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</si>
  <si>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</si>
  <si>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</si>
  <si>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</si>
  <si>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</si>
  <si>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</si>
  <si>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</si>
  <si>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</si>
  <si>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</si>
  <si>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</si>
  <si>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</si>
  <si>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</si>
  <si>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</si>
  <si>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</si>
  <si>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</si>
  <si>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</si>
  <si>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</si>
  <si>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</si>
  <si>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</si>
  <si>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</si>
  <si>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</si>
  <si>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</si>
  <si>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</si>
  <si>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</si>
  <si>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</si>
  <si>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</si>
  <si>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</si>
  <si>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</si>
  <si>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</si>
  <si>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</si>
  <si>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</si>
  <si>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</si>
  <si>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</si>
  <si>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</si>
  <si>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</si>
  <si>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</si>
  <si>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</si>
  <si>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</si>
  <si>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</si>
  <si>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</si>
  <si>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</si>
  <si>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</si>
  <si>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</si>
  <si>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</si>
  <si>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</si>
  <si>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</si>
  <si>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</si>
  <si>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</si>
  <si>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</si>
  <si>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</si>
  <si>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</si>
  <si>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</si>
  <si>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</si>
  <si>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</si>
  <si>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</si>
  <si>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</si>
  <si>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</si>
  <si>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</si>
  <si>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</si>
  <si>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</si>
  <si>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</si>
  <si>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</si>
  <si>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</si>
  <si>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</si>
  <si>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</si>
  <si>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</si>
  <si>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</si>
  <si>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</si>
  <si>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</si>
  <si>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</si>
  <si>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</si>
  <si>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</si>
  <si>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</si>
  <si>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</si>
  <si>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</si>
  <si>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</si>
  <si>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</si>
  <si>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</si>
  <si>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</si>
  <si>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</si>
  <si>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</si>
  <si>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</si>
  <si>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</si>
  <si>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</si>
  <si>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</si>
  <si>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</si>
  <si>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</si>
  <si>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</si>
  <si>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</si>
  <si>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</si>
  <si>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</si>
  <si>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</si>
  <si>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</si>
  <si>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</si>
  <si>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</si>
  <si>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</si>
  <si>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</si>
  <si>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</si>
  <si>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</si>
  <si>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</si>
  <si>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</si>
  <si>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</si>
  <si>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</si>
  <si>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</si>
  <si>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</si>
  <si>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</si>
  <si>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</si>
  <si>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</si>
  <si>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</si>
  <si>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</si>
  <si>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</si>
  <si>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</si>
  <si>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</si>
  <si>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</si>
  <si>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</si>
  <si>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</si>
  <si>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</si>
  <si>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</si>
  <si>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</si>
  <si>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</si>
  <si>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</si>
  <si>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</si>
  <si>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</si>
  <si>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</si>
  <si>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</si>
  <si>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</si>
  <si>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</si>
  <si>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</si>
  <si>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</si>
  <si>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</si>
  <si>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</si>
  <si>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</si>
  <si>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</si>
  <si>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</si>
  <si>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</si>
  <si>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</si>
  <si>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</si>
  <si>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</si>
  <si>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</si>
  <si>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</si>
  <si>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</si>
  <si>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</si>
  <si>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</si>
  <si>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</si>
  <si>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</si>
  <si>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</si>
  <si>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</si>
  <si>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</si>
  <si>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</si>
  <si>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</si>
  <si>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</si>
  <si>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</si>
  <si>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</si>
  <si>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</si>
  <si>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</si>
  <si>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</si>
  <si>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</si>
  <si>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</si>
  <si>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</si>
  <si>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</si>
  <si>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</si>
  <si>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</si>
  <si>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</si>
  <si>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</si>
  <si>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</si>
  <si>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</si>
  <si>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</si>
  <si>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</si>
  <si>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</si>
  <si>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</si>
  <si>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</si>
  <si>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</si>
  <si>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</si>
  <si>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</si>
  <si>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</si>
  <si>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</si>
  <si>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</si>
  <si>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</si>
  <si>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</si>
  <si>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</si>
  <si>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</si>
  <si>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</si>
  <si>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</si>
  <si>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</si>
  <si>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</si>
  <si>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</si>
  <si>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</si>
  <si>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</si>
  <si>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</si>
  <si>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</si>
  <si>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</si>
  <si>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</si>
  <si>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</si>
  <si>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</si>
  <si>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</si>
  <si>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</si>
  <si>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</si>
  <si>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</si>
  <si>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</si>
  <si>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</si>
  <si>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</si>
  <si>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</si>
  <si>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</si>
  <si>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</si>
  <si>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</si>
  <si>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</si>
  <si>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</si>
  <si>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</si>
  <si>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</si>
  <si>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</si>
  <si>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</si>
  <si>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</si>
  <si>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</si>
  <si>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</si>
  <si>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</si>
  <si>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</si>
  <si>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</si>
  <si>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</si>
  <si>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</si>
  <si>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</si>
  <si>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</si>
  <si>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</si>
  <si>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</si>
  <si>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</si>
  <si>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</si>
  <si>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</si>
  <si>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</si>
  <si>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</si>
  <si>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</si>
  <si>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</si>
  <si>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</si>
  <si>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</si>
  <si>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</si>
  <si>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</si>
  <si>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</si>
  <si>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</si>
  <si>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</si>
  <si>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</si>
  <si>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</si>
  <si>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</si>
  <si>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</si>
  <si>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</si>
  <si>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</si>
  <si>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</si>
  <si>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</si>
  <si>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</si>
  <si>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</si>
  <si>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</si>
  <si>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</si>
  <si>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</si>
  <si>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</si>
  <si>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</si>
  <si>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</si>
  <si>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</si>
  <si>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</si>
  <si>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</si>
  <si>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</si>
  <si>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</si>
  <si>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</si>
  <si>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</si>
  <si>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</si>
  <si>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</si>
  <si>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</si>
  <si>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</si>
  <si>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</si>
  <si>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</si>
  <si>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</si>
  <si>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</si>
  <si>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</si>
  <si>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</si>
  <si>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</si>
  <si>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</si>
  <si>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</si>
  <si>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</si>
  <si>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</si>
  <si>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</si>
  <si>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</si>
  <si>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</si>
  <si>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</si>
  <si>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</si>
  <si>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</si>
  <si>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</si>
  <si>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</si>
  <si>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</si>
  <si>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</si>
  <si>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</si>
  <si>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</si>
  <si>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</si>
  <si>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</si>
  <si>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</si>
  <si>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</si>
  <si>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</si>
  <si>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</si>
  <si>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</si>
  <si>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</si>
  <si>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</si>
  <si>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</si>
  <si>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</si>
  <si>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</si>
  <si>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</si>
  <si>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</si>
  <si>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</si>
  <si>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</si>
  <si>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</si>
  <si>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</si>
  <si>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</si>
  <si>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</si>
  <si>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</si>
  <si>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</si>
  <si>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</si>
  <si>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</si>
  <si>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</si>
  <si>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</si>
  <si>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</si>
  <si>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</si>
  <si>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</si>
  <si>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</si>
  <si>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</si>
  <si>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</si>
  <si>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</si>
  <si>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</si>
  <si>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</si>
  <si>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</si>
  <si>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</si>
  <si>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</si>
  <si>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</si>
  <si>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</si>
  <si>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</si>
  <si>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</si>
  <si>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</si>
  <si>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</si>
  <si>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</si>
  <si>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</si>
  <si>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</si>
  <si>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</si>
  <si>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</si>
  <si>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</si>
  <si>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</si>
  <si>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</si>
  <si>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</si>
  <si>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</si>
  <si>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</si>
  <si>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</si>
  <si>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</si>
  <si>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</si>
  <si>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</si>
  <si>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</si>
  <si>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</si>
  <si>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</si>
  <si>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</si>
  <si>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</si>
  <si>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</si>
  <si>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</si>
  <si>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</si>
  <si>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</si>
  <si>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</si>
  <si>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</si>
  <si>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</si>
  <si>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</si>
  <si>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</si>
  <si>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</si>
  <si>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</si>
  <si>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</si>
  <si>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</si>
  <si>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</si>
  <si>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</si>
  <si>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</si>
  <si>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</si>
  <si>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</si>
  <si>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</si>
  <si>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</si>
  <si>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</si>
  <si>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</si>
  <si>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</si>
  <si>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</si>
  <si>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</si>
  <si>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</si>
  <si>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</si>
  <si>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</si>
  <si>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</si>
  <si>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</si>
  <si>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</si>
  <si>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</si>
  <si>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</si>
  <si>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</si>
  <si>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</si>
  <si>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</si>
  <si>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</si>
  <si>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</si>
  <si>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</si>
  <si>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</si>
  <si>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</si>
  <si>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</si>
  <si>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</si>
  <si>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</si>
  <si>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</si>
  <si>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</si>
  <si>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</si>
  <si>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</si>
  <si>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</si>
  <si>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</si>
  <si>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</si>
  <si>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</si>
  <si>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</si>
  <si>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</si>
  <si>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</si>
  <si>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</si>
  <si>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</si>
  <si>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</si>
  <si>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</si>
  <si>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</si>
  <si>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</si>
  <si>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</si>
  <si>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</si>
  <si>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</si>
  <si>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</si>
  <si>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</si>
  <si>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</si>
  <si>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</si>
  <si>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</si>
  <si>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</si>
  <si>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</si>
  <si>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</si>
  <si>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</si>
  <si>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</si>
  <si>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</si>
  <si>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</si>
  <si>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</si>
  <si>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</si>
  <si>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</si>
  <si>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</si>
  <si>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</si>
  <si>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</si>
  <si>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</si>
  <si>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</si>
  <si>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</si>
  <si>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</si>
  <si>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</si>
  <si>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</si>
  <si>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</si>
  <si>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</si>
  <si>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</si>
  <si>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</si>
  <si>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</si>
  <si>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</si>
  <si>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</si>
  <si>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</si>
  <si>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</si>
  <si>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</si>
  <si>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</si>
  <si>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</si>
  <si>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</si>
  <si>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</si>
  <si>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</si>
  <si>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</si>
  <si>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</si>
  <si>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</si>
  <si>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</si>
  <si>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</si>
  <si>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</si>
  <si>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</si>
  <si>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</si>
  <si>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</si>
  <si>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</si>
  <si>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</si>
  <si>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</si>
  <si>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</si>
  <si>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</si>
  <si>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</si>
  <si>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</si>
  <si>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</si>
  <si>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</si>
  <si>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</si>
  <si>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</si>
  <si>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</si>
  <si>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</si>
  <si>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</si>
  <si>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</si>
  <si>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</si>
  <si>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</si>
  <si>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</si>
  <si>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</si>
  <si>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</si>
  <si>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</si>
  <si>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</si>
  <si>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</si>
  <si>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</si>
  <si>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</si>
  <si>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</si>
  <si>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</si>
  <si>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</si>
  <si>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</si>
  <si>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</si>
  <si>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</si>
  <si>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</si>
  <si>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</si>
  <si>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</si>
  <si>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</si>
  <si>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</si>
  <si>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</si>
  <si>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</si>
  <si>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</si>
  <si>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</si>
  <si>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</si>
  <si>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</si>
  <si>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</si>
  <si>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</si>
  <si>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</si>
  <si>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</si>
  <si>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</si>
  <si>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</si>
  <si>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</si>
  <si>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</si>
  <si>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</si>
  <si>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</si>
  <si>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</si>
  <si>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</si>
  <si>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</si>
  <si>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</si>
  <si>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</si>
  <si>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</si>
  <si>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</si>
  <si>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</si>
  <si>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</si>
  <si>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</si>
  <si>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</si>
  <si>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</si>
  <si>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</si>
  <si>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</si>
  <si>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</si>
  <si>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</si>
  <si>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</si>
  <si>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</si>
  <si>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</si>
  <si>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</si>
  <si>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</si>
  <si>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</si>
  <si>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</si>
  <si>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</si>
  <si>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</si>
  <si>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</si>
  <si>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</si>
  <si>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</si>
  <si>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</si>
  <si>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</si>
  <si>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</si>
  <si>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</si>
  <si>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</si>
  <si>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</si>
  <si>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</si>
  <si>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</si>
  <si>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</si>
  <si>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</si>
  <si>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</si>
  <si>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</si>
  <si>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</si>
  <si>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</si>
  <si>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</si>
  <si>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</si>
  <si>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</si>
  <si>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</si>
  <si>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</si>
  <si>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</si>
  <si>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</si>
  <si>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</si>
  <si>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</si>
  <si>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</si>
  <si>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</si>
  <si>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</si>
  <si>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</si>
  <si>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</si>
  <si>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</si>
  <si>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</si>
  <si>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</si>
  <si>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</si>
  <si>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</si>
  <si>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</si>
  <si>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</si>
  <si>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</si>
  <si>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</si>
  <si>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</si>
  <si>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</si>
  <si>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</si>
  <si>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</si>
  <si>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</si>
  <si>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</si>
  <si>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</si>
  <si>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</si>
  <si>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</si>
  <si>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</si>
  <si>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</si>
  <si>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</si>
  <si>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</si>
  <si>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</si>
  <si>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</si>
  <si>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</si>
  <si>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</si>
  <si>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</si>
  <si>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</si>
  <si>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</si>
  <si>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</si>
  <si>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</si>
  <si>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</si>
  <si>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</si>
  <si>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</si>
  <si>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</si>
  <si>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</si>
  <si>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</si>
  <si>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</si>
  <si>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</si>
  <si>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</si>
  <si>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</si>
  <si>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</si>
  <si>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</si>
  <si>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</si>
  <si>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</si>
  <si>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</si>
  <si>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</si>
  <si>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</si>
  <si>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</si>
  <si>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</si>
  <si>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</si>
  <si>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</si>
  <si>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</si>
  <si>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</si>
  <si>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</si>
  <si>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</si>
  <si>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</si>
  <si>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</si>
  <si>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</si>
  <si>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</si>
  <si>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</si>
  <si>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</si>
  <si>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</si>
  <si>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</si>
  <si>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</si>
  <si>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</si>
  <si>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</si>
  <si>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</si>
  <si>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</si>
  <si>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</si>
  <si>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</si>
  <si>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</si>
  <si>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</si>
  <si>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</si>
  <si>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</si>
  <si>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</si>
  <si>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</si>
  <si>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</si>
  <si>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</si>
  <si>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</si>
  <si>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</si>
  <si>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</si>
  <si>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</si>
  <si>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</si>
  <si>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</si>
  <si>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</si>
  <si>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</si>
  <si>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</si>
  <si>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</si>
  <si>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</si>
  <si>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</si>
  <si>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</si>
  <si>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</si>
  <si>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</si>
  <si>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</si>
  <si>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</si>
  <si>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</si>
  <si>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</si>
  <si>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</si>
  <si>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</si>
  <si>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</si>
  <si>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</si>
  <si>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</si>
  <si>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</si>
  <si>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</si>
  <si>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</si>
  <si>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</si>
  <si>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</si>
  <si>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</si>
  <si>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</si>
  <si>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</si>
  <si>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</si>
  <si>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</si>
  <si>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</si>
  <si>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</si>
  <si>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</si>
  <si>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</si>
  <si>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</si>
  <si>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</si>
  <si>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</si>
  <si>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</si>
  <si>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</si>
  <si>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</si>
  <si>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</si>
  <si>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</si>
  <si>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</si>
  <si>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</si>
  <si>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</si>
  <si>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</si>
  <si>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</si>
  <si>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</si>
  <si>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</si>
  <si>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</si>
  <si>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</si>
  <si>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</si>
  <si>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</si>
  <si>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</si>
  <si>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</si>
  <si>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</si>
  <si>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</si>
  <si>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</si>
  <si>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</si>
  <si>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</si>
  <si>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</si>
  <si>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</si>
  <si>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</si>
  <si>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</si>
  <si>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</si>
  <si>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</si>
  <si>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</si>
  <si>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</si>
  <si>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</si>
  <si>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</si>
  <si>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</si>
  <si>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</si>
  <si>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</si>
  <si>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</si>
  <si>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</si>
  <si>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</si>
  <si>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</si>
  <si>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</si>
  <si>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</si>
  <si>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</si>
  <si>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</si>
  <si>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</si>
  <si>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</si>
  <si>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</si>
  <si>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</si>
  <si>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</si>
  <si>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</si>
  <si>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</si>
  <si>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</si>
  <si>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</si>
  <si>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</si>
  <si>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</si>
  <si>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</si>
  <si>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</si>
  <si>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</si>
  <si>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</si>
  <si>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</si>
  <si>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</si>
  <si>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</si>
  <si>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</si>
  <si>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</si>
  <si>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</si>
  <si>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</si>
  <si>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</si>
  <si>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</si>
  <si>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</si>
  <si>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</si>
  <si>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</si>
  <si>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</si>
  <si>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</si>
  <si>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</si>
  <si>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</si>
  <si>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</si>
  <si>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</si>
  <si>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</si>
  <si>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</si>
  <si>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</si>
  <si>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</si>
  <si>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</si>
  <si>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QFN050P350X350X100-20-EP200X200</t>
  </si>
  <si>
    <t>https://www.ti.com/lit/ds/symlink/bq76905.pdf</t>
  </si>
  <si>
    <t>BQ76907</t>
  </si>
  <si>
    <t>QFN050P350X350X100-20-EP200X201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</si>
  <si>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</si>
  <si>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</si>
  <si>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</si>
  <si>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</si>
  <si>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</si>
  <si>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</si>
  <si>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</si>
  <si>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</si>
  <si>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</si>
  <si>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</si>
  <si>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</si>
  <si>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</si>
  <si>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</si>
  <si>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</si>
  <si>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</si>
  <si>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</si>
  <si>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</si>
  <si>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</si>
  <si>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</si>
  <si>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</si>
  <si>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</si>
  <si>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</si>
  <si>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</si>
  <si>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</si>
  <si>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</si>
  <si>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</si>
  <si>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</si>
  <si>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</si>
  <si>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</si>
  <si>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</si>
  <si>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</si>
  <si>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</si>
  <si>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</si>
  <si>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</si>
  <si>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</si>
  <si>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</si>
  <si>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</si>
  <si>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</si>
  <si>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</si>
  <si>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</si>
  <si>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</si>
  <si>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</si>
  <si>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</si>
  <si>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</si>
  <si>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</si>
  <si>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</si>
  <si>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</si>
  <si>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</si>
  <si>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</si>
  <si>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</si>
  <si>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</si>
  <si>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</si>
  <si>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</si>
  <si>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</si>
  <si>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</si>
  <si>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</si>
  <si>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</si>
  <si>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</si>
  <si>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</si>
  <si>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</si>
  <si>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</si>
  <si>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</si>
  <si>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</si>
  <si>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</si>
  <si>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</si>
  <si>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</si>
  <si>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</si>
  <si>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</si>
  <si>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</si>
  <si>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</si>
  <si>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</si>
  <si>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</si>
  <si>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</si>
  <si>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</si>
  <si>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</si>
  <si>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</si>
  <si>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</si>
  <si>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</si>
  <si>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</si>
  <si>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</si>
  <si>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</si>
  <si>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</si>
  <si>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</si>
  <si>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</si>
  <si>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</si>
  <si>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</si>
  <si>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</si>
  <si>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</si>
  <si>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</si>
  <si>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</si>
  <si>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</si>
  <si>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</si>
  <si>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</si>
  <si>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</si>
  <si>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</si>
  <si>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</si>
  <si>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</si>
  <si>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</si>
  <si>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</si>
  <si>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</si>
  <si>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</si>
  <si>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</si>
  <si>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</si>
  <si>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</si>
  <si>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</si>
  <si>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</si>
  <si>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</si>
  <si>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</si>
  <si>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</si>
  <si>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</si>
  <si>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</si>
  <si>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</si>
  <si>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</si>
  <si>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</si>
  <si>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</si>
  <si>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</si>
  <si>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</si>
  <si>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</si>
  <si>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</si>
  <si>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</si>
  <si>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</si>
  <si>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</si>
  <si>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</si>
  <si>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</si>
  <si>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</si>
  <si>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</si>
  <si>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</si>
  <si>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</si>
  <si>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</si>
  <si>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</si>
  <si>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</si>
  <si>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</si>
  <si>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</si>
  <si>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</si>
  <si>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</si>
  <si>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</si>
  <si>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</si>
  <si>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</si>
  <si>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</si>
  <si>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</si>
  <si>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</si>
  <si>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</si>
  <si>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</si>
  <si>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</si>
  <si>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</si>
  <si>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</si>
  <si>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</si>
  <si>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</si>
  <si>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</si>
  <si>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</si>
  <si>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</si>
  <si>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</si>
  <si>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</si>
  <si>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</si>
  <si>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</si>
  <si>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</si>
  <si>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</si>
  <si>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</si>
  <si>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</si>
  <si>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</si>
  <si>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</si>
  <si>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</si>
  <si>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</si>
  <si>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</si>
  <si>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</si>
  <si>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</si>
  <si>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</si>
  <si>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</si>
  <si>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</si>
  <si>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</si>
  <si>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</si>
  <si>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</si>
  <si>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</si>
  <si>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</si>
  <si>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</si>
  <si>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</si>
  <si>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</si>
  <si>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</si>
  <si>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</si>
  <si>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</si>
  <si>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</si>
  <si>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</si>
  <si>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</si>
  <si>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</si>
  <si>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</si>
  <si>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</si>
  <si>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</si>
  <si>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</si>
  <si>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</si>
  <si>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</si>
  <si>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</si>
  <si>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</si>
  <si>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</si>
  <si>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</si>
  <si>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</si>
  <si>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</si>
  <si>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</si>
  <si>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</si>
  <si>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</si>
  <si>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</si>
  <si>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</si>
  <si>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</si>
  <si>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</si>
  <si>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</si>
  <si>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</si>
  <si>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</si>
  <si>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</si>
  <si>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</si>
  <si>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</si>
  <si>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</si>
  <si>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</si>
  <si>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</si>
  <si>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</si>
  <si>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</si>
  <si>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</si>
  <si>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</si>
  <si>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</si>
  <si>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</si>
  <si>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</si>
  <si>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</si>
  <si>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</si>
  <si>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</si>
  <si>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</si>
  <si>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</si>
  <si>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</si>
  <si>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</si>
  <si>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</si>
  <si>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</si>
  <si>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</si>
  <si>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</si>
  <si>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</si>
  <si>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</si>
  <si>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</si>
  <si>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</si>
  <si>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</si>
  <si>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</si>
  <si>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</si>
  <si>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</si>
  <si>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</si>
  <si>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</si>
  <si>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</si>
  <si>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</si>
  <si>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</si>
  <si>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</si>
  <si>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</si>
  <si>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</si>
  <si>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</si>
  <si>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</si>
  <si>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</si>
  <si>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</si>
  <si>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</si>
  <si>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</si>
  <si>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</si>
  <si>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</si>
  <si>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</si>
  <si>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</si>
  <si>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</si>
  <si>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</si>
  <si>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</si>
  <si>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</si>
  <si>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</si>
  <si>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</si>
  <si>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</si>
  <si>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</si>
  <si>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</si>
  <si>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</si>
  <si>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</si>
  <si>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</si>
  <si>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</si>
  <si>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</si>
  <si>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</si>
  <si>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</si>
  <si>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</si>
  <si>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</si>
  <si>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</si>
  <si>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</si>
  <si>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</si>
  <si>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</si>
  <si>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</si>
  <si>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</si>
  <si>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</si>
  <si>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</si>
  <si>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</si>
  <si>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</si>
  <si>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</si>
  <si>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</si>
  <si>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</si>
  <si>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</si>
  <si>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</si>
  <si>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</si>
  <si>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</si>
  <si>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</si>
  <si>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</si>
  <si>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</si>
  <si>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</si>
  <si>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</si>
  <si>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</si>
  <si>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</si>
  <si>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</si>
  <si>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</si>
  <si>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</si>
  <si>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</si>
  <si>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</si>
  <si>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</si>
  <si>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</si>
  <si>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</si>
  <si>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</si>
  <si>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</si>
  <si>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</si>
  <si>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</si>
  <si>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</si>
  <si>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</si>
  <si>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</si>
  <si>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</si>
  <si>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</si>
  <si>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</si>
  <si>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</si>
  <si>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</si>
  <si>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</si>
  <si>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</si>
  <si>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</si>
  <si>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</si>
  <si>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</si>
  <si>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</si>
  <si>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</si>
  <si>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</si>
  <si>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</si>
  <si>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</si>
  <si>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</si>
  <si>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</si>
  <si>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</si>
  <si>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</si>
  <si>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</si>
  <si>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</si>
  <si>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</si>
  <si>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</si>
  <si>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</si>
  <si>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</si>
  <si>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</si>
  <si>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</si>
  <si>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</si>
  <si>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</si>
  <si>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</si>
  <si>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</si>
  <si>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</si>
  <si>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</si>
  <si>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</si>
  <si>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</si>
  <si>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</si>
  <si>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</si>
  <si>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</si>
  <si>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</si>
  <si>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</si>
  <si>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</si>
  <si>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</si>
  <si>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</si>
  <si>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</si>
  <si>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</si>
  <si>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</si>
  <si>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</si>
  <si>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</si>
  <si>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</si>
  <si>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</si>
  <si>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</si>
  <si>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</si>
  <si>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</si>
  <si>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</si>
  <si>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</si>
  <si>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</si>
  <si>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</si>
  <si>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</si>
  <si>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</si>
  <si>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</si>
  <si>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</si>
  <si>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</si>
  <si>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</si>
  <si>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</si>
  <si>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</si>
  <si>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</si>
  <si>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</si>
  <si>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</si>
  <si>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</si>
  <si>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</si>
  <si>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</si>
  <si>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</si>
  <si>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</si>
  <si>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</si>
  <si>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</si>
  <si>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</si>
  <si>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</si>
  <si>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</si>
  <si>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</si>
  <si>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</si>
  <si>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</si>
  <si>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</si>
  <si>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</si>
  <si>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</si>
  <si>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</si>
  <si>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</si>
  <si>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</si>
  <si>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</si>
  <si>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</si>
  <si>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</si>
  <si>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</si>
  <si>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</si>
  <si>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</si>
  <si>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</si>
  <si>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</si>
  <si>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</si>
  <si>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</si>
  <si>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</si>
  <si>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</si>
  <si>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</si>
  <si>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</si>
  <si>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</si>
  <si>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</si>
  <si>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</si>
  <si>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</si>
  <si>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</si>
  <si>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</si>
  <si>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</si>
  <si>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</si>
  <si>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</si>
  <si>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</si>
  <si>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</si>
  <si>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</si>
  <si>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</si>
  <si>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</si>
  <si>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</si>
  <si>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</si>
  <si>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</si>
  <si>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</si>
  <si>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</si>
  <si>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</si>
  <si>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</si>
  <si>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</si>
  <si>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</si>
  <si>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</si>
  <si>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</si>
  <si>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</si>
  <si>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</si>
  <si>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</si>
  <si>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</si>
  <si>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</si>
  <si>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</si>
  <si>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</si>
  <si>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</si>
  <si>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</si>
  <si>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</si>
  <si>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</si>
  <si>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</si>
  <si>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</si>
  <si>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</si>
  <si>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</si>
  <si>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</si>
  <si>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</si>
  <si>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</si>
  <si>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</si>
  <si>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</si>
  <si>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</si>
  <si>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</si>
  <si>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</si>
  <si>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</si>
  <si>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</si>
  <si>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</si>
  <si>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</si>
  <si>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</si>
  <si>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</si>
  <si>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</si>
  <si>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</si>
  <si>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</si>
  <si>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</si>
  <si>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</si>
  <si>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</si>
  <si>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</si>
  <si>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</si>
  <si>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</si>
  <si>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</si>
  <si>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</si>
  <si>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</si>
  <si>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</si>
  <si>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</si>
  <si>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</si>
  <si>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</si>
  <si>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</si>
  <si>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</si>
  <si>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</si>
  <si>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</si>
  <si>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</si>
  <si>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</si>
  <si>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</si>
  <si>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</si>
  <si>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</si>
  <si>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</si>
  <si>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</si>
  <si>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</si>
  <si>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</si>
  <si>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</si>
  <si>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</si>
  <si>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</si>
  <si>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</si>
  <si>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</si>
  <si>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</si>
  <si>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</si>
  <si>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</si>
  <si>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</si>
  <si>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</si>
  <si>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</si>
  <si>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</si>
  <si>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</si>
  <si>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</si>
  <si>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</si>
  <si>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</si>
  <si>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</si>
  <si>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</si>
  <si>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</si>
  <si>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</si>
  <si>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</si>
  <si>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</si>
  <si>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</si>
  <si>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</si>
  <si>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</si>
  <si>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</si>
  <si>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</si>
  <si>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</si>
  <si>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</si>
  <si>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</si>
  <si>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</si>
  <si>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</si>
  <si>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</si>
  <si>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</si>
  <si>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</si>
  <si>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</si>
  <si>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</si>
  <si>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</si>
  <si>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</si>
  <si>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</si>
  <si>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</si>
  <si>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</si>
  <si>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</si>
  <si>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</si>
  <si>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</si>
  <si>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</si>
  <si>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</si>
  <si>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</si>
  <si>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</si>
  <si>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</si>
  <si>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</si>
  <si>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</si>
  <si>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</si>
  <si>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</si>
  <si>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</si>
  <si>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</si>
  <si>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</si>
  <si>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</si>
  <si>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</si>
  <si>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</si>
  <si>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</si>
  <si>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</si>
  <si>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</si>
  <si>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</si>
  <si>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</si>
  <si>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</si>
  <si>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</si>
  <si>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</si>
  <si>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</si>
  <si>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</si>
  <si>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</si>
  <si>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</si>
  <si>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</si>
  <si>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</si>
  <si>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</si>
  <si>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</si>
  <si>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</si>
  <si>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</si>
  <si>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</si>
  <si>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</si>
  <si>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</si>
  <si>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</si>
  <si>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</si>
  <si>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</si>
  <si>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</si>
  <si>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</si>
  <si>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</si>
  <si>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</si>
  <si>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</si>
  <si>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</si>
  <si>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</si>
  <si>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</si>
  <si>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</si>
  <si>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</si>
  <si>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</si>
  <si>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</si>
  <si>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</si>
  <si>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</si>
  <si>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</si>
  <si>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</si>
  <si>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</si>
  <si>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</si>
  <si>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</si>
  <si>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</si>
  <si>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</si>
  <si>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</si>
  <si>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</si>
  <si>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</si>
  <si>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</si>
  <si>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</si>
  <si>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</si>
  <si>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</si>
  <si>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</si>
  <si>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</si>
  <si>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</si>
  <si>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</si>
  <si>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</si>
  <si>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</si>
  <si>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</si>
  <si>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</si>
  <si>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</si>
  <si>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</si>
  <si>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</si>
  <si>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</si>
  <si>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</si>
  <si>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</si>
  <si>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</si>
  <si>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</si>
  <si>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</si>
  <si>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</si>
  <si>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</si>
  <si>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</si>
  <si>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</si>
  <si>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</si>
  <si>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</si>
  <si>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</si>
  <si>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</si>
  <si>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</si>
  <si>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</si>
  <si>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</si>
  <si>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</si>
  <si>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</si>
  <si>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</si>
  <si>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</si>
  <si>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</si>
  <si>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</si>
  <si>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</si>
  <si>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</si>
  <si>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</si>
  <si>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</si>
  <si>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</si>
  <si>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</si>
  <si>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</si>
  <si>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</si>
  <si>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</si>
  <si>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</si>
  <si>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</si>
  <si>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</si>
  <si>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</si>
  <si>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</si>
  <si>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</si>
  <si>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</si>
  <si>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</si>
  <si>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</si>
  <si>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</si>
  <si>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</si>
  <si>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</si>
  <si>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</si>
  <si>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</si>
  <si>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</si>
  <si>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</si>
  <si>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</si>
  <si>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</si>
  <si>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</si>
  <si>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</si>
  <si>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</si>
  <si>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</si>
  <si>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</si>
  <si>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</si>
  <si>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</si>
  <si>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</si>
  <si>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</si>
  <si>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</si>
  <si>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</si>
  <si>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</si>
  <si>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</si>
  <si>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</si>
  <si>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</si>
  <si>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</si>
  <si>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</si>
  <si>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</si>
  <si>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</si>
  <si>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</si>
  <si>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</si>
  <si>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</si>
  <si>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</si>
  <si>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</si>
  <si>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</si>
  <si>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</si>
  <si>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</si>
  <si>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</si>
  <si>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</si>
  <si>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</si>
  <si>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</si>
  <si>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</si>
  <si>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</si>
  <si>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</si>
  <si>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</si>
  <si>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</si>
  <si>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</si>
  <si>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</si>
  <si>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</si>
  <si>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</si>
  <si>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</si>
  <si>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</si>
  <si>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</si>
  <si>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</si>
  <si>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</si>
  <si>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</si>
  <si>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</si>
  <si>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</si>
  <si>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</si>
  <si>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</si>
  <si>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</si>
  <si>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</si>
  <si>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</si>
  <si>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</si>
  <si>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</si>
  <si>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</si>
  <si>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</si>
  <si>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</si>
  <si>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</si>
  <si>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</si>
  <si>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</si>
  <si>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</si>
  <si>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</si>
  <si>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</si>
  <si>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</si>
  <si>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</si>
  <si>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</si>
  <si>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</si>
  <si>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</si>
  <si>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</si>
  <si>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</si>
  <si>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</si>
  <si>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</si>
  <si>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</si>
  <si>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</si>
  <si>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</si>
  <si>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</si>
  <si>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</si>
  <si>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</si>
  <si>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</si>
  <si>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</si>
  <si>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</si>
  <si>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</si>
  <si>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</si>
  <si>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</si>
  <si>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</si>
  <si>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</si>
  <si>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</si>
  <si>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</si>
  <si>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</si>
  <si>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</si>
  <si>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</si>
  <si>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</si>
  <si>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</si>
  <si>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</si>
  <si>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</si>
  <si>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</si>
  <si>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</si>
  <si>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</si>
  <si>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</si>
  <si>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</si>
  <si>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</si>
  <si>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</si>
  <si>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</si>
  <si>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</si>
  <si>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</si>
  <si>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</si>
  <si>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</si>
  <si>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</si>
  <si>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</si>
  <si>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</si>
  <si>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</si>
  <si>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</si>
  <si>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</si>
  <si>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</si>
  <si>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</si>
  <si>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</si>
  <si>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</si>
  <si>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</si>
  <si>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</si>
  <si>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</si>
  <si>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</si>
  <si>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</si>
  <si>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</si>
  <si>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</si>
  <si>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</si>
  <si>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</si>
  <si>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</si>
  <si>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</si>
  <si>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</si>
  <si>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</si>
  <si>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</si>
  <si>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</si>
  <si>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</si>
  <si>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</si>
  <si>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</si>
  <si>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</si>
  <si>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</si>
  <si>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</si>
  <si>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</si>
  <si>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</si>
  <si>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</si>
  <si>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</si>
  <si>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</si>
  <si>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</si>
  <si>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</si>
  <si>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</si>
  <si>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</si>
  <si>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</si>
  <si>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</si>
  <si>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</si>
  <si>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</si>
  <si>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</si>
  <si>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</si>
  <si>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</si>
  <si>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</si>
  <si>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</si>
  <si>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</si>
  <si>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</si>
  <si>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</si>
  <si>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</si>
  <si>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</si>
  <si>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</si>
  <si>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</si>
  <si>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</si>
  <si>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</si>
  <si>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</si>
  <si>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</si>
  <si>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</si>
  <si>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</si>
  <si>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</si>
  <si>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</si>
  <si>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</si>
  <si>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</si>
  <si>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</si>
  <si>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</si>
  <si>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</si>
  <si>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</si>
  <si>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</si>
  <si>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</si>
  <si>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</si>
  <si>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</si>
  <si>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</si>
  <si>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</si>
  <si>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</si>
  <si>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</si>
  <si>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</si>
  <si>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</si>
  <si>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</si>
  <si>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</si>
  <si>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</si>
  <si>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</si>
  <si>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</si>
  <si>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</si>
  <si>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</si>
  <si>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</si>
  <si>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</si>
  <si>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</si>
  <si>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</si>
  <si>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</si>
  <si>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</si>
  <si>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</si>
  <si>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</si>
  <si>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</si>
  <si>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</si>
  <si>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</si>
  <si>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</si>
  <si>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</si>
  <si>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</si>
  <si>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</si>
  <si>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</si>
  <si>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</si>
  <si>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</si>
  <si>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</si>
  <si>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</si>
  <si>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</si>
  <si>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</si>
  <si>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</si>
  <si>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</si>
  <si>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</si>
  <si>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</si>
  <si>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</si>
  <si>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</si>
  <si>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</si>
  <si>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</si>
  <si>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</si>
  <si>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</si>
  <si>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</si>
  <si>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</si>
  <si>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</si>
  <si>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</si>
  <si>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</si>
  <si>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</si>
  <si>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</si>
  <si>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</si>
  <si>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</si>
  <si>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</si>
  <si>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</si>
  <si>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</si>
  <si>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</si>
  <si>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</si>
  <si>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</si>
  <si>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</si>
  <si>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</si>
  <si>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</si>
  <si>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</si>
  <si>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</si>
  <si>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</si>
  <si>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</si>
  <si>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</si>
  <si>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</si>
  <si>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</si>
  <si>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</si>
  <si>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</si>
  <si>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</si>
  <si>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</si>
  <si>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</si>
  <si>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</si>
  <si>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</si>
  <si>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</si>
  <si>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</si>
  <si>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</si>
  <si>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</si>
  <si>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</si>
  <si>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</si>
  <si>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</si>
  <si>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</si>
  <si>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</si>
  <si>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</si>
  <si>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</si>
  <si>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</si>
  <si>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</si>
  <si>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</si>
  <si>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</si>
  <si>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</si>
  <si>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</si>
  <si>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</si>
  <si>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</si>
  <si>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</si>
  <si>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</si>
  <si>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</si>
  <si>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</si>
  <si>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</si>
  <si>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</si>
  <si>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</si>
  <si>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</si>
  <si>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</si>
  <si>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</si>
  <si>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</si>
  <si>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</si>
  <si>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</si>
  <si>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</si>
  <si>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</si>
  <si>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</si>
  <si>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</si>
  <si>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</si>
  <si>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</si>
  <si>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</si>
  <si>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</si>
  <si>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</si>
  <si>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</si>
  <si>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</si>
  <si>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</si>
  <si>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</si>
  <si>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</si>
  <si>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</si>
  <si>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</si>
  <si>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</si>
  <si>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</si>
  <si>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</si>
  <si>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</si>
  <si>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</si>
  <si>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</si>
  <si>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</si>
  <si>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</si>
  <si>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</si>
  <si>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</si>
  <si>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</si>
  <si>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</si>
  <si>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</si>
  <si>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</si>
  <si>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</si>
  <si>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</si>
  <si>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</si>
  <si>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</si>
  <si>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</si>
  <si>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</si>
  <si>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</si>
  <si>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</si>
  <si>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</si>
  <si>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</si>
  <si>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</si>
  <si>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</si>
  <si>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</si>
  <si>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</si>
  <si>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</si>
  <si>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</si>
  <si>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</si>
  <si>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</si>
  <si>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</si>
  <si>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</si>
  <si>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</si>
  <si>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</si>
  <si>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</si>
  <si>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</si>
  <si>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</si>
  <si>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</si>
  <si>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</si>
  <si>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</si>
  <si>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</si>
  <si>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</si>
  <si>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</si>
  <si>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</si>
  <si>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</si>
  <si>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</si>
  <si>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</si>
  <si>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</si>
  <si>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</si>
  <si>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</si>
  <si>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</si>
  <si>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</si>
  <si>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</si>
  <si>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</si>
  <si>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</si>
  <si>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</si>
  <si>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</si>
  <si>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</si>
  <si>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</si>
  <si>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</si>
  <si>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</si>
  <si>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</si>
  <si>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</si>
  <si>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</si>
  <si>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</si>
  <si>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</si>
  <si>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</si>
  <si>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</si>
  <si>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</si>
  <si>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</si>
  <si>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568-11911-1-ND</t>
  </si>
  <si>
    <t>568-11910-1-ND</t>
  </si>
  <si>
    <t>PCA9554ADWR</t>
  </si>
  <si>
    <t>296-21779-1-ND</t>
  </si>
  <si>
    <t>568-13509-1-ND</t>
  </si>
  <si>
    <t>PCA9554DBR</t>
  </si>
  <si>
    <t>296-21781-1-ND</t>
  </si>
  <si>
    <t>568-4516-1-ND</t>
  </si>
  <si>
    <t>568-1055-1-ND</t>
  </si>
  <si>
    <t>PCA9554PWR</t>
  </si>
  <si>
    <t>296-PCA9554PWRCT-ND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</si>
  <si>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</si>
  <si>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</si>
  <si>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</si>
  <si>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</si>
  <si>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</si>
  <si>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</si>
  <si>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</si>
  <si>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</si>
  <si>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</si>
  <si>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</si>
  <si>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</si>
  <si>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</si>
  <si>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</si>
  <si>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</si>
  <si>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</si>
  <si>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</si>
  <si>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</si>
  <si>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</si>
  <si>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</si>
  <si>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</si>
  <si>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</si>
  <si>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</si>
  <si>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</si>
  <si>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</si>
  <si>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</si>
  <si>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</si>
  <si>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568-3397-1-ND</t>
  </si>
  <si>
    <t>568-3394-1-ND</t>
  </si>
  <si>
    <t>PCA9554ARGVR</t>
  </si>
  <si>
    <t>296-22709-1-ND</t>
  </si>
  <si>
    <t>568-5928-1-ND</t>
  </si>
  <si>
    <t>PCA9554ARGTR</t>
  </si>
  <si>
    <t>296-24733-1-ND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</si>
  <si>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</si>
  <si>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</si>
  <si>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</si>
  <si>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</si>
  <si>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</si>
  <si>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</si>
  <si>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</si>
  <si>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</si>
  <si>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</si>
  <si>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</si>
  <si>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</si>
  <si>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</si>
  <si>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</si>
  <si>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</si>
  <si>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</si>
  <si>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</si>
  <si>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</si>
  <si>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</si>
  <si>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</si>
  <si>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</si>
  <si>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</si>
  <si>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</si>
  <si>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</si>
  <si>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</si>
  <si>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</si>
  <si>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</si>
  <si>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</si>
  <si>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</si>
  <si>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</si>
  <si>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</si>
  <si>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</si>
  <si>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</si>
  <si>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</si>
  <si>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</si>
  <si>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</si>
  <si>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</si>
  <si>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</si>
  <si>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</si>
  <si>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</si>
  <si>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</si>
  <si>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</si>
  <si>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</si>
  <si>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</si>
  <si>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</si>
  <si>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</si>
  <si>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</si>
  <si>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</si>
  <si>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</si>
  <si>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</si>
  <si>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</si>
  <si>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</si>
  <si>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</si>
  <si>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</si>
  <si>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</si>
  <si>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</si>
  <si>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</si>
  <si>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</si>
  <si>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</si>
  <si>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</si>
  <si>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</si>
  <si>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</si>
  <si>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</si>
  <si>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</si>
  <si>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</si>
  <si>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</si>
  <si>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</si>
  <si>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</si>
  <si>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</si>
  <si>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</si>
  <si>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</si>
  <si>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</si>
  <si>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</si>
  <si>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</si>
  <si>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</si>
  <si>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</si>
  <si>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</si>
  <si>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</si>
  <si>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</si>
  <si>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</si>
  <si>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</si>
  <si>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</si>
  <si>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</si>
  <si>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</si>
  <si>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</si>
  <si>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</si>
  <si>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</si>
  <si>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</si>
  <si>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</si>
  <si>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</si>
  <si>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</si>
  <si>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</si>
  <si>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</si>
  <si>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</si>
  <si>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</si>
  <si>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</si>
  <si>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</si>
  <si>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</si>
  <si>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</si>
  <si>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</si>
  <si>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</si>
  <si>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</si>
  <si>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</si>
  <si>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</si>
  <si>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</si>
  <si>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</si>
  <si>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</si>
  <si>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</si>
  <si>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</si>
  <si>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</si>
  <si>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</si>
  <si>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</si>
  <si>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</si>
  <si>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</si>
  <si>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</si>
  <si>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</si>
  <si>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</si>
  <si>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</si>
  <si>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</si>
  <si>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</si>
  <si>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</si>
  <si>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</si>
  <si>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</si>
  <si>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</si>
  <si>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</si>
  <si>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</si>
  <si>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</si>
  <si>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</si>
  <si>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</si>
  <si>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</si>
  <si>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</si>
  <si>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</si>
  <si>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</si>
  <si>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</si>
  <si>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</si>
  <si>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</si>
  <si>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</si>
  <si>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</si>
  <si>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</si>
  <si>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</si>
  <si>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</si>
  <si>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</si>
  <si>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</si>
  <si>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</si>
  <si>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</si>
  <si>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</si>
  <si>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</si>
  <si>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</si>
  <si>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</si>
  <si>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</si>
  <si>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</si>
  <si>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</si>
  <si>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</si>
  <si>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</si>
  <si>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</si>
  <si>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</si>
  <si>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</si>
  <si>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</si>
  <si>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</si>
  <si>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</si>
  <si>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</si>
  <si>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</si>
  <si>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</si>
  <si>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</si>
  <si>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</si>
  <si>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</si>
  <si>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</si>
  <si>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</si>
  <si>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</si>
  <si>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</si>
  <si>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</si>
  <si>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</si>
  <si>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</si>
  <si>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</si>
  <si>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</si>
  <si>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</si>
  <si>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</si>
  <si>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</si>
  <si>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</si>
  <si>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</si>
  <si>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</si>
  <si>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</si>
  <si>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</si>
  <si>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</si>
  <si>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</si>
  <si>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</si>
  <si>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</si>
  <si>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</si>
  <si>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</si>
  <si>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</si>
  <si>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</si>
  <si>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</si>
  <si>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</si>
  <si>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</si>
  <si>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</si>
  <si>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</si>
  <si>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</si>
  <si>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</si>
  <si>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</si>
  <si>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</si>
  <si>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</si>
  <si>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</si>
  <si>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</si>
  <si>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</si>
  <si>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</si>
  <si>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</si>
  <si>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</si>
  <si>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</si>
  <si>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</si>
  <si>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</si>
  <si>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</si>
  <si>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</si>
  <si>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</si>
  <si>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</si>
  <si>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</si>
  <si>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</si>
  <si>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</si>
  <si>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</si>
  <si>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</si>
  <si>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</si>
  <si>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</si>
  <si>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</si>
  <si>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</si>
  <si>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</si>
  <si>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</si>
  <si>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</si>
  <si>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</si>
  <si>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</si>
  <si>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</si>
  <si>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</si>
  <si>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</si>
  <si>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</si>
  <si>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</si>
  <si>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</si>
  <si>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</si>
  <si>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</si>
  <si>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</si>
  <si>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</si>
  <si>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</si>
  <si>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</si>
  <si>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</si>
  <si>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</si>
  <si>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</si>
  <si>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</si>
  <si>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</si>
  <si>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</si>
  <si>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</si>
  <si>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</si>
  <si>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</si>
  <si>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</si>
  <si>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</si>
  <si>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</si>
  <si>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</si>
  <si>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</si>
  <si>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</si>
  <si>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</si>
  <si>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</si>
  <si>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</si>
  <si>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</si>
  <si>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</si>
  <si>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</si>
  <si>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</si>
  <si>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</si>
  <si>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</si>
  <si>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</si>
  <si>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</si>
  <si>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</si>
  <si>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</si>
  <si>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</si>
  <si>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</si>
  <si>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</si>
  <si>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</si>
  <si>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</si>
  <si>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</si>
  <si>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</si>
  <si>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</si>
  <si>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</si>
  <si>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</si>
  <si>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</si>
  <si>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</si>
  <si>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</si>
  <si>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</si>
  <si>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</si>
  <si>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</si>
  <si>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</si>
  <si>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</si>
  <si>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</si>
  <si>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</si>
  <si>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</si>
  <si>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</si>
  <si>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</si>
  <si>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</si>
  <si>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</si>
  <si>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</si>
  <si>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</si>
  <si>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</si>
  <si>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</si>
  <si>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</si>
  <si>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</si>
  <si>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</si>
  <si>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</si>
  <si>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</si>
  <si>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</si>
  <si>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</si>
  <si>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</si>
  <si>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</si>
  <si>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</si>
  <si>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</si>
  <si>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</si>
  <si>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</si>
  <si>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</si>
  <si>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</si>
  <si>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</si>
  <si>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</si>
  <si>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</si>
  <si>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</si>
  <si>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</si>
  <si>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</si>
  <si>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</si>
  <si>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</si>
  <si>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</si>
  <si>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</si>
  <si>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</si>
  <si>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</si>
  <si>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</si>
  <si>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</si>
  <si>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</si>
  <si>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</si>
  <si>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</si>
  <si>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</si>
  <si>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</si>
  <si>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</si>
  <si>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</si>
  <si>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</si>
  <si>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</si>
  <si>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</si>
  <si>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</si>
  <si>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</si>
  <si>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</si>
  <si>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</si>
  <si>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</si>
  <si>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</si>
  <si>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</si>
  <si>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</si>
  <si>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</si>
  <si>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</si>
  <si>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</si>
  <si>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</si>
  <si>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</si>
  <si>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</si>
  <si>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</si>
  <si>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</si>
  <si>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</si>
  <si>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</si>
  <si>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</si>
  <si>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</si>
  <si>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</si>
  <si>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</si>
  <si>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</si>
  <si>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</si>
  <si>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</si>
  <si>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</si>
  <si>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</si>
  <si>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</si>
  <si>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</si>
  <si>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</si>
  <si>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</si>
  <si>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</si>
  <si>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</si>
  <si>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</si>
  <si>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</si>
  <si>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</si>
  <si>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</si>
  <si>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</si>
  <si>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</si>
  <si>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</si>
  <si>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</si>
  <si>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</si>
  <si>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</si>
  <si>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</si>
  <si>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</si>
  <si>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</si>
  <si>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</si>
  <si>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</si>
  <si>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</si>
  <si>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</si>
  <si>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</si>
  <si>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</si>
  <si>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</si>
  <si>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</si>
  <si>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</si>
  <si>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</si>
  <si>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</si>
  <si>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</si>
  <si>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</si>
  <si>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</si>
  <si>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</si>
  <si>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</si>
  <si>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</si>
  <si>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</si>
  <si>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</si>
  <si>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</si>
  <si>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</si>
  <si>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</si>
  <si>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</si>
  <si>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</si>
  <si>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</si>
  <si>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</si>
  <si>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</si>
  <si>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</si>
  <si>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</si>
  <si>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</si>
  <si>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</si>
  <si>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</si>
  <si>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</si>
  <si>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</si>
  <si>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</si>
  <si>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</si>
  <si>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</si>
  <si>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</si>
  <si>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</si>
  <si>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</si>
  <si>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</si>
  <si>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</si>
  <si>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</si>
  <si>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</si>
  <si>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</si>
  <si>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</si>
  <si>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</si>
  <si>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</si>
  <si>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</si>
  <si>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</si>
  <si>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</si>
  <si>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</si>
  <si>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</si>
  <si>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</si>
  <si>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</si>
  <si>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</si>
  <si>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</si>
  <si>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</si>
  <si>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</si>
  <si>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</si>
  <si>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</si>
  <si>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</si>
  <si>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</si>
  <si>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</si>
  <si>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</si>
  <si>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</si>
  <si>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</si>
  <si>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</si>
  <si>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</si>
  <si>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</si>
  <si>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</si>
  <si>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</si>
  <si>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</si>
  <si>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</si>
  <si>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</si>
  <si>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</si>
  <si>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</si>
  <si>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</si>
  <si>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</si>
  <si>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</si>
  <si>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</si>
  <si>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</si>
  <si>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</si>
  <si>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</si>
  <si>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</si>
  <si>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</si>
  <si>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</si>
  <si>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</si>
  <si>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</si>
  <si>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</si>
  <si>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</si>
  <si>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</si>
  <si>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</si>
  <si>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</si>
  <si>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</si>
  <si>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</si>
  <si>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</si>
  <si>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</si>
  <si>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</si>
  <si>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</si>
  <si>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</si>
  <si>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</si>
  <si>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</si>
  <si>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</si>
  <si>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</si>
  <si>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</si>
  <si>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</si>
  <si>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</si>
  <si>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</si>
  <si>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</si>
  <si>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</si>
  <si>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</si>
  <si>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</si>
  <si>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</si>
  <si>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</si>
  <si>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</si>
  <si>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</si>
  <si>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</si>
  <si>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</si>
  <si>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</si>
  <si>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</si>
  <si>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</si>
  <si>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</si>
  <si>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</si>
  <si>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</si>
  <si>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</si>
  <si>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</si>
  <si>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</si>
  <si>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</si>
  <si>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</si>
  <si>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</si>
  <si>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</si>
  <si>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</si>
  <si>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</si>
  <si>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</si>
  <si>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</si>
  <si>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</si>
  <si>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</si>
  <si>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</si>
  <si>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</si>
  <si>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</si>
  <si>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</si>
  <si>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</si>
  <si>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</si>
  <si>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</si>
  <si>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</si>
  <si>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</si>
  <si>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</si>
  <si>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</si>
  <si>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</si>
  <si>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</si>
  <si>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</si>
  <si>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</si>
  <si>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</si>
  <si>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</si>
  <si>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</si>
  <si>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</si>
  <si>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</si>
  <si>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</si>
  <si>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</si>
  <si>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</si>
  <si>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</si>
  <si>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</si>
  <si>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</si>
  <si>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</si>
  <si>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</si>
  <si>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</si>
  <si>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</si>
  <si>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</si>
  <si>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</si>
  <si>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</si>
  <si>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</si>
  <si>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</si>
  <si>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</si>
  <si>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</si>
  <si>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</si>
  <si>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</si>
  <si>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</si>
  <si>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</si>
  <si>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</si>
  <si>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</si>
  <si>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</si>
  <si>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</si>
  <si>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</si>
  <si>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</si>
  <si>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</si>
  <si>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</si>
  <si>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</si>
  <si>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</si>
  <si>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</si>
  <si>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</si>
  <si>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</si>
  <si>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</si>
  <si>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</si>
  <si>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</si>
  <si>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</si>
  <si>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</si>
  <si>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</si>
  <si>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</si>
  <si>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</si>
  <si>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</si>
  <si>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</si>
  <si>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</si>
  <si>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</si>
  <si>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</si>
  <si>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</si>
  <si>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</si>
  <si>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</si>
  <si>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</si>
  <si>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</si>
  <si>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</si>
  <si>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</si>
  <si>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</si>
  <si>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</si>
  <si>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</si>
  <si>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</si>
  <si>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</si>
  <si>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</si>
  <si>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</si>
  <si>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</si>
  <si>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</si>
  <si>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</si>
  <si>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</si>
  <si>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</si>
  <si>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</si>
  <si>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</si>
  <si>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</si>
  <si>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</si>
  <si>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</si>
  <si>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</si>
  <si>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</si>
  <si>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</si>
  <si>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</si>
  <si>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</si>
  <si>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</si>
  <si>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</si>
  <si>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</si>
  <si>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</si>
  <si>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</si>
  <si>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</si>
  <si>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</si>
  <si>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</si>
  <si>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</si>
  <si>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</si>
  <si>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</si>
  <si>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</si>
  <si>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</si>
  <si>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</si>
  <si>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</si>
  <si>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</si>
  <si>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</si>
  <si>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</si>
  <si>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</si>
  <si>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</si>
  <si>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</si>
  <si>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</si>
  <si>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</si>
  <si>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</si>
  <si>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</si>
  <si>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</si>
  <si>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</si>
  <si>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</si>
  <si>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</si>
  <si>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</si>
  <si>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</si>
  <si>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</si>
  <si>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</si>
  <si>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</si>
  <si>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</si>
  <si>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</si>
  <si>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</si>
  <si>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</si>
  <si>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</si>
  <si>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</si>
  <si>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</si>
  <si>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</si>
  <si>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</si>
  <si>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</si>
  <si>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</si>
  <si>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</si>
  <si>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</si>
  <si>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</si>
  <si>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</si>
  <si>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</si>
  <si>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</si>
  <si>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</si>
  <si>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</si>
  <si>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</si>
  <si>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</si>
  <si>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</si>
  <si>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</si>
  <si>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</si>
  <si>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</si>
  <si>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</si>
  <si>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</si>
  <si>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</si>
  <si>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</si>
  <si>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</si>
  <si>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</si>
  <si>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</si>
  <si>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</si>
  <si>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</si>
  <si>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</si>
  <si>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</si>
  <si>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</si>
  <si>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</si>
  <si>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</si>
  <si>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</si>
  <si>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</si>
  <si>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</si>
  <si>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</si>
  <si>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</si>
  <si>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</si>
  <si>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</si>
  <si>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</si>
  <si>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</si>
  <si>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</si>
  <si>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</si>
  <si>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</si>
  <si>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</si>
  <si>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</si>
  <si>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</si>
  <si>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</si>
  <si>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</si>
  <si>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</si>
  <si>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</si>
  <si>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</si>
  <si>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</si>
  <si>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</si>
  <si>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</si>
  <si>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</si>
  <si>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</si>
  <si>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</si>
  <si>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</si>
  <si>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</si>
  <si>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</si>
  <si>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</si>
  <si>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</si>
  <si>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</si>
  <si>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</si>
  <si>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</si>
  <si>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</si>
  <si>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</si>
  <si>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</si>
  <si>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</si>
  <si>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</si>
  <si>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</si>
  <si>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</si>
  <si>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</si>
  <si>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</si>
  <si>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</si>
  <si>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</si>
  <si>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</si>
  <si>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</si>
  <si>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</si>
  <si>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</si>
  <si>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</si>
  <si>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</si>
  <si>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</si>
  <si>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</si>
  <si>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</si>
  <si>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</si>
  <si>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</si>
  <si>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</si>
  <si>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</si>
  <si>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</si>
  <si>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</si>
  <si>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</si>
  <si>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</si>
  <si>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</si>
  <si>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</si>
  <si>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</si>
  <si>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</si>
  <si>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</si>
  <si>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</si>
  <si>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</si>
  <si>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</si>
  <si>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</si>
  <si>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</si>
  <si>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</si>
  <si>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</si>
  <si>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</si>
  <si>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</si>
  <si>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</si>
  <si>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</si>
  <si>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</si>
  <si>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</si>
  <si>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</si>
  <si>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</si>
  <si>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</si>
  <si>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</si>
  <si>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</si>
  <si>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</si>
  <si>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</si>
  <si>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</si>
  <si>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</si>
  <si>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</si>
  <si>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</si>
  <si>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</si>
  <si>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</si>
  <si>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</si>
  <si>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</si>
  <si>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</si>
  <si>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</si>
  <si>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</si>
  <si>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</si>
  <si>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</si>
  <si>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</si>
  <si>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</si>
  <si>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</si>
  <si>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</si>
  <si>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</si>
  <si>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</si>
  <si>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</si>
  <si>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</si>
  <si>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</si>
  <si>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</si>
  <si>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</si>
  <si>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</si>
  <si>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</si>
  <si>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</si>
  <si>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</si>
  <si>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</si>
  <si>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</si>
  <si>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</si>
  <si>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</si>
  <si>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</si>
  <si>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</si>
  <si>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</si>
  <si>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</si>
  <si>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</si>
  <si>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</si>
  <si>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</si>
  <si>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</si>
  <si>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</si>
  <si>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</si>
  <si>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</si>
  <si>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</si>
  <si>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</si>
  <si>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</si>
  <si>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</si>
  <si>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</si>
  <si>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</si>
  <si>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</si>
  <si>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</si>
  <si>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</si>
  <si>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</si>
  <si>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</si>
  <si>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</si>
  <si>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</si>
  <si>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</si>
  <si>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</si>
  <si>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</si>
  <si>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</si>
  <si>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</si>
  <si>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</si>
  <si>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</si>
  <si>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</si>
  <si>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</si>
  <si>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</si>
  <si>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</si>
  <si>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</si>
  <si>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</si>
  <si>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</si>
  <si>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</si>
  <si>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</si>
  <si>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</si>
  <si>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</si>
  <si>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</si>
  <si>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</si>
  <si>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</si>
  <si>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</si>
  <si>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</si>
  <si>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</si>
  <si>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</si>
  <si>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</si>
  <si>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</si>
  <si>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</si>
  <si>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</si>
  <si>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</si>
  <si>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</si>
  <si>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</si>
  <si>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</si>
  <si>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</si>
  <si>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</si>
  <si>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</si>
  <si>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</si>
  <si>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</si>
  <si>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</si>
  <si>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</si>
  <si>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</si>
  <si>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</si>
  <si>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</si>
  <si>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</si>
  <si>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</si>
  <si>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</si>
  <si>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</si>
  <si>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</si>
  <si>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</si>
  <si>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</si>
  <si>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</si>
  <si>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</si>
  <si>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</si>
  <si>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</si>
  <si>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</si>
  <si>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</si>
  <si>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</si>
  <si>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</si>
  <si>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</si>
  <si>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</si>
  <si>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</si>
  <si>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</si>
  <si>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</si>
  <si>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</si>
  <si>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</si>
  <si>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</si>
  <si>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</si>
  <si>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</si>
  <si>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</si>
  <si>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</si>
  <si>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</si>
  <si>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</si>
  <si>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</si>
  <si>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</si>
  <si>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</si>
  <si>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</si>
  <si>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</si>
  <si>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</si>
  <si>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</si>
  <si>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</si>
  <si>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</si>
  <si>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</si>
  <si>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</si>
  <si>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</si>
  <si>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</si>
  <si>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</si>
  <si>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</si>
  <si>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</si>
  <si>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</si>
  <si>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</si>
  <si>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</si>
  <si>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</si>
  <si>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</si>
  <si>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</si>
  <si>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</si>
  <si>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</si>
  <si>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</si>
  <si>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</si>
  <si>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</si>
  <si>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</si>
  <si>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</si>
  <si>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</si>
  <si>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</si>
  <si>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</si>
  <si>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</si>
  <si>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</si>
  <si>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</si>
  <si>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</si>
  <si>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</si>
  <si>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</si>
  <si>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</si>
  <si>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</si>
  <si>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</si>
  <si>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</si>
  <si>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</si>
  <si>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</si>
  <si>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</si>
  <si>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</si>
  <si>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</si>
  <si>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</si>
  <si>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</si>
  <si>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</si>
  <si>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</si>
  <si>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</si>
  <si>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</si>
  <si>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</si>
  <si>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</si>
  <si>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</si>
  <si>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</si>
  <si>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</si>
  <si>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</si>
  <si>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</si>
  <si>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</si>
  <si>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</si>
  <si>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</si>
  <si>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</si>
  <si>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</si>
  <si>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</si>
  <si>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</si>
  <si>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</si>
  <si>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</si>
  <si>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</si>
  <si>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</si>
  <si>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</si>
  <si>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</si>
  <si>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</si>
  <si>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</si>
  <si>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</si>
  <si>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</si>
  <si>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</si>
  <si>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</si>
  <si>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</si>
  <si>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</si>
  <si>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</si>
  <si>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</si>
  <si>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</si>
  <si>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</si>
  <si>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</si>
  <si>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</si>
  <si>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</si>
  <si>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</si>
  <si>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</si>
  <si>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</si>
  <si>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</si>
  <si>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</si>
  <si>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</si>
  <si>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</si>
  <si>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</si>
  <si>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</si>
  <si>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</si>
  <si>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</si>
  <si>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</si>
  <si>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</si>
  <si>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</si>
  <si>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</si>
  <si>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</si>
  <si>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</si>
  <si>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</si>
  <si>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</si>
  <si>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</si>
  <si>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</si>
  <si>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</si>
  <si>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</si>
  <si>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</si>
  <si>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</si>
  <si>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</si>
  <si>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</si>
  <si>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</si>
  <si>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</si>
  <si>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</si>
  <si>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</si>
  <si>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</si>
  <si>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</si>
  <si>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</si>
  <si>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</si>
  <si>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</si>
  <si>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</si>
  <si>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</si>
  <si>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</si>
  <si>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</si>
  <si>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</si>
  <si>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</si>
  <si>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</si>
  <si>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</si>
  <si>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</si>
  <si>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</si>
  <si>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</si>
  <si>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</si>
  <si>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</si>
  <si>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</si>
  <si>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</si>
  <si>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</si>
  <si>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</si>
  <si>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</si>
  <si>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</si>
  <si>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</si>
  <si>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</si>
  <si>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</si>
  <si>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</si>
  <si>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</si>
  <si>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</si>
  <si>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</si>
  <si>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</si>
  <si>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</si>
  <si>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</si>
  <si>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</si>
  <si>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</si>
  <si>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</si>
  <si>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</si>
  <si>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</si>
  <si>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</si>
  <si>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</si>
  <si>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</si>
  <si>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</si>
  <si>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</si>
  <si>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</si>
  <si>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</si>
  <si>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</si>
  <si>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</si>
  <si>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</si>
  <si>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</si>
  <si>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</si>
  <si>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</si>
  <si>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</si>
  <si>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</si>
  <si>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</si>
  <si>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</si>
  <si>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</si>
  <si>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</si>
  <si>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</si>
  <si>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</si>
  <si>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</si>
  <si>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</si>
  <si>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</si>
  <si>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</si>
  <si>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</si>
  <si>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</si>
  <si>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</si>
  <si>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</si>
  <si>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</si>
  <si>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</si>
  <si>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</si>
  <si>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</si>
  <si>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</si>
  <si>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</si>
  <si>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</si>
  <si>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</si>
  <si>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</si>
  <si>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</si>
  <si>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</si>
  <si>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</si>
  <si>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</si>
  <si>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</si>
  <si>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</si>
  <si>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</si>
  <si>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</si>
  <si>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</si>
  <si>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</si>
  <si>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</si>
  <si>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</si>
  <si>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</si>
  <si>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</si>
  <si>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</si>
  <si>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</si>
  <si>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</si>
  <si>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</si>
  <si>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</si>
  <si>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</si>
  <si>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</si>
  <si>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</si>
  <si>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</si>
  <si>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</si>
  <si>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</si>
  <si>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</si>
  <si>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</si>
  <si>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</si>
  <si>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</si>
  <si>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</si>
  <si>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</si>
  <si>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</si>
  <si>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</si>
  <si>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</si>
  <si>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</si>
  <si>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</si>
  <si>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</si>
  <si>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</si>
  <si>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</si>
  <si>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</si>
  <si>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</si>
  <si>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</si>
  <si>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</si>
  <si>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</si>
  <si>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</si>
  <si>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</si>
  <si>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</si>
  <si>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</si>
  <si>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</si>
  <si>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</si>
  <si>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</si>
  <si>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</si>
  <si>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</si>
  <si>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</si>
  <si>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</si>
  <si>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</si>
  <si>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</si>
  <si>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</si>
  <si>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</si>
  <si>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</si>
  <si>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</si>
  <si>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</si>
  <si>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</si>
  <si>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</si>
  <si>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</si>
  <si>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</si>
  <si>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</si>
  <si>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</si>
  <si>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</si>
  <si>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</si>
  <si>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</si>
  <si>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</si>
  <si>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</si>
  <si>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</si>
  <si>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</si>
  <si>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</si>
  <si>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</si>
  <si>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</si>
  <si>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</si>
  <si>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</si>
  <si>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</si>
  <si>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</si>
  <si>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</si>
  <si>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</si>
  <si>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</si>
  <si>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</si>
  <si>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</si>
  <si>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</si>
  <si>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</si>
  <si>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</si>
  <si>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</si>
  <si>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</si>
  <si>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</si>
  <si>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</si>
  <si>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</si>
  <si>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</si>
  <si>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</si>
  <si>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</si>
  <si>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</si>
  <si>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</si>
  <si>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</si>
  <si>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</si>
  <si>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</si>
  <si>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</si>
  <si>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</si>
  <si>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</si>
  <si>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</si>
  <si>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</si>
  <si>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</si>
  <si>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</si>
  <si>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</si>
  <si>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</si>
  <si>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</si>
  <si>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</si>
  <si>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</si>
  <si>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</si>
  <si>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</si>
  <si>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</si>
  <si>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</si>
  <si>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</si>
  <si>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</si>
  <si>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</si>
  <si>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</si>
  <si>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</si>
  <si>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</si>
  <si>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</si>
  <si>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</si>
  <si>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</si>
  <si>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</si>
  <si>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</si>
  <si>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</si>
  <si>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</si>
  <si>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</si>
  <si>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</si>
  <si>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</si>
  <si>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</si>
  <si>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</si>
  <si>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</si>
  <si>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</si>
  <si>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</si>
  <si>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</si>
  <si>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</si>
  <si>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</si>
  <si>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</si>
  <si>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</si>
  <si>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</si>
  <si>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</si>
  <si>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</si>
  <si>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</si>
  <si>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</si>
  <si>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</si>
  <si>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</si>
  <si>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</si>
  <si>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</si>
  <si>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</si>
  <si>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</si>
  <si>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</si>
  <si>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</si>
  <si>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</si>
  <si>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</si>
  <si>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</si>
  <si>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</si>
  <si>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</si>
  <si>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</si>
  <si>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</si>
  <si>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</si>
  <si>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</si>
  <si>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</si>
  <si>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</si>
  <si>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</si>
  <si>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</si>
  <si>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</si>
  <si>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</si>
  <si>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</si>
  <si>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</si>
  <si>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</si>
  <si>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</si>
  <si>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</si>
  <si>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</si>
  <si>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</si>
  <si>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</si>
  <si>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</si>
  <si>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</si>
  <si>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</si>
  <si>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</si>
  <si>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</si>
  <si>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</si>
  <si>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</si>
  <si>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</si>
  <si>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</si>
  <si>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</si>
  <si>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</si>
  <si>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</si>
  <si>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</si>
  <si>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</si>
  <si>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</si>
  <si>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</si>
  <si>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</si>
  <si>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</si>
  <si>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</si>
  <si>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</si>
  <si>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</si>
  <si>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</si>
  <si>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</si>
  <si>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</si>
  <si>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</si>
  <si>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</si>
  <si>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</si>
  <si>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</si>
  <si>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</si>
  <si>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</si>
  <si>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</si>
  <si>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</si>
  <si>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</si>
  <si>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</si>
  <si>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</si>
  <si>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</si>
  <si>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</si>
  <si>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</si>
  <si>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</si>
  <si>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</si>
  <si>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</si>
  <si>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</si>
  <si>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</si>
  <si>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</si>
  <si>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</si>
  <si>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</si>
  <si>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</si>
  <si>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</si>
  <si>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</si>
  <si>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</si>
  <si>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</si>
  <si>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</si>
  <si>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</si>
  <si>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</si>
  <si>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</si>
  <si>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</si>
  <si>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</si>
  <si>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</si>
  <si>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</si>
  <si>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</si>
  <si>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</si>
  <si>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</si>
  <si>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</si>
  <si>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</si>
  <si>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</si>
  <si>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</si>
  <si>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</si>
  <si>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</si>
  <si>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</si>
  <si>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</si>
  <si>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</si>
  <si>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</si>
  <si>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</si>
  <si>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</si>
  <si>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</si>
  <si>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</si>
  <si>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</si>
  <si>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</si>
  <si>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</si>
  <si>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</si>
  <si>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</si>
  <si>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</si>
  <si>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</si>
  <si>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</si>
  <si>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</si>
  <si>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</si>
  <si>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</si>
  <si>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</si>
  <si>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</si>
  <si>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</si>
  <si>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</si>
  <si>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</si>
  <si>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</si>
  <si>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</si>
  <si>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</si>
  <si>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</si>
  <si>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</si>
  <si>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</si>
  <si>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</si>
  <si>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</si>
  <si>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</si>
  <si>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</si>
  <si>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</si>
  <si>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</si>
  <si>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</si>
  <si>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</si>
  <si>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</si>
  <si>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</si>
  <si>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</si>
  <si>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</si>
  <si>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</si>
  <si>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</si>
  <si>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</si>
  <si>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</si>
  <si>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</si>
  <si>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</si>
  <si>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</si>
  <si>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</si>
  <si>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</si>
  <si>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</si>
  <si>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</si>
  <si>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</si>
  <si>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</si>
  <si>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</si>
  <si>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</si>
  <si>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</si>
  <si>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</si>
  <si>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</si>
  <si>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</si>
  <si>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</si>
  <si>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</si>
  <si>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</si>
  <si>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</si>
  <si>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</si>
  <si>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</si>
  <si>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</si>
  <si>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</si>
  <si>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</si>
  <si>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</si>
  <si>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</si>
  <si>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</si>
  <si>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</si>
  <si>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</si>
  <si>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</si>
  <si>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</si>
  <si>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</si>
  <si>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</si>
  <si>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</si>
  <si>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</si>
  <si>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</si>
  <si>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</si>
  <si>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</si>
  <si>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</si>
  <si>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</si>
  <si>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</si>
  <si>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</si>
  <si>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</si>
  <si>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</si>
  <si>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</si>
  <si>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</si>
  <si>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</si>
  <si>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</si>
  <si>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</si>
  <si>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</si>
  <si>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</si>
  <si>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</si>
  <si>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</si>
  <si>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</si>
  <si>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</si>
  <si>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</si>
  <si>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</si>
  <si>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</si>
  <si>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</si>
  <si>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</si>
  <si>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</si>
  <si>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</si>
  <si>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</si>
  <si>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</si>
  <si>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</si>
  <si>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</si>
  <si>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</si>
  <si>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</si>
  <si>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</si>
  <si>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</si>
  <si>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</si>
  <si>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</si>
  <si>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</si>
  <si>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</si>
  <si>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</si>
  <si>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</si>
  <si>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</si>
  <si>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</si>
  <si>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</si>
  <si>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</si>
  <si>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</si>
  <si>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</si>
  <si>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</si>
  <si>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</si>
  <si>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</si>
  <si>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</si>
  <si>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</si>
  <si>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</si>
  <si>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</si>
  <si>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</si>
  <si>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</si>
  <si>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</si>
  <si>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</si>
  <si>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</si>
  <si>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</si>
  <si>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</si>
  <si>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</si>
  <si>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</si>
  <si>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</si>
  <si>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</si>
  <si>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</si>
  <si>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</si>
  <si>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</si>
  <si>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</si>
  <si>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</si>
  <si>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</si>
  <si>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</si>
  <si>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</si>
  <si>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</si>
  <si>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</si>
  <si>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</si>
  <si>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</si>
  <si>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</si>
  <si>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</si>
  <si>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</si>
  <si>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</si>
  <si>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</si>
  <si>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</si>
  <si>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</si>
  <si>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</si>
  <si>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</si>
  <si>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</si>
  <si>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</si>
  <si>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</si>
  <si>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</si>
  <si>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</si>
  <si>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</si>
  <si>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</si>
  <si>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</si>
  <si>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</si>
  <si>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</si>
  <si>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</si>
  <si>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</si>
  <si>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</si>
  <si>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</si>
  <si>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</si>
  <si>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</si>
  <si>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</si>
  <si>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</si>
  <si>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</si>
  <si>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</si>
  <si>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</si>
  <si>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</si>
  <si>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</si>
  <si>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</si>
  <si>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</si>
  <si>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</si>
  <si>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</si>
  <si>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</si>
  <si>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</si>
  <si>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</si>
  <si>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</si>
  <si>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</si>
  <si>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</si>
  <si>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</si>
  <si>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</si>
  <si>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</si>
  <si>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</si>
  <si>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</si>
  <si>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</si>
  <si>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</si>
  <si>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</si>
  <si>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</si>
  <si>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</si>
  <si>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</si>
  <si>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</si>
  <si>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</si>
  <si>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</si>
  <si>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</si>
  <si>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</si>
  <si>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</si>
  <si>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</si>
  <si>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</si>
  <si>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</si>
  <si>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</si>
  <si>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</si>
  <si>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</si>
  <si>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</si>
  <si>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</si>
  <si>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</si>
  <si>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</si>
  <si>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</si>
  <si>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</si>
  <si>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</si>
  <si>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</si>
  <si>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</si>
  <si>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</si>
  <si>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</si>
  <si>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</si>
  <si>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</si>
  <si>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</si>
  <si>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</si>
  <si>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</si>
  <si>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</si>
  <si>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</si>
  <si>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</si>
  <si>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</si>
  <si>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</si>
  <si>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</si>
  <si>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</si>
  <si>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</si>
  <si>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</si>
  <si>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</si>
  <si>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</si>
  <si>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</si>
  <si>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</si>
  <si>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</si>
  <si>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</si>
  <si>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</si>
  <si>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</si>
  <si>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</si>
  <si>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</si>
  <si>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</si>
  <si>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</si>
  <si>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</si>
  <si>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</si>
  <si>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</si>
  <si>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</si>
  <si>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</si>
  <si>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</si>
  <si>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</si>
  <si>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</si>
  <si>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</si>
  <si>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</si>
  <si>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</si>
  <si>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</si>
  <si>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</si>
  <si>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</si>
  <si>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</si>
  <si>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</si>
  <si>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</si>
  <si>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</si>
  <si>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</si>
  <si>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</si>
  <si>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</si>
  <si>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</si>
  <si>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</si>
  <si>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</si>
  <si>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</si>
  <si>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</si>
  <si>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</si>
  <si>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</si>
  <si>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</si>
  <si>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</si>
  <si>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</si>
  <si>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</si>
  <si>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</si>
  <si>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</si>
  <si>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</si>
  <si>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</si>
  <si>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</si>
  <si>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</si>
  <si>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</si>
  <si>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</si>
  <si>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</si>
  <si>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</si>
  <si>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</si>
  <si>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</si>
  <si>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</si>
  <si>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</si>
  <si>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</si>
  <si>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</si>
  <si>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</si>
  <si>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</si>
  <si>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</si>
  <si>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</si>
  <si>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</si>
  <si>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</si>
  <si>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</si>
  <si>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</si>
  <si>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</si>
  <si>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</si>
  <si>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</si>
  <si>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</si>
  <si>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</si>
  <si>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</si>
  <si>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</si>
  <si>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</si>
  <si>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</si>
  <si>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</si>
  <si>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</si>
  <si>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</si>
  <si>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</si>
  <si>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</si>
  <si>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</si>
  <si>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</si>
  <si>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</si>
  <si>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</si>
  <si>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</si>
  <si>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</si>
  <si>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</si>
  <si>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</si>
  <si>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</si>
  <si>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</si>
  <si>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</si>
  <si>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</si>
  <si>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</si>
  <si>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</si>
  <si>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</si>
  <si>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</si>
  <si>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</si>
  <si>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</si>
  <si>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</si>
  <si>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</si>
  <si>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</si>
  <si>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</si>
  <si>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</si>
  <si>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</si>
  <si>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</si>
  <si>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</si>
  <si>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</si>
  <si>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</si>
  <si>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</si>
  <si>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</si>
  <si>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</si>
  <si>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</si>
  <si>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</si>
  <si>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</si>
  <si>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</si>
  <si>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</si>
  <si>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</si>
  <si>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</si>
  <si>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</si>
  <si>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</si>
  <si>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</si>
  <si>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</si>
  <si>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</si>
  <si>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</si>
  <si>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</si>
  <si>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</si>
  <si>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</si>
  <si>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</si>
  <si>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</si>
  <si>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</si>
  <si>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</si>
  <si>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</si>
  <si>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</si>
  <si>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</si>
  <si>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</si>
  <si>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</si>
  <si>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</si>
  <si>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</si>
  <si>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</si>
  <si>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</si>
  <si>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</si>
  <si>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</si>
  <si>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</si>
  <si>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</si>
  <si>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</si>
  <si>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</si>
  <si>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</si>
  <si>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</si>
  <si>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</si>
  <si>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</si>
  <si>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</si>
  <si>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</si>
  <si>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</si>
  <si>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</si>
  <si>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</si>
  <si>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</si>
  <si>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</si>
  <si>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</si>
  <si>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</si>
  <si>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</si>
  <si>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</si>
  <si>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</si>
  <si>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</si>
  <si>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</si>
  <si>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</si>
  <si>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</si>
  <si>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</si>
  <si>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</si>
  <si>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</si>
  <si>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</si>
  <si>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</si>
  <si>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</si>
  <si>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</si>
  <si>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</si>
  <si>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</si>
  <si>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</si>
  <si>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</si>
  <si>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</si>
  <si>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</si>
  <si>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</si>
  <si>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</si>
  <si>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</si>
  <si>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</si>
  <si>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</si>
  <si>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</si>
  <si>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</si>
  <si>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</si>
  <si>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</si>
  <si>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</si>
  <si>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</si>
  <si>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</si>
  <si>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</si>
  <si>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</si>
  <si>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</si>
  <si>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</si>
  <si>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</si>
  <si>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</si>
  <si>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</si>
  <si>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</si>
  <si>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</si>
  <si>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</si>
  <si>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</si>
  <si>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</si>
  <si>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</si>
  <si>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</si>
  <si>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</si>
  <si>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</si>
  <si>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</si>
  <si>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</si>
  <si>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</si>
  <si>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</si>
  <si>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</si>
  <si>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</si>
  <si>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</si>
  <si>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</si>
  <si>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</si>
  <si>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</si>
  <si>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</si>
  <si>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</si>
  <si>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</si>
  <si>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</si>
  <si>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</si>
  <si>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</si>
  <si>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</si>
  <si>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</si>
  <si>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</si>
  <si>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</si>
  <si>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</si>
  <si>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</si>
  <si>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</si>
  <si>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</si>
  <si>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</si>
  <si>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</si>
  <si>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</si>
  <si>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</si>
  <si>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</si>
  <si>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</si>
  <si>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</si>
  <si>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</si>
  <si>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</si>
  <si>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</si>
  <si>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</si>
  <si>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</si>
  <si>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</si>
  <si>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</si>
  <si>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</si>
  <si>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</si>
  <si>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</si>
  <si>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</si>
  <si>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</si>
  <si>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</si>
  <si>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</si>
  <si>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</si>
  <si>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</si>
  <si>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</si>
  <si>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</si>
  <si>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</si>
  <si>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</si>
  <si>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</si>
  <si>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</si>
  <si>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</si>
  <si>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</si>
  <si>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</si>
  <si>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</si>
  <si>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</si>
  <si>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</si>
  <si>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</si>
  <si>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</si>
  <si>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</si>
  <si>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</si>
  <si>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</si>
  <si>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</si>
  <si>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</si>
  <si>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</si>
  <si>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</si>
  <si>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</si>
  <si>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</si>
  <si>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</si>
  <si>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</si>
  <si>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</si>
  <si>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</si>
  <si>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</si>
  <si>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</si>
  <si>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</si>
  <si>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</si>
  <si>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</si>
  <si>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</si>
  <si>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</si>
  <si>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</si>
  <si>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</si>
  <si>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</si>
  <si>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</si>
  <si>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</si>
  <si>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</si>
  <si>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</si>
  <si>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</si>
  <si>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</si>
  <si>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</si>
  <si>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</si>
  <si>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</si>
  <si>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</si>
  <si>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</si>
  <si>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</si>
  <si>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</si>
  <si>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</si>
  <si>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</si>
  <si>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</si>
  <si>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</si>
  <si>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</si>
  <si>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</si>
  <si>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</si>
  <si>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</si>
  <si>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</si>
  <si>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</si>
  <si>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</si>
  <si>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</si>
  <si>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</si>
  <si>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</si>
  <si>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</si>
  <si>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</si>
  <si>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</si>
  <si>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</si>
  <si>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</si>
  <si>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</si>
  <si>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</si>
  <si>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</si>
  <si>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</si>
  <si>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</si>
  <si>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</si>
  <si>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</si>
  <si>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</si>
  <si>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</si>
  <si>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</si>
  <si>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</si>
  <si>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</si>
  <si>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</si>
  <si>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</si>
  <si>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</si>
  <si>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</si>
  <si>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</si>
  <si>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</si>
  <si>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</si>
  <si>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</si>
  <si>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</si>
  <si>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</si>
  <si>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</si>
  <si>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</si>
  <si>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</si>
  <si>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</si>
  <si>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</si>
  <si>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</si>
  <si>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</si>
  <si>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</si>
  <si>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</si>
  <si>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</si>
  <si>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</si>
  <si>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</si>
  <si>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</si>
  <si>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</si>
  <si>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</si>
  <si>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</si>
  <si>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</si>
  <si>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</si>
  <si>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</si>
  <si>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</si>
  <si>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</si>
  <si>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</si>
  <si>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</si>
  <si>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</si>
  <si>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</si>
  <si>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</si>
  <si>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</si>
  <si>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</si>
  <si>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</si>
  <si>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</si>
  <si>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</si>
  <si>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</si>
  <si>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</si>
  <si>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</si>
  <si>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</si>
  <si>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</si>
  <si>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</si>
  <si>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</si>
  <si>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</si>
  <si>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</si>
  <si>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</si>
  <si>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</si>
  <si>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</si>
  <si>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</si>
  <si>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</si>
  <si>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</si>
  <si>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</si>
  <si>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</si>
  <si>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</si>
  <si>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</si>
  <si>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</si>
  <si>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</si>
  <si>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</si>
  <si>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</si>
  <si>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</si>
  <si>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</si>
  <si>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</si>
  <si>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</si>
  <si>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</si>
  <si>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</si>
  <si>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</si>
  <si>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</si>
  <si>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</si>
  <si>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</si>
  <si>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</si>
  <si>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</si>
  <si>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</si>
  <si>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</si>
  <si>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</si>
  <si>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</si>
  <si>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</si>
  <si>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</si>
  <si>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</si>
  <si>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</si>
  <si>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</si>
  <si>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</si>
  <si>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</si>
  <si>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</si>
  <si>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</si>
  <si>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</si>
  <si>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</si>
  <si>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</si>
  <si>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</si>
  <si>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</si>
  <si>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</si>
  <si>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</si>
  <si>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</si>
  <si>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</si>
  <si>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</si>
  <si>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</si>
  <si>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</si>
  <si>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</si>
  <si>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</si>
  <si>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</si>
  <si>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</si>
  <si>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</si>
  <si>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</si>
  <si>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</si>
  <si>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</si>
  <si>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</si>
  <si>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</si>
  <si>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</si>
  <si>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</si>
  <si>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</si>
  <si>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</si>
  <si>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</si>
  <si>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</si>
  <si>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</si>
  <si>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</si>
  <si>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</si>
  <si>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</si>
  <si>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</si>
  <si>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</si>
  <si>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</si>
  <si>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</si>
  <si>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</si>
  <si>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</si>
  <si>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</si>
  <si>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</si>
  <si>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</si>
  <si>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</si>
  <si>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</si>
  <si>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</si>
  <si>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</si>
  <si>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</si>
  <si>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</si>
  <si>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</si>
  <si>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</si>
  <si>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</si>
  <si>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</si>
  <si>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</si>
  <si>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</si>
  <si>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</si>
  <si>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</si>
  <si>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</si>
  <si>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</si>
  <si>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</si>
  <si>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</si>
  <si>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</si>
  <si>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</si>
  <si>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</si>
  <si>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</si>
  <si>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</si>
  <si>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</si>
  <si>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</si>
  <si>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</si>
  <si>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</si>
  <si>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</si>
  <si>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</si>
  <si>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</si>
  <si>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</si>
  <si>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</si>
  <si>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</si>
  <si>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</si>
  <si>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</si>
  <si>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</si>
  <si>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</si>
  <si>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</si>
  <si>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</si>
  <si>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</si>
  <si>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</si>
  <si>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</si>
  <si>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</si>
  <si>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</si>
  <si>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</si>
  <si>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</si>
  <si>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</si>
  <si>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</si>
  <si>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</si>
  <si>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</si>
  <si>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</si>
  <si>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</si>
  <si>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</si>
  <si>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</si>
  <si>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</si>
  <si>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</si>
  <si>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</si>
  <si>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</si>
  <si>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</si>
  <si>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</si>
  <si>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</si>
  <si>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</si>
  <si>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</si>
  <si>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</si>
  <si>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</si>
  <si>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</si>
  <si>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</si>
  <si>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</si>
  <si>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</si>
  <si>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</si>
  <si>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</si>
  <si>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</si>
  <si>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</si>
  <si>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</si>
  <si>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</si>
  <si>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</si>
  <si>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</si>
  <si>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</si>
  <si>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</si>
  <si>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</si>
  <si>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</si>
  <si>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</si>
  <si>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</si>
  <si>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</si>
  <si>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</si>
  <si>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</si>
  <si>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</si>
  <si>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</si>
  <si>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</si>
  <si>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</si>
  <si>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</si>
  <si>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</si>
  <si>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</si>
  <si>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</si>
  <si>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</si>
  <si>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</si>
  <si>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</si>
  <si>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</si>
  <si>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</si>
  <si>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</si>
  <si>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</si>
  <si>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</si>
  <si>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</si>
  <si>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</si>
  <si>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</si>
  <si>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</si>
  <si>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</si>
  <si>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</si>
  <si>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</si>
  <si>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</si>
  <si>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</si>
  <si>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</si>
  <si>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</si>
  <si>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</si>
  <si>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</si>
  <si>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</si>
  <si>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</si>
  <si>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</si>
  <si>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</si>
  <si>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</si>
  <si>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</si>
  <si>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</si>
  <si>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</si>
  <si>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</si>
  <si>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</si>
  <si>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</si>
  <si>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</si>
  <si>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</si>
  <si>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</si>
  <si>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</si>
  <si>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</si>
  <si>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</si>
  <si>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</si>
  <si>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</si>
  <si>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</si>
  <si>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</si>
  <si>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</si>
  <si>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</si>
  <si>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</si>
  <si>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</si>
  <si>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</si>
  <si>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</si>
  <si>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</si>
  <si>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</si>
  <si>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</si>
  <si>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</si>
  <si>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</si>
  <si>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</si>
  <si>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</si>
  <si>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</si>
  <si>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</si>
  <si>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</si>
  <si>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</si>
  <si>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</si>
  <si>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</si>
  <si>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</si>
  <si>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</si>
  <si>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</si>
  <si>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</si>
  <si>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</si>
  <si>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</si>
  <si>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</si>
  <si>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</si>
  <si>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</si>
  <si>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</si>
  <si>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</si>
  <si>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</si>
  <si>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</si>
  <si>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</si>
  <si>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</si>
  <si>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</si>
  <si>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</si>
  <si>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</si>
  <si>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</si>
  <si>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</si>
  <si>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</si>
  <si>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</si>
  <si>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</si>
  <si>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</si>
  <si>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</si>
  <si>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</si>
  <si>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</si>
  <si>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</si>
  <si>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</si>
  <si>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</si>
  <si>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</si>
  <si>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</si>
  <si>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</si>
  <si>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</si>
  <si>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</si>
  <si>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</si>
  <si>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</si>
  <si>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</si>
  <si>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</si>
  <si>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</si>
  <si>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</si>
  <si>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</si>
  <si>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</si>
  <si>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</si>
  <si>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</si>
  <si>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</si>
  <si>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</si>
  <si>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</si>
  <si>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</si>
  <si>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</si>
  <si>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</si>
  <si>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</si>
  <si>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</si>
  <si>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</si>
  <si>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</si>
  <si>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</si>
  <si>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</si>
  <si>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</si>
  <si>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</si>
  <si>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</si>
  <si>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</si>
  <si>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</si>
  <si>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</si>
  <si>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</si>
  <si>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</si>
  <si>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</si>
  <si>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</si>
  <si>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</si>
  <si>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</si>
  <si>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</si>
  <si>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</si>
  <si>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</si>
  <si>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</si>
  <si>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</si>
  <si>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</si>
  <si>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</si>
  <si>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</si>
  <si>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</si>
  <si>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</si>
  <si>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</si>
  <si>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</si>
  <si>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</si>
  <si>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</si>
  <si>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</si>
  <si>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</si>
  <si>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</si>
  <si>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</si>
  <si>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</si>
  <si>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</si>
  <si>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</si>
  <si>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</si>
  <si>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</si>
  <si>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</si>
  <si>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</si>
  <si>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</si>
  <si>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</si>
  <si>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</si>
  <si>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</si>
  <si>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</si>
  <si>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</si>
  <si>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</si>
  <si>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</si>
  <si>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</si>
  <si>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</si>
  <si>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</si>
  <si>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</si>
  <si>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</si>
  <si>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</si>
  <si>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</si>
  <si>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</si>
  <si>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</si>
  <si>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</si>
  <si>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</si>
  <si>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</si>
  <si>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</si>
  <si>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</si>
  <si>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</si>
  <si>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</si>
  <si>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</si>
  <si>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</si>
  <si>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</si>
  <si>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</si>
  <si>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</si>
  <si>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</si>
  <si>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</si>
  <si>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</si>
  <si>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</si>
  <si>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</si>
  <si>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</si>
  <si>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</si>
  <si>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</si>
  <si>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</si>
  <si>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</si>
  <si>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</si>
  <si>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</si>
  <si>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</si>
  <si>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</si>
  <si>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</si>
  <si>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</si>
  <si>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</si>
  <si>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</si>
  <si>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</si>
  <si>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</si>
  <si>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</si>
  <si>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</si>
  <si>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</si>
  <si>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</si>
  <si>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</si>
  <si>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</si>
  <si>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</si>
  <si>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</si>
  <si>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</si>
  <si>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</si>
  <si>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</si>
  <si>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</si>
  <si>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</si>
  <si>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</si>
  <si>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</si>
  <si>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</si>
  <si>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</si>
  <si>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</si>
  <si>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</si>
  <si>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</si>
  <si>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</si>
  <si>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</si>
  <si>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</si>
  <si>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</si>
  <si>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</si>
  <si>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</si>
  <si>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</si>
  <si>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</si>
  <si>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</si>
  <si>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</si>
  <si>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</si>
  <si>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</si>
  <si>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</si>
  <si>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</si>
  <si>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</si>
  <si>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</si>
  <si>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</si>
  <si>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</si>
  <si>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</si>
  <si>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</si>
  <si>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</si>
  <si>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</si>
  <si>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</si>
  <si>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</si>
  <si>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</si>
  <si>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</si>
  <si>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</si>
  <si>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</si>
  <si>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</si>
  <si>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</si>
  <si>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</si>
  <si>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</si>
  <si>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</si>
  <si>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</si>
  <si>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</si>
  <si>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</si>
  <si>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</si>
  <si>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</si>
  <si>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</si>
  <si>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</si>
  <si>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</si>
  <si>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</si>
  <si>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</si>
  <si>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</si>
  <si>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</si>
  <si>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</si>
  <si>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</si>
  <si>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</si>
  <si>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</si>
  <si>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</si>
  <si>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</si>
  <si>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</si>
  <si>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</si>
  <si>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</si>
  <si>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</si>
  <si>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</si>
  <si>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</si>
  <si>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</si>
  <si>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</si>
  <si>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</si>
  <si>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</si>
  <si>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</si>
  <si>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</si>
  <si>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</si>
  <si>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</si>
  <si>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</si>
  <si>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</si>
  <si>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</si>
  <si>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</si>
  <si>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</si>
  <si>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</si>
  <si>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</si>
  <si>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</si>
  <si>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</si>
  <si>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</si>
  <si>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</si>
  <si>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</si>
  <si>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</si>
  <si>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</si>
  <si>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</si>
  <si>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</si>
  <si>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</si>
  <si>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</si>
  <si>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</si>
  <si>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</si>
  <si>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</si>
  <si>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</si>
  <si>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</si>
  <si>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</si>
  <si>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</si>
  <si>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</si>
  <si>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</si>
  <si>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</si>
  <si>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</si>
  <si>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</si>
  <si>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</si>
  <si>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</si>
  <si>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</si>
  <si>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</si>
  <si>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</si>
  <si>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</si>
  <si>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</si>
  <si>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</si>
  <si>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</si>
  <si>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</si>
  <si>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</si>
  <si>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</si>
  <si>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</si>
  <si>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</si>
  <si>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</si>
  <si>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</si>
  <si>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</si>
  <si>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</si>
  <si>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</si>
  <si>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</si>
  <si>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</si>
  <si>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</si>
  <si>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</si>
  <si>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</si>
  <si>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</si>
  <si>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</si>
  <si>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</si>
  <si>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</si>
  <si>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</si>
  <si>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</si>
  <si>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</si>
  <si>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</si>
  <si>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</si>
  <si>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</si>
  <si>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</si>
  <si>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</si>
  <si>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</si>
  <si>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</si>
  <si>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</si>
  <si>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</si>
  <si>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</si>
  <si>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</si>
  <si>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</si>
  <si>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</si>
  <si>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</si>
  <si>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</si>
  <si>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</si>
  <si>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</si>
  <si>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</si>
  <si>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</si>
  <si>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</si>
  <si>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</si>
  <si>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</si>
  <si>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</si>
  <si>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</si>
  <si>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</si>
  <si>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</si>
  <si>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</si>
  <si>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</si>
  <si>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</si>
  <si>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</si>
  <si>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</si>
  <si>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</si>
  <si>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</si>
  <si>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</si>
  <si>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</si>
  <si>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</si>
  <si>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</si>
  <si>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</si>
  <si>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</si>
  <si>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</si>
  <si>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</si>
  <si>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</si>
  <si>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</si>
  <si>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</si>
  <si>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</si>
  <si>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</si>
  <si>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</si>
  <si>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</si>
  <si>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</si>
  <si>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</si>
  <si>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</si>
  <si>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</si>
  <si>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</si>
  <si>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</si>
  <si>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</si>
  <si>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</si>
  <si>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</si>
  <si>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</si>
  <si>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</si>
  <si>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</si>
  <si>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</si>
  <si>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</si>
  <si>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</si>
  <si>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</si>
  <si>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</si>
  <si>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</si>
  <si>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</si>
  <si>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</si>
  <si>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</si>
  <si>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</si>
  <si>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</si>
  <si>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</si>
  <si>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</si>
  <si>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</si>
  <si>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</si>
  <si>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</si>
  <si>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</si>
  <si>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</si>
  <si>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</si>
  <si>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</si>
  <si>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</si>
  <si>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</si>
  <si>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</si>
  <si>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</si>
  <si>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</si>
  <si>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</si>
  <si>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</si>
  <si>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</si>
  <si>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</si>
  <si>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</si>
  <si>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</si>
  <si>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</si>
  <si>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</si>
  <si>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</si>
  <si>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</si>
  <si>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</si>
  <si>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</si>
  <si>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</si>
  <si>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</si>
  <si>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</si>
  <si>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</si>
  <si>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</si>
  <si>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</si>
  <si>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</si>
  <si>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</si>
  <si>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</si>
  <si>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</si>
  <si>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</si>
  <si>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</si>
  <si>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</si>
  <si>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</si>
  <si>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</si>
  <si>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</si>
  <si>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</si>
  <si>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</si>
  <si>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</si>
  <si>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</si>
  <si>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</si>
  <si>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</si>
  <si>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</si>
  <si>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</si>
  <si>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</si>
  <si>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</si>
  <si>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</si>
  <si>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</si>
  <si>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</si>
  <si>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</si>
  <si>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</si>
  <si>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</si>
  <si>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</si>
  <si>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</si>
  <si>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</si>
  <si>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</si>
  <si>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</si>
  <si>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</si>
  <si>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</si>
  <si>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</si>
  <si>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</si>
  <si>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</si>
  <si>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</si>
  <si>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</si>
  <si>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</si>
  <si>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</si>
  <si>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</si>
  <si>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</si>
  <si>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</si>
  <si>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</si>
  <si>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</si>
  <si>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</si>
  <si>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</si>
  <si>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</si>
  <si>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</si>
  <si>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</si>
  <si>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</si>
  <si>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</si>
  <si>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</si>
  <si>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</si>
  <si>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</si>
  <si>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</si>
  <si>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</si>
  <si>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</si>
  <si>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</si>
  <si>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</si>
  <si>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</si>
  <si>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</si>
  <si>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</si>
  <si>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</si>
  <si>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</si>
  <si>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</si>
  <si>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</si>
  <si>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</si>
  <si>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</si>
  <si>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</si>
  <si>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</si>
  <si>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</si>
  <si>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</si>
  <si>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</si>
  <si>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</si>
  <si>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</si>
  <si>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</si>
  <si>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</si>
  <si>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</si>
  <si>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</si>
  <si>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</si>
  <si>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</si>
  <si>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</si>
  <si>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</si>
  <si>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</si>
  <si>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</si>
  <si>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</si>
  <si>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</si>
  <si>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</si>
  <si>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</si>
  <si>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</si>
  <si>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</si>
  <si>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</si>
  <si>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</si>
  <si>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</si>
  <si>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</si>
  <si>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</si>
  <si>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</si>
  <si>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</si>
  <si>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</si>
  <si>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</si>
  <si>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</si>
  <si>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</si>
  <si>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</si>
  <si>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</si>
  <si>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</si>
  <si>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</si>
  <si>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</si>
  <si>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</si>
  <si>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</si>
  <si>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</si>
  <si>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</si>
  <si>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</si>
  <si>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</si>
  <si>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</si>
  <si>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</si>
  <si>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</si>
  <si>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</si>
  <si>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</si>
  <si>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</si>
  <si>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</si>
  <si>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</si>
  <si>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</si>
  <si>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</si>
  <si>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</si>
  <si>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</si>
  <si>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</si>
  <si>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</si>
  <si>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</si>
  <si>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</si>
  <si>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</si>
  <si>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</si>
  <si>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</si>
  <si>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</si>
  <si>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</si>
  <si>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</si>
  <si>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</si>
  <si>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</si>
  <si>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</si>
  <si>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</si>
  <si>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</si>
  <si>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</si>
  <si>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</si>
  <si>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</si>
  <si>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</si>
  <si>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</si>
  <si>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</si>
  <si>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</si>
  <si>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</si>
  <si>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</si>
  <si>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</si>
  <si>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</si>
  <si>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</si>
  <si>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</si>
  <si>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</si>
  <si>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</si>
  <si>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</si>
  <si>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</si>
  <si>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</si>
  <si>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</si>
  <si>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</si>
  <si>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</si>
  <si>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</si>
  <si>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</si>
  <si>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</si>
  <si>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</si>
  <si>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</si>
  <si>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</si>
  <si>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</si>
  <si>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</si>
  <si>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</si>
  <si>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</si>
  <si>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</si>
  <si>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</si>
  <si>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</si>
  <si>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</si>
  <si>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</si>
  <si>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</si>
  <si>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</si>
  <si>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</si>
  <si>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</si>
  <si>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</si>
  <si>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</si>
  <si>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</si>
  <si>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</si>
  <si>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</si>
  <si>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</si>
  <si>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</si>
  <si>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</si>
  <si>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</si>
  <si>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</si>
  <si>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</si>
  <si>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</si>
  <si>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</si>
  <si>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</si>
  <si>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</si>
  <si>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</si>
  <si>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</si>
  <si>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</si>
  <si>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</si>
  <si>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</si>
  <si>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</si>
  <si>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</si>
  <si>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</si>
  <si>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</si>
  <si>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</si>
  <si>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</si>
  <si>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</si>
  <si>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</si>
  <si>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</si>
  <si>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</si>
  <si>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</si>
  <si>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</si>
  <si>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</si>
  <si>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</si>
  <si>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</si>
  <si>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</si>
  <si>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</si>
  <si>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</si>
  <si>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</si>
  <si>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</si>
  <si>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</si>
  <si>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</si>
  <si>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</si>
  <si>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</si>
  <si>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</si>
  <si>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</si>
  <si>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</si>
  <si>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</si>
  <si>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</si>
  <si>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</si>
  <si>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</si>
  <si>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</si>
  <si>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</si>
  <si>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</si>
  <si>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</si>
  <si>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</si>
  <si>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</si>
  <si>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</si>
  <si>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</si>
  <si>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</si>
  <si>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</si>
  <si>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</si>
  <si>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</si>
  <si>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</si>
  <si>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</si>
  <si>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</si>
  <si>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</si>
  <si>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</si>
  <si>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</si>
  <si>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</si>
  <si>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</si>
  <si>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</si>
  <si>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</si>
  <si>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</si>
  <si>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</si>
  <si>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</si>
  <si>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</si>
  <si>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</si>
  <si>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</si>
  <si>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</si>
  <si>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</si>
  <si>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</si>
  <si>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</si>
  <si>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</si>
  <si>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</si>
  <si>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</si>
  <si>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</si>
  <si>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</si>
  <si>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</si>
  <si>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</si>
  <si>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</si>
  <si>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</si>
  <si>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</si>
  <si>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</si>
  <si>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</si>
  <si>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</si>
  <si>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</si>
  <si>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</si>
  <si>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</si>
  <si>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</si>
  <si>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</si>
  <si>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</si>
  <si>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</si>
  <si>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</si>
  <si>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</si>
  <si>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</si>
  <si>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</si>
  <si>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</si>
  <si>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</si>
  <si>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</si>
  <si>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</si>
  <si>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</si>
  <si>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</si>
  <si>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</si>
  <si>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</si>
  <si>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</si>
  <si>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</si>
  <si>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</si>
  <si>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</si>
  <si>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</si>
  <si>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</si>
  <si>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</si>
  <si>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</si>
  <si>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</si>
  <si>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</si>
  <si>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</si>
  <si>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</si>
  <si>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</si>
  <si>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</si>
  <si>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</si>
  <si>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</si>
  <si>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</si>
  <si>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</si>
  <si>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</si>
  <si>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</si>
  <si>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</si>
  <si>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</si>
  <si>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</si>
  <si>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</si>
  <si>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</si>
  <si>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</si>
  <si>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</si>
  <si>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</si>
  <si>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</si>
  <si>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</si>
  <si>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</si>
  <si>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</si>
  <si>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</si>
  <si>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</si>
  <si>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</si>
  <si>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</si>
  <si>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</si>
  <si>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</si>
  <si>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</si>
  <si>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</si>
  <si>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</si>
  <si>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</si>
  <si>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</si>
  <si>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</si>
  <si>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</si>
  <si>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</si>
  <si>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</si>
  <si>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</si>
  <si>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</si>
  <si>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</si>
  <si>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</si>
  <si>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</si>
  <si>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</si>
  <si>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</si>
  <si>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</si>
  <si>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</si>
  <si>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</si>
  <si>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</si>
  <si>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</si>
  <si>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</si>
  <si>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</si>
  <si>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</si>
  <si>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</si>
  <si>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</si>
  <si>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</si>
  <si>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</si>
  <si>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</si>
  <si>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</si>
  <si>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</si>
  <si>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</si>
  <si>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</si>
  <si>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</si>
  <si>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</si>
  <si>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</si>
  <si>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</si>
  <si>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</si>
  <si>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</si>
  <si>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</si>
  <si>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</si>
  <si>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</si>
  <si>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</si>
  <si>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</si>
  <si>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</si>
  <si>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</si>
  <si>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</si>
  <si>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</si>
  <si>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</si>
  <si>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</si>
  <si>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</si>
  <si>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</si>
  <si>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</si>
  <si>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</si>
  <si>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</si>
  <si>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</si>
  <si>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</si>
  <si>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</si>
  <si>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</si>
  <si>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</si>
  <si>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</si>
  <si>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</si>
  <si>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</si>
  <si>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</si>
  <si>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</si>
  <si>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</si>
  <si>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</si>
  <si>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</si>
  <si>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</si>
  <si>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</si>
  <si>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</si>
  <si>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</si>
  <si>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</si>
  <si>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</si>
  <si>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</si>
  <si>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</si>
  <si>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</si>
  <si>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</si>
  <si>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</si>
  <si>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</si>
  <si>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</si>
  <si>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</si>
  <si>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</si>
  <si>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</si>
  <si>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</si>
  <si>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</si>
  <si>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</si>
  <si>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</si>
  <si>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</si>
  <si>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</si>
  <si>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</si>
  <si>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</si>
  <si>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</si>
  <si>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</si>
  <si>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</si>
  <si>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</si>
  <si>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</si>
  <si>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</si>
  <si>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</si>
  <si>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</si>
  <si>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</si>
  <si>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</si>
  <si>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</si>
  <si>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</si>
  <si>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</si>
  <si>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</si>
  <si>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</si>
  <si>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</si>
  <si>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</si>
  <si>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</si>
  <si>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</si>
  <si>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</si>
  <si>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</si>
  <si>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</si>
  <si>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</si>
  <si>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</si>
  <si>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</si>
  <si>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</si>
  <si>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</si>
  <si>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</si>
  <si>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</si>
  <si>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</si>
  <si>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</si>
  <si>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</si>
  <si>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</si>
  <si>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</si>
  <si>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</si>
  <si>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</si>
  <si>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</si>
  <si>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</si>
  <si>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</si>
  <si>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</si>
  <si>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</si>
  <si>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</si>
  <si>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</si>
  <si>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</si>
  <si>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</si>
  <si>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</si>
  <si>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</si>
  <si>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</si>
  <si>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</si>
  <si>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</si>
  <si>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</si>
  <si>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</si>
  <si>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</si>
  <si>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</si>
  <si>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</si>
  <si>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</si>
  <si>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</si>
  <si>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</si>
  <si>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</si>
  <si>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</si>
  <si>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</si>
  <si>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</si>
  <si>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</si>
  <si>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</si>
  <si>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</si>
  <si>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</si>
  <si>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</si>
  <si>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</si>
  <si>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</si>
  <si>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</si>
  <si>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</si>
  <si>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</si>
  <si>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</si>
  <si>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</si>
  <si>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</si>
  <si>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</si>
  <si>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</si>
  <si>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</si>
  <si>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</si>
  <si>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</si>
  <si>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</si>
  <si>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</si>
  <si>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</si>
  <si>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</si>
  <si>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</si>
  <si>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</si>
  <si>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</si>
  <si>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</si>
  <si>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</si>
  <si>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</si>
  <si>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</si>
  <si>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</si>
  <si>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</si>
  <si>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</si>
  <si>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</si>
  <si>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</si>
  <si>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</si>
  <si>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</si>
  <si>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</si>
  <si>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</si>
  <si>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</si>
  <si>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</si>
  <si>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</si>
  <si>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</si>
  <si>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</si>
  <si>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</si>
  <si>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</si>
  <si>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</si>
  <si>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</si>
  <si>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</si>
  <si>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</si>
  <si>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</si>
  <si>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</si>
  <si>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</si>
  <si>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</si>
  <si>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</si>
  <si>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</si>
  <si>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</si>
  <si>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</si>
  <si>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</si>
  <si>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</si>
  <si>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</si>
  <si>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</si>
  <si>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</si>
  <si>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</si>
  <si>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</si>
  <si>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</si>
  <si>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</si>
  <si>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</si>
  <si>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</si>
  <si>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</si>
  <si>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</si>
  <si>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</si>
  <si>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</si>
  <si>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</si>
  <si>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</si>
  <si>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</si>
  <si>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</si>
  <si>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</si>
  <si>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</si>
  <si>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</si>
  <si>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</si>
  <si>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</si>
  <si>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</si>
  <si>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</si>
  <si>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</si>
  <si>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</si>
  <si>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</si>
  <si>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</si>
  <si>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</si>
  <si>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</si>
  <si>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</si>
  <si>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</si>
  <si>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</si>
  <si>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</si>
  <si>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</si>
  <si>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</si>
  <si>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</si>
  <si>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</si>
  <si>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</si>
  <si>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</si>
  <si>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</si>
  <si>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</si>
  <si>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</si>
  <si>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</si>
  <si>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</si>
  <si>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</si>
  <si>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</si>
  <si>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</si>
  <si>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</si>
  <si>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</si>
  <si>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</si>
  <si>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</si>
  <si>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</si>
  <si>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</si>
  <si>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</si>
  <si>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</si>
  <si>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</si>
  <si>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</si>
  <si>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</si>
  <si>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</si>
  <si>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</si>
  <si>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</si>
  <si>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</si>
  <si>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</si>
  <si>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</si>
  <si>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</si>
  <si>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</si>
  <si>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</si>
  <si>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</si>
  <si>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</si>
  <si>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</si>
  <si>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</si>
  <si>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</si>
  <si>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</si>
  <si>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</si>
  <si>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</si>
  <si>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</si>
  <si>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</si>
  <si>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</si>
  <si>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</si>
  <si>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</si>
  <si>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</si>
  <si>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</si>
  <si>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</si>
  <si>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</si>
  <si>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</si>
  <si>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</si>
  <si>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</si>
  <si>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</si>
  <si>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</si>
  <si>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</si>
  <si>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</si>
  <si>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</si>
  <si>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</si>
  <si>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</si>
  <si>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</si>
  <si>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</si>
  <si>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</si>
  <si>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</si>
  <si>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</si>
  <si>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</si>
  <si>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</si>
  <si>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</si>
  <si>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</si>
  <si>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</si>
  <si>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</si>
  <si>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</si>
  <si>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</si>
  <si>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</si>
  <si>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</si>
  <si>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</si>
  <si>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</si>
  <si>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</si>
  <si>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</si>
  <si>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</si>
  <si>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</si>
  <si>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</si>
  <si>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</si>
  <si>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</si>
  <si>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</si>
  <si>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</si>
  <si>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</si>
  <si>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</si>
  <si>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</si>
  <si>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</si>
  <si>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</si>
  <si>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</si>
  <si>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</si>
  <si>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</si>
  <si>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</si>
  <si>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</si>
  <si>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</si>
  <si>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</si>
  <si>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</si>
  <si>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</si>
  <si>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</si>
  <si>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</si>
  <si>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</si>
  <si>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</si>
  <si>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</si>
  <si>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</si>
  <si>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</si>
  <si>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</si>
  <si>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</si>
  <si>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</si>
  <si>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</si>
  <si>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</si>
  <si>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</si>
  <si>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</si>
  <si>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</si>
  <si>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</si>
  <si>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</si>
  <si>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</si>
  <si>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</si>
  <si>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</si>
  <si>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</si>
  <si>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</si>
  <si>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</si>
  <si>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</si>
  <si>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</si>
  <si>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</si>
  <si>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</si>
  <si>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</si>
  <si>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</si>
  <si>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</si>
  <si>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</si>
  <si>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</si>
  <si>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</si>
  <si>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</si>
  <si>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</si>
  <si>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</si>
  <si>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</si>
  <si>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</si>
  <si>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</si>
  <si>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</si>
  <si>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</si>
  <si>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</si>
  <si>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</si>
  <si>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</si>
  <si>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</si>
  <si>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</si>
  <si>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</si>
  <si>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</si>
  <si>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</si>
  <si>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</si>
  <si>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</si>
  <si>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</si>
  <si>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</si>
  <si>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</si>
  <si>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</si>
  <si>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</si>
  <si>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</si>
  <si>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</si>
  <si>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</si>
  <si>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</si>
  <si>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</si>
  <si>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</si>
  <si>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</si>
  <si>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</si>
  <si>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</si>
  <si>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</si>
  <si>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</si>
  <si>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</si>
  <si>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</si>
  <si>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</si>
  <si>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</si>
  <si>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</si>
  <si>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</si>
  <si>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</si>
  <si>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</si>
  <si>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</si>
  <si>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</si>
  <si>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</si>
  <si>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</si>
  <si>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</si>
  <si>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</si>
  <si>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</si>
  <si>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</si>
  <si>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</si>
  <si>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</si>
  <si>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</si>
  <si>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</si>
  <si>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</si>
  <si>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</si>
  <si>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</si>
  <si>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</si>
  <si>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</si>
  <si>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</si>
  <si>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</si>
  <si>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</si>
  <si>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</si>
  <si>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</si>
  <si>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</si>
  <si>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</si>
  <si>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</si>
  <si>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</si>
  <si>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</si>
  <si>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</si>
  <si>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</si>
  <si>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</si>
  <si>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</si>
  <si>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</si>
  <si>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</si>
  <si>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</si>
  <si>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</si>
  <si>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</si>
  <si>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</si>
  <si>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</si>
  <si>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</si>
  <si>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</si>
  <si>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</si>
  <si>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</si>
  <si>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</si>
  <si>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</si>
  <si>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</si>
  <si>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</si>
  <si>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</si>
  <si>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</si>
  <si>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</si>
  <si>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</si>
  <si>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</si>
  <si>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</si>
  <si>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</si>
  <si>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</si>
  <si>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</si>
  <si>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</si>
  <si>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</si>
  <si>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</si>
  <si>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</si>
  <si>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</si>
  <si>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</si>
  <si>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</si>
  <si>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</si>
  <si>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</si>
  <si>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</si>
  <si>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</si>
  <si>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</si>
  <si>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</si>
  <si>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</si>
  <si>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</si>
  <si>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</si>
  <si>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</si>
  <si>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</si>
  <si>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</si>
  <si>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</si>
  <si>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</si>
  <si>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</si>
  <si>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</si>
  <si>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</si>
  <si>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</si>
  <si>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</si>
  <si>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</si>
  <si>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</si>
  <si>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</si>
  <si>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</si>
  <si>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</si>
  <si>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</si>
  <si>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</si>
  <si>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</si>
  <si>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</si>
  <si>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</si>
  <si>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</si>
  <si>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</si>
  <si>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</si>
  <si>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</si>
  <si>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</si>
  <si>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</si>
  <si>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</si>
  <si>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</si>
  <si>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</si>
  <si>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</si>
  <si>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</si>
  <si>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</si>
  <si>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</si>
  <si>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</si>
  <si>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</si>
  <si>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</si>
  <si>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</si>
  <si>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</si>
  <si>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</si>
  <si>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</si>
  <si>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</si>
  <si>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</si>
  <si>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</si>
  <si>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</si>
  <si>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</si>
  <si>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</si>
  <si>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</si>
  <si>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</si>
  <si>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</si>
  <si>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</si>
  <si>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</si>
  <si>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</si>
  <si>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</si>
  <si>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</si>
  <si>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</si>
  <si>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</si>
  <si>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</si>
  <si>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</si>
  <si>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</si>
  <si>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</si>
  <si>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</si>
  <si>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</si>
  <si>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</si>
  <si>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</si>
  <si>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</si>
  <si>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</si>
  <si>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</si>
  <si>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</si>
  <si>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</si>
  <si>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</si>
  <si>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</si>
  <si>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</si>
  <si>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</si>
  <si>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</si>
  <si>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</si>
  <si>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</si>
  <si>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</si>
  <si>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</si>
  <si>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</si>
  <si>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</si>
  <si>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</si>
  <si>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</si>
  <si>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</si>
  <si>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</si>
  <si>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</si>
  <si>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</si>
  <si>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</si>
  <si>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</si>
  <si>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</si>
  <si>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</si>
  <si>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</si>
  <si>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</si>
  <si>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</si>
  <si>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</si>
  <si>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</si>
  <si>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</si>
  <si>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</si>
  <si>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</si>
  <si>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</si>
  <si>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</si>
  <si>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</si>
  <si>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</si>
  <si>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</si>
  <si>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</si>
  <si>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</si>
  <si>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</si>
  <si>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</si>
  <si>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</si>
  <si>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</si>
  <si>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</si>
  <si>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</si>
  <si>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</si>
  <si>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</si>
  <si>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</si>
  <si>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</si>
  <si>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</si>
  <si>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</si>
  <si>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</si>
  <si>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</si>
  <si>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</si>
  <si>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</si>
  <si>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</si>
  <si>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</si>
  <si>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</si>
  <si>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</si>
  <si>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</si>
  <si>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</si>
  <si>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</si>
  <si>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</si>
  <si>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</si>
  <si>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</si>
  <si>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</si>
  <si>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</si>
  <si>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</si>
  <si>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</si>
  <si>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</si>
  <si>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</si>
  <si>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</si>
  <si>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</si>
  <si>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</si>
  <si>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</si>
  <si>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</si>
  <si>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</si>
  <si>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</si>
  <si>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</si>
  <si>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</si>
  <si>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</si>
  <si>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</si>
  <si>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</si>
  <si>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</si>
  <si>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</si>
  <si>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</si>
  <si>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</si>
  <si>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</si>
  <si>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</si>
  <si>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</si>
  <si>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</si>
  <si>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</si>
  <si>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</si>
  <si>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</si>
  <si>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</si>
  <si>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</si>
  <si>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</si>
  <si>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</si>
  <si>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</si>
  <si>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</si>
  <si>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</si>
  <si>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</si>
  <si>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</si>
  <si>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</si>
  <si>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</si>
  <si>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</si>
  <si>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</si>
  <si>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</si>
  <si>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</si>
  <si>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</si>
  <si>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</si>
  <si>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</si>
  <si>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</si>
  <si>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</si>
  <si>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</si>
  <si>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</si>
  <si>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</si>
  <si>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</si>
  <si>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</si>
  <si>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</si>
  <si>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</si>
  <si>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</si>
  <si>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</si>
  <si>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</si>
  <si>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</si>
  <si>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</si>
  <si>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</si>
  <si>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</si>
  <si>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</si>
  <si>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</si>
  <si>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</si>
  <si>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</si>
  <si>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</si>
  <si>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</si>
  <si>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</si>
  <si>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</si>
  <si>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</si>
  <si>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</si>
  <si>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</si>
  <si>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</si>
  <si>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</si>
  <si>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</si>
  <si>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</si>
  <si>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</si>
  <si>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</si>
  <si>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</si>
  <si>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</si>
  <si>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</si>
  <si>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</si>
  <si>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</si>
  <si>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</si>
  <si>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</si>
  <si>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</si>
  <si>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</si>
  <si>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</si>
  <si>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</si>
  <si>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</si>
  <si>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</si>
  <si>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</si>
  <si>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</si>
  <si>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</si>
  <si>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</si>
  <si>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</si>
  <si>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</si>
  <si>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</si>
  <si>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</si>
  <si>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</si>
  <si>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</si>
  <si>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</si>
  <si>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</si>
  <si>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</si>
  <si>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</si>
  <si>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</si>
  <si>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</si>
  <si>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</si>
  <si>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</si>
  <si>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</si>
  <si>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</si>
  <si>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</si>
  <si>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</si>
  <si>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</si>
  <si>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</si>
  <si>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</si>
  <si>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</si>
  <si>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</si>
  <si>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</si>
  <si>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</si>
  <si>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</si>
  <si>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</si>
  <si>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</si>
  <si>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</si>
  <si>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</si>
  <si>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</si>
  <si>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</si>
  <si>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</si>
  <si>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</si>
  <si>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</si>
  <si>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</si>
  <si>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</si>
  <si>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</si>
  <si>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</si>
  <si>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</si>
  <si>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</si>
  <si>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</si>
  <si>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</si>
  <si>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</si>
  <si>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</si>
  <si>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</si>
  <si>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</si>
  <si>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</si>
  <si>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</si>
  <si>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</si>
  <si>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</si>
  <si>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</si>
  <si>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</si>
  <si>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</si>
  <si>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</si>
  <si>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</si>
  <si>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</si>
  <si>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</si>
  <si>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</si>
  <si>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</si>
  <si>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</si>
  <si>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</si>
  <si>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</si>
  <si>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</si>
  <si>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</si>
  <si>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</si>
  <si>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</si>
  <si>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</si>
  <si>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</si>
  <si>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</si>
  <si>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</si>
  <si>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</si>
  <si>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</si>
  <si>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</si>
  <si>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</si>
  <si>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</si>
  <si>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</si>
  <si>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</si>
  <si>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</si>
  <si>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</si>
  <si>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</si>
  <si>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</si>
  <si>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</si>
  <si>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</si>
  <si>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</si>
  <si>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</si>
  <si>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</si>
  <si>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</si>
  <si>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</si>
  <si>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</si>
  <si>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</si>
  <si>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</si>
  <si>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</si>
  <si>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</si>
  <si>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</si>
  <si>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</si>
  <si>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</si>
  <si>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</si>
  <si>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</si>
  <si>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</si>
  <si>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</si>
  <si>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</si>
  <si>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</si>
  <si>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</si>
  <si>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</si>
  <si>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</si>
  <si>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</si>
  <si>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</si>
  <si>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</si>
  <si>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</si>
  <si>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</si>
  <si>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</si>
  <si>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</si>
  <si>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</si>
  <si>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</si>
  <si>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</si>
  <si>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</si>
  <si>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</si>
  <si>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</si>
  <si>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</si>
  <si>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</si>
  <si>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</si>
  <si>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</si>
  <si>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</si>
  <si>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</si>
  <si>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</si>
  <si>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</si>
  <si>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</si>
  <si>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</si>
  <si>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</si>
  <si>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</si>
  <si>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</si>
  <si>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</si>
  <si>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</si>
  <si>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</si>
  <si>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</si>
  <si>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</si>
  <si>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</si>
  <si>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</si>
  <si>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</si>
  <si>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</si>
  <si>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</si>
  <si>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</si>
  <si>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</si>
  <si>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</si>
  <si>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</si>
  <si>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</si>
  <si>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</si>
  <si>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</si>
  <si>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</si>
  <si>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</si>
  <si>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</si>
  <si>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</si>
  <si>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</si>
  <si>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</si>
  <si>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</si>
  <si>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</si>
  <si>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</si>
  <si>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</si>
  <si>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</si>
  <si>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</si>
  <si>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</si>
  <si>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</si>
  <si>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</si>
  <si>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</si>
  <si>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</si>
  <si>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</si>
  <si>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</si>
  <si>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</si>
  <si>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</si>
  <si>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</si>
  <si>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</si>
  <si>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</si>
  <si>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</si>
  <si>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</si>
  <si>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</si>
  <si>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</si>
  <si>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</si>
  <si>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</si>
  <si>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</si>
  <si>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</si>
  <si>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</si>
  <si>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</si>
  <si>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</si>
  <si>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</si>
  <si>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</si>
  <si>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</si>
  <si>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</si>
  <si>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</si>
  <si>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</si>
  <si>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</si>
  <si>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</si>
  <si>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</si>
  <si>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</si>
  <si>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</si>
  <si>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</si>
  <si>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</si>
  <si>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</si>
  <si>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</si>
  <si>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</si>
  <si>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</si>
  <si>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</si>
  <si>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</si>
  <si>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</si>
  <si>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</si>
  <si>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</si>
  <si>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</si>
  <si>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</si>
  <si>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</si>
  <si>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</si>
  <si>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</si>
  <si>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</si>
  <si>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</si>
  <si>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</si>
  <si>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</si>
  <si>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</si>
  <si>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</si>
  <si>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</si>
  <si>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</si>
  <si>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</si>
  <si>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</si>
  <si>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</si>
  <si>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</si>
  <si>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</si>
  <si>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</si>
  <si>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</si>
  <si>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</si>
  <si>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</si>
  <si>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</si>
  <si>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</si>
  <si>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</si>
  <si>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</si>
  <si>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</si>
  <si>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</si>
  <si>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</si>
  <si>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</si>
  <si>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</si>
  <si>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</si>
  <si>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</si>
  <si>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</si>
  <si>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</si>
  <si>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</si>
  <si>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</si>
  <si>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</si>
  <si>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</si>
  <si>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</si>
  <si>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</si>
  <si>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</si>
  <si>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</si>
  <si>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</si>
  <si>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</si>
  <si>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</si>
  <si>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</si>
  <si>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</si>
  <si>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</si>
  <si>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</si>
  <si>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</si>
  <si>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</si>
  <si>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</si>
  <si>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</si>
  <si>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</si>
  <si>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</si>
  <si>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</si>
  <si>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</si>
  <si>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</si>
  <si>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</si>
  <si>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</si>
  <si>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</si>
  <si>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</si>
  <si>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</si>
  <si>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</si>
  <si>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</si>
  <si>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</si>
  <si>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</si>
  <si>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</si>
  <si>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</si>
  <si>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</si>
  <si>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</si>
  <si>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</si>
  <si>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</si>
  <si>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</si>
  <si>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</si>
  <si>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</si>
  <si>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</si>
  <si>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</si>
  <si>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</si>
  <si>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</si>
  <si>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</si>
  <si>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</si>
  <si>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</si>
  <si>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</si>
  <si>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</si>
  <si>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</si>
  <si>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</si>
  <si>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</si>
  <si>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</si>
  <si>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</si>
  <si>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</si>
  <si>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</si>
  <si>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</si>
  <si>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</si>
  <si>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</si>
  <si>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</si>
  <si>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</si>
  <si>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</si>
  <si>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</si>
  <si>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</si>
  <si>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</si>
  <si>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</si>
  <si>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</si>
  <si>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</si>
  <si>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</si>
  <si>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</si>
  <si>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</si>
  <si>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</si>
  <si>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</si>
  <si>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</si>
  <si>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</si>
  <si>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</si>
  <si>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</si>
  <si>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</si>
  <si>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</si>
  <si>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</si>
  <si>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</si>
  <si>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</si>
  <si>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</si>
  <si>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</si>
  <si>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</si>
  <si>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</si>
  <si>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</si>
  <si>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</si>
  <si>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</si>
  <si>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</si>
  <si>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</si>
  <si>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</si>
  <si>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</si>
  <si>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</si>
  <si>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</si>
  <si>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</si>
  <si>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</si>
  <si>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</si>
  <si>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</si>
  <si>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</si>
  <si>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</si>
  <si>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</si>
  <si>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</si>
  <si>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</si>
  <si>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</si>
  <si>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</si>
  <si>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</si>
  <si>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</si>
  <si>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</si>
  <si>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</si>
  <si>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</si>
  <si>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</si>
  <si>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</si>
  <si>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</si>
  <si>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</si>
  <si>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</si>
  <si>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</si>
  <si>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</si>
  <si>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</si>
  <si>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</si>
  <si>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</si>
  <si>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</si>
  <si>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</si>
  <si>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</si>
  <si>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</si>
  <si>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</si>
  <si>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</si>
  <si>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</si>
  <si>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</si>
  <si>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</si>
  <si>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</si>
  <si>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</si>
  <si>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</si>
  <si>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</si>
  <si>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</si>
  <si>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</si>
  <si>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</si>
  <si>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</si>
  <si>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</si>
  <si>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</si>
  <si>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</si>
  <si>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</si>
  <si>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</si>
  <si>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</si>
  <si>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</si>
  <si>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</si>
  <si>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</si>
  <si>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</si>
  <si>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</si>
  <si>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</si>
  <si>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</si>
  <si>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</si>
  <si>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</si>
  <si>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</si>
  <si>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</si>
  <si>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</si>
  <si>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</si>
  <si>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</si>
  <si>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</si>
  <si>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</si>
  <si>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</si>
  <si>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</si>
  <si>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</si>
  <si>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</si>
  <si>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</si>
  <si>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</si>
  <si>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</si>
  <si>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</si>
  <si>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</si>
  <si>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</si>
  <si>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</si>
  <si>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</si>
  <si>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</si>
  <si>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</si>
  <si>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</si>
  <si>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</si>
  <si>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</si>
  <si>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</si>
  <si>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</si>
  <si>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</si>
  <si>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</si>
  <si>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</si>
  <si>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</si>
  <si>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</si>
  <si>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</si>
  <si>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</si>
  <si>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</si>
  <si>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</si>
  <si>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</si>
  <si>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</si>
  <si>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</si>
  <si>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</si>
  <si>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</si>
  <si>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</si>
  <si>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</si>
  <si>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</si>
  <si>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</si>
  <si>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</si>
  <si>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</si>
  <si>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</si>
  <si>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</si>
  <si>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</si>
  <si>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</si>
  <si>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</si>
  <si>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</si>
  <si>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</si>
  <si>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</si>
  <si>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</si>
  <si>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</si>
  <si>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</si>
  <si>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</si>
  <si>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</si>
  <si>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</si>
  <si>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</si>
  <si>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</si>
  <si>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</si>
  <si>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</si>
  <si>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</si>
  <si>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</si>
  <si>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</si>
  <si>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</si>
  <si>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</si>
  <si>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</si>
  <si>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</si>
  <si>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</si>
  <si>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</si>
  <si>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</si>
  <si>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</si>
  <si>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</si>
  <si>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</si>
  <si>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</si>
  <si>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</si>
  <si>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</si>
  <si>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</si>
  <si>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</si>
  <si>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</si>
  <si>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</si>
  <si>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</si>
  <si>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</si>
  <si>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</si>
  <si>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</si>
  <si>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</si>
  <si>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</si>
  <si>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</si>
  <si>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</si>
  <si>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</si>
  <si>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</si>
  <si>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</si>
  <si>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</si>
  <si>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</si>
  <si>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</si>
  <si>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</si>
  <si>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</si>
  <si>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</si>
  <si>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</si>
  <si>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</si>
  <si>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</si>
  <si>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</si>
  <si>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</si>
  <si>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</si>
  <si>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</si>
  <si>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</si>
  <si>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</si>
  <si>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</si>
  <si>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</si>
  <si>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</si>
  <si>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</si>
  <si>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</si>
  <si>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</si>
  <si>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</si>
  <si>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</si>
  <si>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</si>
  <si>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</si>
  <si>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</si>
  <si>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</si>
  <si>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</si>
  <si>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</si>
  <si>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</si>
  <si>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</si>
  <si>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</si>
  <si>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</si>
  <si>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</si>
  <si>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</si>
  <si>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</si>
  <si>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</si>
  <si>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</si>
  <si>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</si>
  <si>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</si>
  <si>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</si>
  <si>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</si>
  <si>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</si>
  <si>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</si>
  <si>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</si>
  <si>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</si>
  <si>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</si>
  <si>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</si>
  <si>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</si>
  <si>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</si>
  <si>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</si>
  <si>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</si>
  <si>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</si>
  <si>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</si>
  <si>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</si>
  <si>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</si>
  <si>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</si>
  <si>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</si>
  <si>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</si>
  <si>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</si>
  <si>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</si>
  <si>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</si>
  <si>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</si>
  <si>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</si>
  <si>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</si>
  <si>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</si>
  <si>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</si>
  <si>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</si>
  <si>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</si>
  <si>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</si>
  <si>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</si>
  <si>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</si>
  <si>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</si>
  <si>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</si>
  <si>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</si>
  <si>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</si>
  <si>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</si>
  <si>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</si>
  <si>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</si>
  <si>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</si>
  <si>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</si>
  <si>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</si>
  <si>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</si>
  <si>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</si>
  <si>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</si>
  <si>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</si>
  <si>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</si>
  <si>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</si>
  <si>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</si>
  <si>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</si>
  <si>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</si>
  <si>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</si>
  <si>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</si>
  <si>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</si>
  <si>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</si>
  <si>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</si>
  <si>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</si>
  <si>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</si>
  <si>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</si>
  <si>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</si>
  <si>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</si>
  <si>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</si>
  <si>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</si>
  <si>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</si>
  <si>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</si>
  <si>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</si>
  <si>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</si>
  <si>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</si>
  <si>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</si>
  <si>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</si>
  <si>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</si>
  <si>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</si>
  <si>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</si>
  <si>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</si>
  <si>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</si>
  <si>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</si>
  <si>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</si>
  <si>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</si>
  <si>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</si>
  <si>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</si>
  <si>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</si>
  <si>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</si>
  <si>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</si>
  <si>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</si>
  <si>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</si>
  <si>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</si>
  <si>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</si>
  <si>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</si>
  <si>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</si>
  <si>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</si>
  <si>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</si>
  <si>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</si>
  <si>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</si>
  <si>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</si>
  <si>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</si>
  <si>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</si>
  <si>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</si>
  <si>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</si>
  <si>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</si>
  <si>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</si>
  <si>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</si>
  <si>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</si>
  <si>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</si>
  <si>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</si>
  <si>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</si>
  <si>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</si>
  <si>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</si>
  <si>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</si>
  <si>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</si>
  <si>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</si>
  <si>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</si>
  <si>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</si>
  <si>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</si>
  <si>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</si>
  <si>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</si>
  <si>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</si>
  <si>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</si>
  <si>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</si>
  <si>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</si>
  <si>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</si>
  <si>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</si>
  <si>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</si>
  <si>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</si>
  <si>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</si>
  <si>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</si>
  <si>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</si>
  <si>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</si>
  <si>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</si>
  <si>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</si>
  <si>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</si>
  <si>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</si>
  <si>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</si>
  <si>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</si>
  <si>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</si>
  <si>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</si>
  <si>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</si>
  <si>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</si>
  <si>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</si>
  <si>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</si>
  <si>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</si>
  <si>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</si>
  <si>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</si>
  <si>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</si>
  <si>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</si>
  <si>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</si>
  <si>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</si>
  <si>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</si>
  <si>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</si>
  <si>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</si>
  <si>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</si>
  <si>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</si>
  <si>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</si>
  <si>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</si>
  <si>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</si>
  <si>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</si>
  <si>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</si>
  <si>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</si>
  <si>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</si>
  <si>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</si>
  <si>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</si>
  <si>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</si>
  <si>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</si>
  <si>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</si>
  <si>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</si>
  <si>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</si>
  <si>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</si>
  <si>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</si>
  <si>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</si>
  <si>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</si>
  <si>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</si>
  <si>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</si>
  <si>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</si>
  <si>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</si>
  <si>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</si>
  <si>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</si>
  <si>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</si>
  <si>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</si>
  <si>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</si>
  <si>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</si>
  <si>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</si>
  <si>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</si>
  <si>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</si>
  <si>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</si>
  <si>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</si>
  <si>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</si>
  <si>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</si>
  <si>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</si>
  <si>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</si>
  <si>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</si>
  <si>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</si>
  <si>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</si>
  <si>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</si>
  <si>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</si>
  <si>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</si>
  <si>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</si>
  <si>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</si>
  <si>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</si>
  <si>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</si>
  <si>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</si>
  <si>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</si>
  <si>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</si>
  <si>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</si>
  <si>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</si>
  <si>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</si>
  <si>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</si>
  <si>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</si>
  <si>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</si>
  <si>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</si>
  <si>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</si>
  <si>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</si>
  <si>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</si>
  <si>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</si>
  <si>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</si>
  <si>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</si>
  <si>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</si>
  <si>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</si>
  <si>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</si>
  <si>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</si>
  <si>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</si>
  <si>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</si>
  <si>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</si>
  <si>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</si>
  <si>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</si>
  <si>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</si>
  <si>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</si>
  <si>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</si>
  <si>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</si>
  <si>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</si>
  <si>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</si>
  <si>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</si>
  <si>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</si>
  <si>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</si>
  <si>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</si>
  <si>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</si>
  <si>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</si>
  <si>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</si>
  <si>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</si>
  <si>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</si>
  <si>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</si>
  <si>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</si>
  <si>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</si>
  <si>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</si>
  <si>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</si>
  <si>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</si>
  <si>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</si>
  <si>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</si>
  <si>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</si>
  <si>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</si>
  <si>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</si>
  <si>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</si>
  <si>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</si>
  <si>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</si>
  <si>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</si>
  <si>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</si>
  <si>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</si>
  <si>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</si>
  <si>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</si>
  <si>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</si>
  <si>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</si>
  <si>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</si>
  <si>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</si>
  <si>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</si>
  <si>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</si>
  <si>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</si>
  <si>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</si>
  <si>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</si>
  <si>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</si>
  <si>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</si>
  <si>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</si>
  <si>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</si>
  <si>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</si>
  <si>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</si>
  <si>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</si>
  <si>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</si>
  <si>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</si>
  <si>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</si>
  <si>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</si>
  <si>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</si>
  <si>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</si>
  <si>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</si>
  <si>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</si>
  <si>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</si>
  <si>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</si>
  <si>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</si>
  <si>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</si>
  <si>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</si>
  <si>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</si>
  <si>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</si>
  <si>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</si>
  <si>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</si>
  <si>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</si>
  <si>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</si>
  <si>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</si>
  <si>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</si>
  <si>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</si>
  <si>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</si>
  <si>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</si>
  <si>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</si>
  <si>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</si>
  <si>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</si>
  <si>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</si>
  <si>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</si>
  <si>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</si>
  <si>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</si>
  <si>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</si>
  <si>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</si>
  <si>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</si>
  <si>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</si>
  <si>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</si>
  <si>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</si>
  <si>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</si>
  <si>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</si>
  <si>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</si>
  <si>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</si>
  <si>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</si>
  <si>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</si>
  <si>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</si>
  <si>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</si>
  <si>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</si>
  <si>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</si>
  <si>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</si>
  <si>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</si>
  <si>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</si>
  <si>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</si>
  <si>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</si>
  <si>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</si>
  <si>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</si>
  <si>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</si>
  <si>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</si>
  <si>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</si>
  <si>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</si>
  <si>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</si>
  <si>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</si>
  <si>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</si>
  <si>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</si>
  <si>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</si>
  <si>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</si>
  <si>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</si>
  <si>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</si>
  <si>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</si>
  <si>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</si>
  <si>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</si>
  <si>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</si>
  <si>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</si>
  <si>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</si>
  <si>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</si>
  <si>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</si>
  <si>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</si>
  <si>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</si>
  <si>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</si>
  <si>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</si>
  <si>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</si>
  <si>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</si>
  <si>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</si>
  <si>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</si>
  <si>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</si>
  <si>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</si>
  <si>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</si>
  <si>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</si>
  <si>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</si>
  <si>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</si>
  <si>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</si>
  <si>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</si>
  <si>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</si>
  <si>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</si>
  <si>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</si>
  <si>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</si>
  <si>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</si>
  <si>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</si>
  <si>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</si>
  <si>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</si>
  <si>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</si>
  <si>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</si>
  <si>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</si>
  <si>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</si>
  <si>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</si>
  <si>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</si>
  <si>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</si>
  <si>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</si>
  <si>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</si>
  <si>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</si>
  <si>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</si>
  <si>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</si>
  <si>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</si>
  <si>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</si>
  <si>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</si>
  <si>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</si>
  <si>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</si>
  <si>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</si>
  <si>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</si>
  <si>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</si>
  <si>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</si>
  <si>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</si>
  <si>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</si>
  <si>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</si>
  <si>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</si>
  <si>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</si>
  <si>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</si>
  <si>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</si>
  <si>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</si>
  <si>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</si>
  <si>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</si>
  <si>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</si>
  <si>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</si>
  <si>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</si>
  <si>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</si>
  <si>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</si>
  <si>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</si>
  <si>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</si>
  <si>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</si>
  <si>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</si>
  <si>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</si>
  <si>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</si>
  <si>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</si>
  <si>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</si>
  <si>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</si>
  <si>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</si>
  <si>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</si>
  <si>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</si>
  <si>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</si>
  <si>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</si>
  <si>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</si>
  <si>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</si>
  <si>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</si>
  <si>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</si>
  <si>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</si>
  <si>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</si>
  <si>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</si>
  <si>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</si>
  <si>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</si>
  <si>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</si>
  <si>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</si>
  <si>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</si>
  <si>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</si>
  <si>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</si>
  <si>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</si>
  <si>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</si>
  <si>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</si>
  <si>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</si>
  <si>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</si>
  <si>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</si>
  <si>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</si>
  <si>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</si>
  <si>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</si>
  <si>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</si>
  <si>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</si>
  <si>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</si>
  <si>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</si>
  <si>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</si>
  <si>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</si>
  <si>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</si>
  <si>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</si>
  <si>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</si>
  <si>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</si>
  <si>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</si>
  <si>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</si>
  <si>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</si>
  <si>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</si>
  <si>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</si>
  <si>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</si>
  <si>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</si>
  <si>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</si>
  <si>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</si>
  <si>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</si>
  <si>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</si>
  <si>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</si>
  <si>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</si>
  <si>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</si>
  <si>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</si>
  <si>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</si>
  <si>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</si>
  <si>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</si>
  <si>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</si>
  <si>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</si>
  <si>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</si>
  <si>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</si>
  <si>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</si>
  <si>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</si>
  <si>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</si>
  <si>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</si>
  <si>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</si>
  <si>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</si>
  <si>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</si>
  <si>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</si>
  <si>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</si>
  <si>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</si>
  <si>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</si>
  <si>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</si>
  <si>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</si>
  <si>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</si>
  <si>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</si>
  <si>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</si>
  <si>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</si>
  <si>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</si>
  <si>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</si>
  <si>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</si>
  <si>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</si>
  <si>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</si>
  <si>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</si>
  <si>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</si>
  <si>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</si>
  <si>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</si>
  <si>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</si>
  <si>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</si>
  <si>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</si>
  <si>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</si>
  <si>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</si>
  <si>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</si>
  <si>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</si>
  <si>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</si>
  <si>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</si>
  <si>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</si>
  <si>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</si>
  <si>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</si>
  <si>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</si>
  <si>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</si>
  <si>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</si>
  <si>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</si>
  <si>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</si>
  <si>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</si>
  <si>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</si>
  <si>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</si>
  <si>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</si>
  <si>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</si>
  <si>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</si>
  <si>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</si>
  <si>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</si>
  <si>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</si>
  <si>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</si>
  <si>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</si>
  <si>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</si>
  <si>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</si>
  <si>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</si>
  <si>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</si>
  <si>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</si>
  <si>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</si>
  <si>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</si>
  <si>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</si>
  <si>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</si>
  <si>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</si>
  <si>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</si>
  <si>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</si>
  <si>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</si>
  <si>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</si>
  <si>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</si>
  <si>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</si>
  <si>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</si>
  <si>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</si>
  <si>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</si>
  <si>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</si>
  <si>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</si>
  <si>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</si>
  <si>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</si>
  <si>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</si>
  <si>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</si>
  <si>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</si>
  <si>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</si>
  <si>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</si>
  <si>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</si>
  <si>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</si>
  <si>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</si>
  <si>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</si>
  <si>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</si>
  <si>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</si>
  <si>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</si>
  <si>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</si>
  <si>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</si>
  <si>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</si>
  <si>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</si>
  <si>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</si>
  <si>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</si>
  <si>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</si>
  <si>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</si>
  <si>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</si>
  <si>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</si>
  <si>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</si>
  <si>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</si>
  <si>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</si>
  <si>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</si>
  <si>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</si>
  <si>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</si>
  <si>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</si>
  <si>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</si>
  <si>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</si>
  <si>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</si>
  <si>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</si>
  <si>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</si>
  <si>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</si>
  <si>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</si>
  <si>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</si>
  <si>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</si>
  <si>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</si>
  <si>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</si>
  <si>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</si>
  <si>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</si>
  <si>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</si>
  <si>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</si>
  <si>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</si>
  <si>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</si>
  <si>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</si>
  <si>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</si>
  <si>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</si>
  <si>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</si>
  <si>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</si>
  <si>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</si>
  <si>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</si>
  <si>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</si>
  <si>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</si>
  <si>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</si>
  <si>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</si>
  <si>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</si>
  <si>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</si>
  <si>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</si>
  <si>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</si>
  <si>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</si>
  <si>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</si>
  <si>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</si>
  <si>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</si>
  <si>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</si>
  <si>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</si>
  <si>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</si>
  <si>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</si>
  <si>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</si>
  <si>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</si>
  <si>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</si>
  <si>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</si>
  <si>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</si>
  <si>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</si>
  <si>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</si>
  <si>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</si>
  <si>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</si>
  <si>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</si>
  <si>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</si>
  <si>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</si>
  <si>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</si>
  <si>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</si>
  <si>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</si>
  <si>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</si>
  <si>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</si>
  <si>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</si>
  <si>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</si>
  <si>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</si>
  <si>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</si>
  <si>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</si>
  <si>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</si>
  <si>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</si>
  <si>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</si>
  <si>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</si>
  <si>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</si>
  <si>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</si>
  <si>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</si>
  <si>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</si>
  <si>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</si>
  <si>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</si>
  <si>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</si>
  <si>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</si>
  <si>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</si>
  <si>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</si>
  <si>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</si>
  <si>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</si>
  <si>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</si>
  <si>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</si>
  <si>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</si>
  <si>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</si>
  <si>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</si>
  <si>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</si>
  <si>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</si>
  <si>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</si>
  <si>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</si>
  <si>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</si>
  <si>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</si>
  <si>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</si>
  <si>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</si>
  <si>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</si>
  <si>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</si>
  <si>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</si>
  <si>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</si>
  <si>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</si>
  <si>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</si>
  <si>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</si>
  <si>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</si>
  <si>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</si>
  <si>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</si>
  <si>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</si>
  <si>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</si>
  <si>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</si>
  <si>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</si>
  <si>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</si>
  <si>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</si>
  <si>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</si>
  <si>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</si>
  <si>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</si>
  <si>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</si>
  <si>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</si>
  <si>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</si>
  <si>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</si>
  <si>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</si>
  <si>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</si>
  <si>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</si>
  <si>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</si>
  <si>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</si>
  <si>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</si>
  <si>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</si>
  <si>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</si>
  <si>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</si>
  <si>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</si>
  <si>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</si>
  <si>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</si>
  <si>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</si>
  <si>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</si>
  <si>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</si>
  <si>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</si>
  <si>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</si>
  <si>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</si>
  <si>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</si>
  <si>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</si>
  <si>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</si>
  <si>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</si>
  <si>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</si>
  <si>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</si>
  <si>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</si>
  <si>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</si>
  <si>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</si>
  <si>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</si>
  <si>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</si>
  <si>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</si>
  <si>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</si>
  <si>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</si>
  <si>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</si>
  <si>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</si>
  <si>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</si>
  <si>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</si>
  <si>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</si>
  <si>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</si>
  <si>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</si>
  <si>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</si>
  <si>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</si>
  <si>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</si>
  <si>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</si>
  <si>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</si>
  <si>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</si>
  <si>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</si>
  <si>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</si>
  <si>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</si>
  <si>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</si>
  <si>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</si>
  <si>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</si>
  <si>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</si>
  <si>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</si>
  <si>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</si>
  <si>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</si>
  <si>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</si>
  <si>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</si>
  <si>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</si>
  <si>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</si>
  <si>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</si>
  <si>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</si>
  <si>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</si>
  <si>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</si>
  <si>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</si>
  <si>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</si>
  <si>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</si>
  <si>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</si>
  <si>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</si>
  <si>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</si>
  <si>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</si>
  <si>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</si>
  <si>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</si>
  <si>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</si>
  <si>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</si>
  <si>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</si>
  <si>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</si>
  <si>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</si>
  <si>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</si>
  <si>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</si>
  <si>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</si>
  <si>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</si>
  <si>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</si>
  <si>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</si>
  <si>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</si>
  <si>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</si>
  <si>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</si>
  <si>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</si>
  <si>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</si>
  <si>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</si>
  <si>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</si>
  <si>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</si>
  <si>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</si>
  <si>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</si>
  <si>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</si>
  <si>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</si>
  <si>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</si>
  <si>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</si>
  <si>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</si>
  <si>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</si>
  <si>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</si>
  <si>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</si>
  <si>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</si>
  <si>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</si>
  <si>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</si>
  <si>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</si>
  <si>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</si>
  <si>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</si>
  <si>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</si>
  <si>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</si>
  <si>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</si>
  <si>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</si>
  <si>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</si>
  <si>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</si>
  <si>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</si>
  <si>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</si>
  <si>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</si>
  <si>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</si>
  <si>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</si>
  <si>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</si>
  <si>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</si>
  <si>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</si>
  <si>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</si>
  <si>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</si>
  <si>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</si>
  <si>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</si>
  <si>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</si>
  <si>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</si>
  <si>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</si>
  <si>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</si>
  <si>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</si>
  <si>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</si>
  <si>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</si>
  <si>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</si>
  <si>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</si>
  <si>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</si>
  <si>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</si>
  <si>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</si>
  <si>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</si>
  <si>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</si>
  <si>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</si>
  <si>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</si>
  <si>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</si>
  <si>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</si>
  <si>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</si>
  <si>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</si>
  <si>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</si>
  <si>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</si>
  <si>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</si>
  <si>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</si>
  <si>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</si>
  <si>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</si>
  <si>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</si>
  <si>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</si>
  <si>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</si>
  <si>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</si>
  <si>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</si>
  <si>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</si>
  <si>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</si>
  <si>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</si>
  <si>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</si>
  <si>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</si>
  <si>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</si>
  <si>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</si>
  <si>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</si>
  <si>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</si>
  <si>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</si>
  <si>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</si>
  <si>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</si>
  <si>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</si>
  <si>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</si>
  <si>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</si>
  <si>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</si>
  <si>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</si>
  <si>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</si>
  <si>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</si>
  <si>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</si>
  <si>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</si>
  <si>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</si>
  <si>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</si>
  <si>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</si>
  <si>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</si>
  <si>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</si>
  <si>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</si>
  <si>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</si>
  <si>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</si>
  <si>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</si>
  <si>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</si>
  <si>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</si>
  <si>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</si>
  <si>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</si>
  <si>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</si>
  <si>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</si>
  <si>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</si>
  <si>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</si>
  <si>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</si>
  <si>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</si>
  <si>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</si>
  <si>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</si>
  <si>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</si>
  <si>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</si>
  <si>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</si>
  <si>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</si>
  <si>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</si>
  <si>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</si>
  <si>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</si>
  <si>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</si>
  <si>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</si>
  <si>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</si>
  <si>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</si>
  <si>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</si>
  <si>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</si>
  <si>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</si>
  <si>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</si>
  <si>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</si>
  <si>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</si>
  <si>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</si>
  <si>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</si>
  <si>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</si>
  <si>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</si>
  <si>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</si>
  <si>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</si>
  <si>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</si>
  <si>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</si>
  <si>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</si>
  <si>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</si>
  <si>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</si>
  <si>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</si>
  <si>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</si>
  <si>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</si>
  <si>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</si>
  <si>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</si>
  <si>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</si>
  <si>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</si>
  <si>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</si>
  <si>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</si>
  <si>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</si>
  <si>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</si>
  <si>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</si>
  <si>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</si>
  <si>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</si>
  <si>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</si>
  <si>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</si>
  <si>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</si>
  <si>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</si>
  <si>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</si>
  <si>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</si>
  <si>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</si>
  <si>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</si>
  <si>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</si>
  <si>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</si>
  <si>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</si>
  <si>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</si>
  <si>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</si>
  <si>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</si>
  <si>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</si>
  <si>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</si>
  <si>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</si>
  <si>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</si>
  <si>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</si>
  <si>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</si>
  <si>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</si>
  <si>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</si>
  <si>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</si>
  <si>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</si>
  <si>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</si>
  <si>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</si>
  <si>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</si>
  <si>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</si>
  <si>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</si>
  <si>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</si>
  <si>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</si>
  <si>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</si>
  <si>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</si>
  <si>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</si>
  <si>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</si>
  <si>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</si>
  <si>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</si>
  <si>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</si>
  <si>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</si>
  <si>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</si>
  <si>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</si>
  <si>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</si>
  <si>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</si>
  <si>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</si>
  <si>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</si>
  <si>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</si>
  <si>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</si>
  <si>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</si>
  <si>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</si>
  <si>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</si>
  <si>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</si>
  <si>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</si>
  <si>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</si>
  <si>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</si>
  <si>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</si>
  <si>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</si>
  <si>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</si>
  <si>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</si>
  <si>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</si>
  <si>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</si>
  <si>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</si>
  <si>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</si>
  <si>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</si>
  <si>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</si>
  <si>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</si>
  <si>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</si>
  <si>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</si>
  <si>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</si>
  <si>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</si>
  <si>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</si>
  <si>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</si>
  <si>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</si>
  <si>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</si>
  <si>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</si>
  <si>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</si>
  <si>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</si>
  <si>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</si>
  <si>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</si>
  <si>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</si>
  <si>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</si>
  <si>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</si>
  <si>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</si>
  <si>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</si>
  <si>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</si>
  <si>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</si>
  <si>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</si>
  <si>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</si>
  <si>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</si>
  <si>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</si>
  <si>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</si>
  <si>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</si>
  <si>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</si>
  <si>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</si>
  <si>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</si>
  <si>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</si>
  <si>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</si>
  <si>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</si>
  <si>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</si>
  <si>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</si>
  <si>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</si>
  <si>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</si>
  <si>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</si>
  <si>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</si>
  <si>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</si>
  <si>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</si>
  <si>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</si>
  <si>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</si>
  <si>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</si>
  <si>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</si>
  <si>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</si>
  <si>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</si>
  <si>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</si>
  <si>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</si>
  <si>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</si>
  <si>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</si>
  <si>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</si>
  <si>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</si>
  <si>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</si>
  <si>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</si>
  <si>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</si>
  <si>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</si>
  <si>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</si>
  <si>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</si>
  <si>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</si>
  <si>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</si>
  <si>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</si>
  <si>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</si>
  <si>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</si>
  <si>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</si>
  <si>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</si>
  <si>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</si>
  <si>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</si>
  <si>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</si>
  <si>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</si>
  <si>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</si>
  <si>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</si>
  <si>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</si>
  <si>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</si>
  <si>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</si>
  <si>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</si>
  <si>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</si>
  <si>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</si>
  <si>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</si>
  <si>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</si>
  <si>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</si>
  <si>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</si>
  <si>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</si>
  <si>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</si>
  <si>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</si>
  <si>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</si>
  <si>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</si>
  <si>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</si>
  <si>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</si>
  <si>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</si>
  <si>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</si>
  <si>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</si>
  <si>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</si>
  <si>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</si>
  <si>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</si>
  <si>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</si>
  <si>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</si>
  <si>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</si>
  <si>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</si>
  <si>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</si>
  <si>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</si>
  <si>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</si>
  <si>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</si>
  <si>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</si>
  <si>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</si>
  <si>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</si>
  <si>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</si>
  <si>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</si>
  <si>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</si>
  <si>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</si>
  <si>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</si>
  <si>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</si>
  <si>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</si>
  <si>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</si>
  <si>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</si>
  <si>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</si>
  <si>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</si>
  <si>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</si>
  <si>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</si>
  <si>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</si>
  <si>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</si>
  <si>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</si>
  <si>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</si>
  <si>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</si>
  <si>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</si>
  <si>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</si>
  <si>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</si>
  <si>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</si>
  <si>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</si>
  <si>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</si>
  <si>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</si>
  <si>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</si>
  <si>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</si>
  <si>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</si>
  <si>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</si>
  <si>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</si>
  <si>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</si>
  <si>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</si>
  <si>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</si>
  <si>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</si>
  <si>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</si>
  <si>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</si>
  <si>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</si>
  <si>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</si>
  <si>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</si>
  <si>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</si>
  <si>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</si>
  <si>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</si>
  <si>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</si>
  <si>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</si>
  <si>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</si>
  <si>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</si>
  <si>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</si>
  <si>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</si>
  <si>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</si>
  <si>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</si>
  <si>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</si>
  <si>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</si>
  <si>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</si>
  <si>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</si>
  <si>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</si>
  <si>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</si>
  <si>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</si>
  <si>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</si>
  <si>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</si>
  <si>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</si>
  <si>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</si>
  <si>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</si>
  <si>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</si>
  <si>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</si>
  <si>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</si>
  <si>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</si>
  <si>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</si>
  <si>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</si>
  <si>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</si>
  <si>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</si>
  <si>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</si>
  <si>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</si>
  <si>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</si>
  <si>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</si>
  <si>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</si>
  <si>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</si>
  <si>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</si>
  <si>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</si>
  <si>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</si>
  <si>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</si>
  <si>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</si>
  <si>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</si>
  <si>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</si>
  <si>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</si>
  <si>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</si>
  <si>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</si>
  <si>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</si>
  <si>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</si>
  <si>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</si>
  <si>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</si>
  <si>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</si>
  <si>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</si>
  <si>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</si>
  <si>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</si>
  <si>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</si>
  <si>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</si>
  <si>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</si>
  <si>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</si>
  <si>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</si>
  <si>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</si>
  <si>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</si>
  <si>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</si>
  <si>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</si>
  <si>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</si>
  <si>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</si>
  <si>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</si>
  <si>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</si>
  <si>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</si>
  <si>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</si>
  <si>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</si>
  <si>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</si>
  <si>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</si>
  <si>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</si>
  <si>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</si>
  <si>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</si>
  <si>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</si>
  <si>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</si>
  <si>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</si>
  <si>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</si>
  <si>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</si>
  <si>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</si>
  <si>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</si>
  <si>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</si>
  <si>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</si>
  <si>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</si>
  <si>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</si>
  <si>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</si>
  <si>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</si>
  <si>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</si>
  <si>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</si>
  <si>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</si>
  <si>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</si>
  <si>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</si>
  <si>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</si>
  <si>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</si>
  <si>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</si>
  <si>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</si>
  <si>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</si>
  <si>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</si>
  <si>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</si>
  <si>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</si>
  <si>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</si>
  <si>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</si>
  <si>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</si>
  <si>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</si>
  <si>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</si>
  <si>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</si>
  <si>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</si>
  <si>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</si>
  <si>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</si>
  <si>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</si>
  <si>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</si>
  <si>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</si>
  <si>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</si>
  <si>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</si>
  <si>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</si>
  <si>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</si>
  <si>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</si>
  <si>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</si>
  <si>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</si>
  <si>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</si>
  <si>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</si>
  <si>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</si>
  <si>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</si>
  <si>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</si>
  <si>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</si>
  <si>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</si>
  <si>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</si>
  <si>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</si>
  <si>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</si>
  <si>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</si>
  <si>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</si>
  <si>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</si>
  <si>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</si>
  <si>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</si>
  <si>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</si>
  <si>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</si>
  <si>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</si>
  <si>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</si>
  <si>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</si>
  <si>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</si>
  <si>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</si>
  <si>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</si>
  <si>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</si>
  <si>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</si>
  <si>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</si>
  <si>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</si>
  <si>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</si>
  <si>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</si>
  <si>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</si>
  <si>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</si>
  <si>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</si>
  <si>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</si>
  <si>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</si>
  <si>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</si>
  <si>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</si>
  <si>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</si>
  <si>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</si>
  <si>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</si>
  <si>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</si>
  <si>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</si>
  <si>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</si>
  <si>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</si>
  <si>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</si>
  <si>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</si>
  <si>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</si>
  <si>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</si>
  <si>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</si>
  <si>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</si>
  <si>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</si>
  <si>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</si>
  <si>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</si>
  <si>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</si>
  <si>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</si>
  <si>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</si>
  <si>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</si>
  <si>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</si>
  <si>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</si>
  <si>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</si>
  <si>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</si>
  <si>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</si>
  <si>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</si>
  <si>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</si>
  <si>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</si>
  <si>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</si>
  <si>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</si>
  <si>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</si>
  <si>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</si>
  <si>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</si>
  <si>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</si>
  <si>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</si>
  <si>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</si>
  <si>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</si>
  <si>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</si>
  <si>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</si>
  <si>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</si>
  <si>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</si>
  <si>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</si>
  <si>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</si>
  <si>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</si>
  <si>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</si>
  <si>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</si>
  <si>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</si>
  <si>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</si>
  <si>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</si>
  <si>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</si>
  <si>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</si>
  <si>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</si>
  <si>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</si>
  <si>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</si>
  <si>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</si>
  <si>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</si>
  <si>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</si>
  <si>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</si>
  <si>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</si>
  <si>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</si>
  <si>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</si>
  <si>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</si>
  <si>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</si>
  <si>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</si>
  <si>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</si>
  <si>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</si>
  <si>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</si>
  <si>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</si>
  <si>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</si>
  <si>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</si>
  <si>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</si>
  <si>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</si>
  <si>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</si>
  <si>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</si>
  <si>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</si>
  <si>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</si>
  <si>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</si>
  <si>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</si>
  <si>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</si>
  <si>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</si>
  <si>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</si>
  <si>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</si>
  <si>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</si>
  <si>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</si>
  <si>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</si>
  <si>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</si>
  <si>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</si>
  <si>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</si>
  <si>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</si>
  <si>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</si>
  <si>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</si>
  <si>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</si>
  <si>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</si>
  <si>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</si>
  <si>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</si>
  <si>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</si>
  <si>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</si>
  <si>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</si>
  <si>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</si>
  <si>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</si>
  <si>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</si>
  <si>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</si>
  <si>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</si>
  <si>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</si>
  <si>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</si>
  <si>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</si>
  <si>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</si>
  <si>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</si>
  <si>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</si>
  <si>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</si>
  <si>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</si>
  <si>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</si>
  <si>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</si>
  <si>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</si>
  <si>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</si>
  <si>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</si>
  <si>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</si>
  <si>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</si>
  <si>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</si>
  <si>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</si>
  <si>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</si>
  <si>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</si>
  <si>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</si>
  <si>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</si>
  <si>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</si>
  <si>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</si>
  <si>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</si>
  <si>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</si>
  <si>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</si>
  <si>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</si>
  <si>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</si>
  <si>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</si>
  <si>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</si>
  <si>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</si>
  <si>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</si>
  <si>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</si>
  <si>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</si>
  <si>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</si>
  <si>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</si>
  <si>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</si>
  <si>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</si>
  <si>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</si>
  <si>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</si>
  <si>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</si>
  <si>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</si>
  <si>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</si>
  <si>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</si>
  <si>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</si>
  <si>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</si>
  <si>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</si>
  <si>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</si>
  <si>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</si>
  <si>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</si>
  <si>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</si>
  <si>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</si>
  <si>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</si>
  <si>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</si>
  <si>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</si>
  <si>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</si>
  <si>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</si>
  <si>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</si>
  <si>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</si>
  <si>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</si>
  <si>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</si>
  <si>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</si>
  <si>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</si>
  <si>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</si>
  <si>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</si>
  <si>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</si>
  <si>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</si>
  <si>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</si>
  <si>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</si>
  <si>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</si>
  <si>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</si>
  <si>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</si>
  <si>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</si>
  <si>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</si>
  <si>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</si>
  <si>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</si>
  <si>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</si>
  <si>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</si>
  <si>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</si>
  <si>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</si>
  <si>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</si>
  <si>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</si>
  <si>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</si>
  <si>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</si>
  <si>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</si>
  <si>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</si>
  <si>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</si>
  <si>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</si>
  <si>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</si>
  <si>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</si>
  <si>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</si>
  <si>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</si>
  <si>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</si>
  <si>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</si>
  <si>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</si>
  <si>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</si>
  <si>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</si>
  <si>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</si>
  <si>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</si>
  <si>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</si>
  <si>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</si>
  <si>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</si>
  <si>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</si>
  <si>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</si>
  <si>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</si>
  <si>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</si>
  <si>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</si>
  <si>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</si>
  <si>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</si>
  <si>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</si>
  <si>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</si>
  <si>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</si>
  <si>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</si>
  <si>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</si>
  <si>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</si>
  <si>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</si>
  <si>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</si>
  <si>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</si>
  <si>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</si>
  <si>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</si>
  <si>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</si>
  <si>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</si>
  <si>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</si>
  <si>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</si>
  <si>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</si>
  <si>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</si>
  <si>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</si>
  <si>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</si>
  <si>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</si>
  <si>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</si>
  <si>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</si>
  <si>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</si>
  <si>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</si>
  <si>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</si>
  <si>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</si>
  <si>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</si>
  <si>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</si>
  <si>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</si>
  <si>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</si>
  <si>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</si>
  <si>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</si>
  <si>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</si>
  <si>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</si>
  <si>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</si>
  <si>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</si>
  <si>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</si>
  <si>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</si>
  <si>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</si>
  <si>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</si>
  <si>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</si>
  <si>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</si>
  <si>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</si>
  <si>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</si>
  <si>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</si>
  <si>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</si>
  <si>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</si>
  <si>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</si>
  <si>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</si>
  <si>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</si>
  <si>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</si>
  <si>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</si>
  <si>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</si>
  <si>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</si>
  <si>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</si>
  <si>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</si>
  <si>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</si>
  <si>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</si>
  <si>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</si>
  <si>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</si>
  <si>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</si>
  <si>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</si>
  <si>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</si>
  <si>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</si>
  <si>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</si>
  <si>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</si>
  <si>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</si>
  <si>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</si>
  <si>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</si>
  <si>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</si>
  <si>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</si>
  <si>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</si>
  <si>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</si>
  <si>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</si>
  <si>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</si>
  <si>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</si>
  <si>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</si>
  <si>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</si>
  <si>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</si>
  <si>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</si>
  <si>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</si>
  <si>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</si>
  <si>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</si>
  <si>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</si>
  <si>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</si>
  <si>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</si>
  <si>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</si>
  <si>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</si>
  <si>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</si>
  <si>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</si>
  <si>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</si>
  <si>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</si>
  <si>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</si>
  <si>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</si>
  <si>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</si>
  <si>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</si>
  <si>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</si>
  <si>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</si>
  <si>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</si>
  <si>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</si>
  <si>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</si>
  <si>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</si>
  <si>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</si>
  <si>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</si>
  <si>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</si>
  <si>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</si>
  <si>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</si>
  <si>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</si>
  <si>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</si>
  <si>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</si>
  <si>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</si>
  <si>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</si>
  <si>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</si>
  <si>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</si>
  <si>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</si>
  <si>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</si>
  <si>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</si>
  <si>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</si>
  <si>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</si>
  <si>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</si>
  <si>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</si>
  <si>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</si>
  <si>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</si>
  <si>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</si>
  <si>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</si>
  <si>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</si>
  <si>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</si>
  <si>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</si>
  <si>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</si>
  <si>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</si>
  <si>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</si>
  <si>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</si>
  <si>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</si>
  <si>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</si>
  <si>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</si>
  <si>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</si>
  <si>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</si>
  <si>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</si>
  <si>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</si>
  <si>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</si>
  <si>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</si>
  <si>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</si>
  <si>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</si>
  <si>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</si>
  <si>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</si>
  <si>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</si>
  <si>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</si>
  <si>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</si>
  <si>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</si>
  <si>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</si>
  <si>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</si>
  <si>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</si>
  <si>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</si>
  <si>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</si>
  <si>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</si>
  <si>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</si>
  <si>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</si>
  <si>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</si>
  <si>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</si>
  <si>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</si>
  <si>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</si>
  <si>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</si>
  <si>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</si>
  <si>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</si>
  <si>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</si>
  <si>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</si>
  <si>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</si>
  <si>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</si>
  <si>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</si>
  <si>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</si>
  <si>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</si>
  <si>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</si>
  <si>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</si>
  <si>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</si>
  <si>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</si>
  <si>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</si>
  <si>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</si>
  <si>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</si>
  <si>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</si>
  <si>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</si>
  <si>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</si>
  <si>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</si>
  <si>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</si>
  <si>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</si>
  <si>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</si>
  <si>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</si>
  <si>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</si>
  <si>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</si>
  <si>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</si>
  <si>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</si>
  <si>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</si>
  <si>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</si>
  <si>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</si>
  <si>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</si>
  <si>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</si>
  <si>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</si>
  <si>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</si>
  <si>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</si>
  <si>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</si>
  <si>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</si>
  <si>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</si>
  <si>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</si>
  <si>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</si>
  <si>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</si>
  <si>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</si>
  <si>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</si>
  <si>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</si>
  <si>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</si>
  <si>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</si>
  <si>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</si>
  <si>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</si>
  <si>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</si>
  <si>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</si>
  <si>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</si>
  <si>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</si>
  <si>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</si>
  <si>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</si>
  <si>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</si>
  <si>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</si>
  <si>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</si>
  <si>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</si>
  <si>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</si>
  <si>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</si>
  <si>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</si>
  <si>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</si>
  <si>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</si>
  <si>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</si>
  <si>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</si>
  <si>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</si>
  <si>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</si>
  <si>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</si>
  <si>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</si>
  <si>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</si>
  <si>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</si>
  <si>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</si>
  <si>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</si>
  <si>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</si>
  <si>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</si>
  <si>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</si>
  <si>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</si>
  <si>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</si>
  <si>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</si>
  <si>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</si>
  <si>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</si>
  <si>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</si>
  <si>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</si>
  <si>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</si>
  <si>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</si>
  <si>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</si>
  <si>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</si>
  <si>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</si>
  <si>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</si>
  <si>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</si>
  <si>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</si>
  <si>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</si>
  <si>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</si>
  <si>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</si>
  <si>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</si>
  <si>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</si>
  <si>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</si>
  <si>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</si>
  <si>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</si>
  <si>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</si>
  <si>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</si>
  <si>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</si>
  <si>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</si>
  <si>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</si>
  <si>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</si>
  <si>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</si>
  <si>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</si>
  <si>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</si>
  <si>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</si>
  <si>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</si>
  <si>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</si>
  <si>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</si>
  <si>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</si>
  <si>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</si>
  <si>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</si>
  <si>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</si>
  <si>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</si>
  <si>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</si>
  <si>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</si>
  <si>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</si>
  <si>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</si>
  <si>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</si>
  <si>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</si>
  <si>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</si>
  <si>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</si>
  <si>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</si>
  <si>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</si>
  <si>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</si>
  <si>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</si>
  <si>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</si>
  <si>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</si>
  <si>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</si>
  <si>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</si>
  <si>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</si>
  <si>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</si>
  <si>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</si>
  <si>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</si>
  <si>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</si>
  <si>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</si>
  <si>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</si>
  <si>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</si>
  <si>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</si>
  <si>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</si>
  <si>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</si>
  <si>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</si>
  <si>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</si>
  <si>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</si>
  <si>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</si>
  <si>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</si>
  <si>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</si>
  <si>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</si>
  <si>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</si>
  <si>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</si>
  <si>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</si>
  <si>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</si>
  <si>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</si>
  <si>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</si>
  <si>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</si>
  <si>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</si>
  <si>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</si>
  <si>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</si>
  <si>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</si>
  <si>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</si>
  <si>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</si>
  <si>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</si>
  <si>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</si>
  <si>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</si>
  <si>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</si>
  <si>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</si>
  <si>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</si>
  <si>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</si>
  <si>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</si>
  <si>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</si>
  <si>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</si>
  <si>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</si>
  <si>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</si>
  <si>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</si>
  <si>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</si>
  <si>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</si>
  <si>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</si>
  <si>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</si>
  <si>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</si>
  <si>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</si>
  <si>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</si>
  <si>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</si>
  <si>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</si>
  <si>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</si>
  <si>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</si>
  <si>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</si>
  <si>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</si>
  <si>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</si>
  <si>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</si>
  <si>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</si>
  <si>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</si>
  <si>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</si>
  <si>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</si>
  <si>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</si>
  <si>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</si>
  <si>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</si>
  <si>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</si>
  <si>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</si>
  <si>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</si>
  <si>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</si>
  <si>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</si>
  <si>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</si>
  <si>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</si>
  <si>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</si>
  <si>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</si>
  <si>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</si>
  <si>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</si>
  <si>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</si>
  <si>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</si>
  <si>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</si>
  <si>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</si>
  <si>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</si>
  <si>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</si>
  <si>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</si>
  <si>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</si>
  <si>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</si>
  <si>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</si>
  <si>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</si>
  <si>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</si>
  <si>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</si>
  <si>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</si>
  <si>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</si>
  <si>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</si>
  <si>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</si>
  <si>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</si>
  <si>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</si>
  <si>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</si>
  <si>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</si>
  <si>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</si>
  <si>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</si>
  <si>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</si>
  <si>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</si>
  <si>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</si>
  <si>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</si>
  <si>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</si>
  <si>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</si>
  <si>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</si>
  <si>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</si>
  <si>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</si>
  <si>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</si>
  <si>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</si>
  <si>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</si>
  <si>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</si>
  <si>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</si>
  <si>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</si>
  <si>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</si>
  <si>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</si>
  <si>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</si>
  <si>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</si>
  <si>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</si>
  <si>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</si>
  <si>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</si>
  <si>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</si>
  <si>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</si>
  <si>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</si>
  <si>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</si>
  <si>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</si>
  <si>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</si>
  <si>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</si>
  <si>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</si>
  <si>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</si>
  <si>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</si>
  <si>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</si>
  <si>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</si>
  <si>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</si>
  <si>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</si>
  <si>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</si>
  <si>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</si>
  <si>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</si>
  <si>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</si>
  <si>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</si>
  <si>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</si>
  <si>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</si>
  <si>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</si>
  <si>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</si>
  <si>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</si>
  <si>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</si>
  <si>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</si>
  <si>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</si>
  <si>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</si>
  <si>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</si>
  <si>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</si>
  <si>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</si>
  <si>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</si>
  <si>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</si>
  <si>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</si>
  <si>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</si>
  <si>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</si>
  <si>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</si>
  <si>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</si>
  <si>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</si>
  <si>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</si>
  <si>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</si>
  <si>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</si>
  <si>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</si>
  <si>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</si>
  <si>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</si>
  <si>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</si>
  <si>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</si>
  <si>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</si>
  <si>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</si>
  <si>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</si>
  <si>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</si>
  <si>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</si>
  <si>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</si>
  <si>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</si>
  <si>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</si>
  <si>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</si>
  <si>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</si>
  <si>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</si>
  <si>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</si>
  <si>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</si>
  <si>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</si>
  <si>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</si>
  <si>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</si>
  <si>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</si>
  <si>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</si>
  <si>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</si>
  <si>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</si>
  <si>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</si>
  <si>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</si>
  <si>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</si>
  <si>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</si>
  <si>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</si>
  <si>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</si>
  <si>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</si>
  <si>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</si>
  <si>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</si>
  <si>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</si>
  <si>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</si>
  <si>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</si>
  <si>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</si>
  <si>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</si>
  <si>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</si>
  <si>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</si>
  <si>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</si>
  <si>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</si>
  <si>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</si>
  <si>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</si>
  <si>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</si>
  <si>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</si>
  <si>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</si>
  <si>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</si>
  <si>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</si>
  <si>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</si>
  <si>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</si>
  <si>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</si>
  <si>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</si>
  <si>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</si>
  <si>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</si>
  <si>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</si>
  <si>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</si>
  <si>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</si>
  <si>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</si>
  <si>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</si>
  <si>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</si>
  <si>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</si>
  <si>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</si>
  <si>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</si>
  <si>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</si>
  <si>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</si>
  <si>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</si>
  <si>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</si>
  <si>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</si>
  <si>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</si>
  <si>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</si>
  <si>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</si>
  <si>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</si>
  <si>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</si>
  <si>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</si>
  <si>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</si>
  <si>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</si>
  <si>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</si>
  <si>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</si>
  <si>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</si>
  <si>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</si>
  <si>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</si>
  <si>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</si>
  <si>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</si>
  <si>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</si>
  <si>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</si>
  <si>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</si>
  <si>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</si>
  <si>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</si>
  <si>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</si>
  <si>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</si>
  <si>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</si>
  <si>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</si>
  <si>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</si>
  <si>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</si>
  <si>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</si>
  <si>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</si>
  <si>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</si>
  <si>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</si>
  <si>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</si>
  <si>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</si>
  <si>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</si>
  <si>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</si>
  <si>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</si>
  <si>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</si>
  <si>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</si>
  <si>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</si>
  <si>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</si>
  <si>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</si>
  <si>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</si>
  <si>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</si>
  <si>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</si>
  <si>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</si>
  <si>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</si>
  <si>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</si>
  <si>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</si>
  <si>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</si>
  <si>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</si>
  <si>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</si>
  <si>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</si>
  <si>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</si>
  <si>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</si>
  <si>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</si>
  <si>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</si>
  <si>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</si>
  <si>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</si>
  <si>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</si>
  <si>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</si>
  <si>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</si>
  <si>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</si>
  <si>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</si>
  <si>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</si>
  <si>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</si>
  <si>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</si>
  <si>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</si>
  <si>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</si>
  <si>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</si>
  <si>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</si>
  <si>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</si>
  <si>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</si>
  <si>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</si>
  <si>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</si>
  <si>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</si>
  <si>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</si>
  <si>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</si>
  <si>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</si>
  <si>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</si>
  <si>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</si>
  <si>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</si>
  <si>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</si>
  <si>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</si>
  <si>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</si>
  <si>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</si>
  <si>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</si>
  <si>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</si>
  <si>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</si>
  <si>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</si>
  <si>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</si>
  <si>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</si>
  <si>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</si>
  <si>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</si>
  <si>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</si>
  <si>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</si>
  <si>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</si>
  <si>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</si>
  <si>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</si>
  <si>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</si>
  <si>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</si>
  <si>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</si>
  <si>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</si>
  <si>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</si>
  <si>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</si>
  <si>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</si>
  <si>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</si>
  <si>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</si>
  <si>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</si>
  <si>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</si>
  <si>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</si>
  <si>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</si>
  <si>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</si>
  <si>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</si>
  <si>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</si>
  <si>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</si>
  <si>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</si>
  <si>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</si>
  <si>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</si>
  <si>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</si>
  <si>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</si>
  <si>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</si>
  <si>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</si>
  <si>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</si>
  <si>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</si>
  <si>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</si>
  <si>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</si>
  <si>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</si>
  <si>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</si>
  <si>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</si>
  <si>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</si>
  <si>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</si>
  <si>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</si>
  <si>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</si>
  <si>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</si>
  <si>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</si>
  <si>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</si>
  <si>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</si>
  <si>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</si>
  <si>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</si>
  <si>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</si>
  <si>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</si>
  <si>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</si>
  <si>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</si>
  <si>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</si>
  <si>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</si>
  <si>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</si>
  <si>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</si>
  <si>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</si>
  <si>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</si>
  <si>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</si>
  <si>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</si>
  <si>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</si>
  <si>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</si>
  <si>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</si>
  <si>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</si>
  <si>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</si>
  <si>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</si>
  <si>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</si>
  <si>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</si>
  <si>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</si>
  <si>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</si>
  <si>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</si>
  <si>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</si>
  <si>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</si>
  <si>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</si>
  <si>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</si>
  <si>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</si>
  <si>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</si>
  <si>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</si>
  <si>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</si>
  <si>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</si>
  <si>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</si>
  <si>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</si>
  <si>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</si>
  <si>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</si>
  <si>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</si>
  <si>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</si>
  <si>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</si>
  <si>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</si>
  <si>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</si>
  <si>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</si>
  <si>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</si>
  <si>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</si>
  <si>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</si>
  <si>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</si>
  <si>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</si>
  <si>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</si>
  <si>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</si>
  <si>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</si>
  <si>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</si>
  <si>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</si>
  <si>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</si>
  <si>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</si>
  <si>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</si>
  <si>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</si>
  <si>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</si>
  <si>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</si>
  <si>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</si>
  <si>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</si>
  <si>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</si>
  <si>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</si>
  <si>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</si>
  <si>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</si>
  <si>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</si>
  <si>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</si>
  <si>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</si>
  <si>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</si>
  <si>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</si>
  <si>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</si>
  <si>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</si>
  <si>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</si>
  <si>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</si>
  <si>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</si>
  <si>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</si>
  <si>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</si>
  <si>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</si>
  <si>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</si>
  <si>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</si>
  <si>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</si>
  <si>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</si>
  <si>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</si>
  <si>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</si>
  <si>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</si>
  <si>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</si>
  <si>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</si>
  <si>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</si>
  <si>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</si>
  <si>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</si>
  <si>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</si>
  <si>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</si>
  <si>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</si>
  <si>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</si>
  <si>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</si>
  <si>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</si>
  <si>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</si>
  <si>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</si>
  <si>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</si>
  <si>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</si>
  <si>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</si>
  <si>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</si>
  <si>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</si>
  <si>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</si>
  <si>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</si>
  <si>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</si>
  <si>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</si>
  <si>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</si>
  <si>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</si>
  <si>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</si>
  <si>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</si>
  <si>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</si>
  <si>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</si>
  <si>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</si>
  <si>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</si>
  <si>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</si>
  <si>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</si>
  <si>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</si>
  <si>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</si>
  <si>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</si>
  <si>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</si>
  <si>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</si>
  <si>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</si>
  <si>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</si>
  <si>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</si>
  <si>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</si>
  <si>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</si>
  <si>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</si>
  <si>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</si>
  <si>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</si>
  <si>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</si>
  <si>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</si>
  <si>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</si>
  <si>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</si>
  <si>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</si>
  <si>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</si>
  <si>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</si>
  <si>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</si>
  <si>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</si>
  <si>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</si>
  <si>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</si>
  <si>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</si>
  <si>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</si>
  <si>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</si>
  <si>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</si>
  <si>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</si>
  <si>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</si>
  <si>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</si>
  <si>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</si>
  <si>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</si>
  <si>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</si>
  <si>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</si>
  <si>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</si>
  <si>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</si>
  <si>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</si>
  <si>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</si>
  <si>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</si>
  <si>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</si>
  <si>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</si>
  <si>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</si>
  <si>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</si>
  <si>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</si>
  <si>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</si>
  <si>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</si>
  <si>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</si>
  <si>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</si>
  <si>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</si>
  <si>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</si>
  <si>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</si>
  <si>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</si>
  <si>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</si>
  <si>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</si>
  <si>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</si>
  <si>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</si>
  <si>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</si>
  <si>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</si>
  <si>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</si>
  <si>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</si>
  <si>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</si>
  <si>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</si>
  <si>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</si>
  <si>
    <t>INA181A1 SOT23</t>
  </si>
  <si>
    <t>INA181A2 SOT23</t>
  </si>
  <si>
    <t>INA181A3 SOT23</t>
  </si>
  <si>
    <t>INA181A4 SOT23</t>
  </si>
  <si>
    <t>INA181A1 SC70</t>
  </si>
  <si>
    <t>INA181A2 SC70</t>
  </si>
  <si>
    <t>INA181A3 SC70</t>
  </si>
  <si>
    <t>INA181A4 SC70</t>
  </si>
  <si>
    <t>CSA_O1_P3_N4_REF5_VCC6_VEE2</t>
  </si>
  <si>
    <t>CSA_O6_P4_N5_REF1_VCC3_VEE2</t>
  </si>
  <si>
    <t>SOT2395P280X125-6-SE</t>
  </si>
  <si>
    <t>https://www.ti.com/lit/ds/symlink/ina181.pdf</t>
  </si>
  <si>
    <t>INA181A1IDBVR</t>
  </si>
  <si>
    <t>296-47656-1-ND</t>
  </si>
  <si>
    <t>INA181A1IDBVT</t>
  </si>
  <si>
    <t>296-46634-1-ND</t>
  </si>
  <si>
    <t>INA181A2IDBVR</t>
  </si>
  <si>
    <t>296-47657-1-ND</t>
  </si>
  <si>
    <t>INA181A2IDBVT</t>
  </si>
  <si>
    <t>296-46635-1-ND</t>
  </si>
  <si>
    <t>INA181A3IDBVR</t>
  </si>
  <si>
    <t>296-47658-1-ND</t>
  </si>
  <si>
    <t>INA181A3IDBVT</t>
  </si>
  <si>
    <t>296-46636-1-ND</t>
  </si>
  <si>
    <t>INA181A4IDBVR</t>
  </si>
  <si>
    <t>296-47659-1-ND</t>
  </si>
  <si>
    <t>INA181A4IDBVT</t>
  </si>
  <si>
    <t>296-46637-1-ND</t>
  </si>
  <si>
    <t>C2058943</t>
  </si>
  <si>
    <t>Manufacturer 4</t>
  </si>
  <si>
    <t>Manufacturer Part Number 4</t>
  </si>
  <si>
    <t>Supplier 4</t>
  </si>
  <si>
    <t>Supplier Part Number 4</t>
  </si>
  <si>
    <t>C2861997</t>
  </si>
  <si>
    <t>C2058784</t>
  </si>
  <si>
    <t>C116200</t>
  </si>
  <si>
    <t>C2652255</t>
  </si>
  <si>
    <t>C129285</t>
  </si>
  <si>
    <t>C2058842</t>
  </si>
  <si>
    <t>C2060053</t>
  </si>
  <si>
    <t>INA181A1IDCKR</t>
  </si>
  <si>
    <t>296-INA181A1IDCKRCT-ND</t>
  </si>
  <si>
    <t>INA181A2IDCKR</t>
  </si>
  <si>
    <t>296-INA181A2IDCKRCT-ND</t>
  </si>
  <si>
    <t>INA181A3IDCKR</t>
  </si>
  <si>
    <t>296-INA181A3IDCKRCT-ND</t>
  </si>
  <si>
    <t>INA181A4IDCKR</t>
  </si>
  <si>
    <t>296-INA181A4IDCKRTR-ND</t>
  </si>
  <si>
    <t>C22443503</t>
  </si>
  <si>
    <t>C22453196</t>
  </si>
  <si>
    <t>C32077329</t>
  </si>
  <si>
    <t>C36915106</t>
  </si>
  <si>
    <t>KT05-1A-40L-SMD</t>
  </si>
  <si>
    <t>KT12-1A-40L-SMD</t>
  </si>
  <si>
    <t>KT24-1A-40L-SMD</t>
  </si>
  <si>
    <t>KT03-1A-40L-SMD</t>
  </si>
  <si>
    <t>Standex</t>
  </si>
  <si>
    <t>KT</t>
  </si>
  <si>
    <t>STANDEX-KT-SMD</t>
  </si>
  <si>
    <t>https://standexdetect.com/wp-content/uploads/sites/2/2025/09/datasheet-reed-relay-series-kt.pdf</t>
  </si>
  <si>
    <t>Standex-Meder Electronics</t>
  </si>
  <si>
    <t>374-1356-1-ND</t>
  </si>
  <si>
    <t>374-1358-1-ND</t>
  </si>
  <si>
    <t>374-1364-1-ND</t>
  </si>
  <si>
    <t>https://cototechnology.com/library/datasheet/cotoclassic-9105-series-reed-relay-datasheet.pdf</t>
  </si>
  <si>
    <t>9105-05</t>
  </si>
  <si>
    <t>9105-12</t>
  </si>
  <si>
    <t>Standex KT series reed relay, 1000V, 1A, 100W, coil voltage 3V</t>
  </si>
  <si>
    <t>Standex KT series reed relay, 1000V, 1A, 100W, coil voltage 5V</t>
  </si>
  <si>
    <t>Standex KT series reed relay, 1000V, 1A, 100W, coil voltage 12V</t>
  </si>
  <si>
    <t>Standex KT series reed relay, 1000V, 1A, 100W, coil voltage 24V</t>
  </si>
  <si>
    <t>Coto 9105 series reed relay, 1000V, 1A, 100W, coil voltage 5V</t>
  </si>
  <si>
    <t>Coto 9105 series reed relay, 1000V, 1A, 100W, coil voltage 12V</t>
  </si>
  <si>
    <t>Coto</t>
  </si>
  <si>
    <t>COTO-9105-SMD</t>
  </si>
  <si>
    <t>Coto Technology</t>
  </si>
  <si>
    <t>9105-05-00</t>
  </si>
  <si>
    <t>306-9105-05-00-ND</t>
  </si>
  <si>
    <t>9105-05-00TR</t>
  </si>
  <si>
    <t>306-9105-05-00TRCT-ND</t>
  </si>
  <si>
    <t>9105-12-00</t>
  </si>
  <si>
    <t>306-9105-12-00-ND</t>
  </si>
  <si>
    <t>9105-12-00TR</t>
  </si>
  <si>
    <t>306-9105-12-00TR-ND</t>
  </si>
  <si>
    <t>HVR1A05-SMD</t>
  </si>
  <si>
    <t>HVR1A12-SMD</t>
  </si>
  <si>
    <t>HVR1A24-SMD</t>
  </si>
  <si>
    <t>HVR series reed relay, 1500V, 1A, 100W, coil voltage 5V</t>
  </si>
  <si>
    <t>HVR series reed relay, 1500V, 1A, 100W, coil voltage 12V</t>
  </si>
  <si>
    <t>HVR series reed relay, 1500V, 1A, 100W, coil voltage 24V</t>
  </si>
  <si>
    <t>MiRelay</t>
  </si>
  <si>
    <t>HVR</t>
  </si>
  <si>
    <t>https://www.lcsc.com/datasheet/C22388636.pdf</t>
  </si>
  <si>
    <t>https://www.lcsc.com/datasheet/C22388635.pdf</t>
  </si>
  <si>
    <t>https://www.lcsc.com/datasheet/C22388637.pdf</t>
  </si>
  <si>
    <t>C22388635</t>
  </si>
  <si>
    <t>C22388636</t>
  </si>
  <si>
    <t>C22388637</t>
  </si>
  <si>
    <t>10U/1210/100V/X7R</t>
  </si>
  <si>
    <t>CAP SM 1210 10uF 100V X7R</t>
  </si>
  <si>
    <t>https://product.tdk.com/system/files/dam/doc/product/capacitor/ceramic/mlcc/catalog/mlcc_commercial_midvoltage_en.pdf</t>
  </si>
  <si>
    <t>C3225X7R2A106K250AC</t>
  </si>
  <si>
    <t>445-C3225X7R2A106K250ACCT-ND</t>
  </si>
  <si>
    <t>4U7/0805/100V/X5R</t>
  </si>
  <si>
    <t>CAP SM 0805 4.7uF 100V X5R</t>
  </si>
  <si>
    <t>C2012X5R2A475K125AC</t>
  </si>
  <si>
    <t>445-C2012X5R2A475K125ACCT-ND</t>
  </si>
  <si>
    <t>10U/0603/35V/X5R</t>
  </si>
  <si>
    <t>CAP SM 0603 10uF 35V X5R</t>
  </si>
  <si>
    <t>https://calchip.com/wp-content/uploads/2025/05/GMC-Series-3.pdf</t>
  </si>
  <si>
    <t>GMC10X5R106M35NT</t>
  </si>
  <si>
    <t>4713-GMC10X5R106M35NTCT-ND</t>
  </si>
  <si>
    <t>UMK105CBJ105MV-F</t>
  </si>
  <si>
    <t>587-6278-1-ND</t>
  </si>
  <si>
    <t>https://mm.digikey.com/Volume0/opasdata/d220001/medias/docus/2589/Multilayer%20Ceramic%20Capacitors.pdf</t>
  </si>
  <si>
    <t>1U/0402/50V/X5R</t>
  </si>
  <si>
    <t>CAP SM 0402 1uF 50V X5R</t>
  </si>
  <si>
    <t>4.7U/0805/100V/X5R</t>
  </si>
  <si>
    <t>22U/0603/16V/X5R</t>
  </si>
  <si>
    <t>CAP SM 0603 22uF 16V X5R</t>
  </si>
  <si>
    <t>GMC10X5R226M16NT</t>
  </si>
  <si>
    <t>4713-GMC10X5R226M16NTCT-ND</t>
  </si>
  <si>
    <t>311-1417-1-ND</t>
  </si>
  <si>
    <t>CC0402JRNPO9BN200</t>
  </si>
  <si>
    <t>https://yageogroup.com/download/specsheet/CC0402JRNPO9BN200</t>
  </si>
  <si>
    <t>CAP SM 0402 20pF 50V C0G</t>
  </si>
  <si>
    <t>20P/0402/50V/C0G</t>
  </si>
  <si>
    <t>220N/0402/25V/X7R</t>
  </si>
  <si>
    <t>CAP SM 0402 220nF 25V X7R</t>
  </si>
  <si>
    <t>https://mm.digikey.com/Volume0/opasdata/d220001/medias/docus/2249/TMK105B7224KV-FR_SS.pdf</t>
  </si>
  <si>
    <t>TMK105B7224KV-FR</t>
  </si>
  <si>
    <t>587-6021-1-ND</t>
  </si>
  <si>
    <t>2m</t>
  </si>
  <si>
    <t>https://www.vishay.com/docs/30417/wfcp.pdf</t>
  </si>
  <si>
    <t>Vishay Dale</t>
  </si>
  <si>
    <t>WFCP06032L000FE66</t>
  </si>
  <si>
    <t>541-WFCP06032L000FE66CT-ND</t>
  </si>
  <si>
    <t>1K62/0402</t>
  </si>
  <si>
    <t>RES SM 0402 1K62</t>
  </si>
  <si>
    <t>1K62</t>
  </si>
  <si>
    <t>13-RC0603FR-101K62LCT-ND</t>
  </si>
  <si>
    <t>RC0603FR-101K62L</t>
  </si>
  <si>
    <t>0R002/0603</t>
  </si>
  <si>
    <t>RES SM 0603 0R002</t>
  </si>
  <si>
    <t>10N/0402/25V/C0G</t>
  </si>
  <si>
    <t>CAP SM 0402 210nF 25V C0G</t>
  </si>
  <si>
    <t>https://pim.murata.com/asset/pim4/ceramicCapacitorSMD/GRM1555C1E103GE01-01A-EN_PDF_CERAMICCAPACITORSMD</t>
  </si>
  <si>
    <t>GRM1555C1E103GE01D</t>
  </si>
  <si>
    <t>490-GRM1555C1E103GE01DCT-ND</t>
  </si>
  <si>
    <t>SN74AUP1G74DCUR</t>
  </si>
  <si>
    <t>SN74AUP1G74DCU</t>
  </si>
  <si>
    <t>FF D-TYPE 1-ELE 1-BIT 8-VSSOP</t>
  </si>
  <si>
    <t>SWITCH SPDT X 1 15OHM SOT23-6</t>
  </si>
  <si>
    <t>SWITCH SPDT X 1 15OHM 6SON</t>
  </si>
  <si>
    <t>SWITCH SPDT X 1 15OHM 6X2SON</t>
  </si>
  <si>
    <t>SWITCH SPDT X 1 15OHM SOT5X3</t>
  </si>
  <si>
    <t>SN74AUP1G74RSE</t>
  </si>
  <si>
    <t>296-19761-1-ND</t>
  </si>
  <si>
    <t>https://www.ti.com/general/docs/suppproductinfo.tsp?distId=10&amp;gotoUrl=https%3A%2F%2Fwww.ti.com%2Flit%2Fgpn%2Fsn74aup1g74</t>
  </si>
  <si>
    <t>296-27280-1-ND</t>
  </si>
  <si>
    <t>https://www.ti.com/general/docs/suppproductinfo.tsp?distId=10&amp;gotoUrl=https%3A%2F%2Fwww.ti.com%2Flit%2Fgpn%2Fsn74aup1g75</t>
  </si>
  <si>
    <t>FF D SC 1X1_UQFN</t>
  </si>
  <si>
    <t>FF D SC 1X1_VSSOP</t>
  </si>
  <si>
    <t>UQFN-8</t>
  </si>
  <si>
    <t>FF D-TYPE 1-ELE 1-BIT 8-UQFN</t>
  </si>
  <si>
    <t>SOP050P310X090-8NW</t>
  </si>
  <si>
    <t>QFN050P150X150X055-8</t>
  </si>
  <si>
    <t>SN74AUP1G79DRLR</t>
  </si>
  <si>
    <t>SN74AUP1G79DRL</t>
  </si>
  <si>
    <t>https://www.ti.com/lit/ds/symlink/sn74aup1g79.pdf</t>
  </si>
  <si>
    <t>296-19594-1-ND</t>
  </si>
  <si>
    <t>FF D 1X1</t>
  </si>
  <si>
    <t>SN74AUP1G79DBV</t>
  </si>
  <si>
    <t>FF D-TYPE 1-ELE 1-BIT SOT-23</t>
  </si>
  <si>
    <t>FF D-TYPE 1-ELE 1-BIT SC-70</t>
  </si>
  <si>
    <t>FF D-TYPE 1-ELE 1-BIT SOT-5X3</t>
  </si>
  <si>
    <t>SN74AUP1G79DCK</t>
  </si>
  <si>
    <t>SOT-23-5</t>
  </si>
  <si>
    <t>SC70</t>
  </si>
  <si>
    <t>SN74AUP1G79DCKR</t>
  </si>
  <si>
    <t>296-17660-1-ND</t>
  </si>
  <si>
    <t>296-17659-1-ND</t>
  </si>
  <si>
    <t>SN74AUP1G79DBVR</t>
  </si>
  <si>
    <t>SISS05DN-T1-GE3</t>
  </si>
  <si>
    <t>SISS05DN-T1-GE3CT-ND</t>
  </si>
  <si>
    <t>https://www.vishay.com/docs/77029/siss05dn.pdf</t>
  </si>
  <si>
    <t>MOSFET P-CH 30V 29.4A/108A PPAK</t>
  </si>
  <si>
    <t>NSR05F20NXT5G</t>
  </si>
  <si>
    <t>DIODE SCHOTTKY 20V 500MA 2DSN</t>
  </si>
  <si>
    <t>NSR05F20NXT5GOSCT-ND</t>
  </si>
  <si>
    <t>SOD1006X030</t>
  </si>
  <si>
    <t>RN242SMT2R</t>
  </si>
  <si>
    <t>30V 100MA, SINGLE, LOW RF PIN DI</t>
  </si>
  <si>
    <t>Rohm Semiconductor</t>
  </si>
  <si>
    <t>DSN2</t>
  </si>
  <si>
    <t>https://www.rohm.com/datasheet?p=RN242SM&amp;dist=Digi-Key&amp;media=referral&amp;source=digi-key.com&amp;campaign=Digi-Key</t>
  </si>
  <si>
    <t>846-RN242SMT2RCT-ND</t>
  </si>
  <si>
    <t>https://www.onsemi.cn/download/data-sheet/pdf/nsr05f20-d.pdf</t>
  </si>
  <si>
    <t>296-INA296A5IDDFRCT-ND</t>
  </si>
  <si>
    <t>INA296A5IDDFR</t>
  </si>
  <si>
    <t>CSA_O5_P8_N1_REF7_3_VCC6_VEE2_4</t>
  </si>
  <si>
    <t>1A 76V Adj High-Efficiency MAXPower Step-Down DC-DC Converter</t>
  </si>
  <si>
    <t>PCA2129T/Q900/251</t>
  </si>
  <si>
    <t>3 kV rms Signal and Power Isolated CAN Transceivers for CAN FD</t>
  </si>
  <si>
    <t>Quad-Port IEEE 802.3af/at PSE Controller for Power over Ethernet</t>
  </si>
  <si>
    <t>3.8-V to 28-V 3-A Synchronous Buck Converter in SOT583 Package</t>
  </si>
  <si>
    <t>SIMPLE SWITCHER® power converter 4.5-V to 36-V 2-A synchronous buck with 40-µA IQ</t>
  </si>
  <si>
    <t>INA232 48-V 16-Bit Current Voltage and Power Monitor With an I2C Interface</t>
  </si>
  <si>
    <t>TA75S393FLF</t>
  </si>
  <si>
    <t>TA75S393FLF(T</t>
  </si>
  <si>
    <t>MT8691AT Uni-polar Nano Power Hall-Effect Switch IC</t>
  </si>
  <si>
    <t>FTDI Future Technology Devices International Ltd</t>
  </si>
  <si>
    <t>OPT3004DNPR OPT3004 Ambient Light Sensor (ALS) With Excellent Angular IR Rejection USON8</t>
  </si>
  <si>
    <t>OPT3004DTSR OPT3004 Ambient Light Sensor (ALS) With Excellent Angular IR Rejection SOT-5X3</t>
  </si>
  <si>
    <t>4-CHANNEL 320MA/CH LED DRIVER</t>
  </si>
  <si>
    <t>STM32F334K4T Arm ® Cortex ® -M4 32b MCU+FPU16KB Flash16KB SRAM 2 ADCs3 DACs2 comp.op-amp 217ps 10-ch (HRTIM1)</t>
  </si>
  <si>
    <t>STM32F334K6T Arm ® Cortex ® -M4 32b MCU+FPU32KB Flash16KB SRAM 2 ADCs3 DACs2 comp.op-amp 217ps 10-ch (HRTIM1)</t>
  </si>
  <si>
    <t>STM32F334K8T Arm ® Cortex ® -M4 32b MCU+FPU64KB Flash16KB SRAM 2 ADCs3 DACs2 comp.op-amp 217ps 10-ch (HRTIM1)</t>
  </si>
  <si>
    <t>STM32F334K4U Arm ® Cortex ® -M4 32b MCU+FPU16KB Flash16KB SRAM 2 ADCs3 DACs2 comp.op-amp 217ps 10-ch (HRTIM1)</t>
  </si>
  <si>
    <t>STM32F334K6U Arm ® Cortex ® -M4 32b MCU+FPU32KB Flash16KB SRAM 2 ADCs3 DACs2 comp.op-amp 217ps 10-ch (HRTIM1)</t>
  </si>
  <si>
    <t>STM32F334K8U Arm ® Cortex ® -M4 32b MCU+FPU64KB Flash16KB SRAM 2 ADCs3 DACs2 comp.op-amp 217ps 10-ch (HRTIM1)</t>
  </si>
  <si>
    <t>STM32F334C4T Arm ® Cortex ® -M4 32b MCU+FPU16KB Flash16KB SRAM 2 ADCs3 DACs3 comp.op-amp 217ps 10-ch (HRTIM1)</t>
  </si>
  <si>
    <t>STM32F334C6T Arm ® Cortex ® -M4 32b MCU+FPU32KB Flash16KB SRAM 2 ADCs3 DACs3 comp.op-amp 217ps 10-ch (HRTIM1)</t>
  </si>
  <si>
    <t>STM32F334C8T Arm ® Cortex ® -M4 32b MCU+FPU64KB Flash16KB SRAM 2 ADCs3 DACs3 comp.op-amp 217ps 10-ch (HRTIM1)</t>
  </si>
  <si>
    <t>STM32F334C4Y Arm ® Cortex ® -M4 32b MCU+FPU16KB Flash16KB SRAM 2 ADCs3 DACs3 comp.op-amp 217ps 10-ch (HRTIM1)</t>
  </si>
  <si>
    <t>STM32F334C6Y Arm ® Cortex ® -M4 32b MCU+FPU32KB Flash16KB SRAM 2 ADCs3 DACs3 comp.op-amp 217ps 10-ch (HRTIM1)</t>
  </si>
  <si>
    <t>STM32F334C8Y Arm ® Cortex ® -M4 32b MCU+FPU64KB Flash16KB SRAM 2 ADCs3 DACs3 comp.op-amp 217ps 10-ch (HRTIM1)</t>
  </si>
  <si>
    <t>STM32F334R6T Arm ® Cortex ® -M4 32b MCU+FPU32KB Flash16KB SRAM 2 ADCs3 DACs3 comp.op-amp 217ps 10-ch (HRTIM1)</t>
  </si>
  <si>
    <t>STM32F334R8T Arm ® Cortex ® -M4 32b MCU+FPU64KB Flash16KB SRAM 2 ADCs3 DACs3 comp.op-amp 217ps 10-ch (HRTIM1)</t>
  </si>
  <si>
    <t>ADS131M02 2-Channel Simultaneously-Sampling 24-Bit Delta-Sigma ADC</t>
  </si>
  <si>
    <t>ADS131M03 3-Channel Simultaneously-Sampling 24-Bit Delta-Sigma ADC</t>
  </si>
  <si>
    <t>ADS131M04 4-Channel Simultaneously-Sampling 24-Bit Delta-Sigma ADC</t>
  </si>
  <si>
    <t>BQ76905 2-Series to 5-Series High Accuracy Battery Monitor and Protector for Li-Ion Li-Polymer LiFePO4 (LFP) and LTO Battery Packs</t>
  </si>
  <si>
    <t>BQ76907 2-Series to 7-Series High Accuracy Battery Monitor and Protector for Li-Ion Li-Polymer LiFePO4 (LFP) and LTO Battery Packs</t>
  </si>
  <si>
    <t>MCP6N11-001 500 kHz 800 μA Instrumentation Amplifier SO-8</t>
  </si>
  <si>
    <t>MCP6N11-002 500 kHz 800 μA Instrumentation Amplifier SO-8</t>
  </si>
  <si>
    <t>MCP6N11-005 500 kHz 800 μA Instrumentation Amplifier SO-8</t>
  </si>
  <si>
    <t>MCP6N11-010 500 kHz 800 μA Instrumentation Amplifier SO-8</t>
  </si>
  <si>
    <t>MCP6N11-100 500 kHz 800 μA Instrumentation Amplifier SO-8</t>
  </si>
  <si>
    <t>MCP6N11-001 500 kHz 800 μA Instrumentation Amplifier DFN</t>
  </si>
  <si>
    <t>MCP6N11-002 500 kHz 800 μA Instrumentation Amplifier DFN</t>
  </si>
  <si>
    <t>MCP6N11-005 500 kHz 800 μA Instrumentation Amplifier DFN</t>
  </si>
  <si>
    <t>MCP6N11-010 500 kHz 800 μA Instrumentation Amplifier DFN</t>
  </si>
  <si>
    <t>MCP6N11-100 500 kHz 800 μA Instrumentation Amplifier DFN</t>
  </si>
  <si>
    <t>TLV314 3-MHz Low-Power Internal EMI Filter RRIO Operational Amplifier</t>
  </si>
  <si>
    <t>TLV2314 3-MHz Low-Power Internal EMI Filter RRIO Operational Amplifier</t>
  </si>
  <si>
    <t>TLV1701 2.2-V to 36-V microPower Comparato</t>
  </si>
  <si>
    <t>TLV1702 2.2-V to 36-V microPower Comparato</t>
  </si>
  <si>
    <t>TLV1704 2.2-V to 36-V microPower Comparato</t>
  </si>
  <si>
    <t xml:space="preserve"> 0.3A 120V Absolute Maximum Step-Down Converter With Fly-Buck™ Converter Capability</t>
  </si>
  <si>
    <t>0.3A 120V Absolute Maximum Step-Down Converter With Fly-Buck™ Converter Capability Fixed PWM</t>
  </si>
  <si>
    <t>0.65A 120V Absolute Maximum Step-Down Converter With Fly-Buck™ Converter Capability</t>
  </si>
  <si>
    <t>0.65A 120V Absolute Maximum Step-Down Converter With Fly-Buck™ Converter Capability Fixed PWM</t>
  </si>
  <si>
    <t>4-V to 36-V 600-mA Synchronous Step-Down Converter</t>
  </si>
  <si>
    <t>PCA9554D118</t>
  </si>
  <si>
    <t>PCA9554DB118</t>
  </si>
  <si>
    <t>PCA9554PW118</t>
  </si>
  <si>
    <t>PCA9554BS118</t>
  </si>
  <si>
    <t>PCA9554AD118</t>
  </si>
  <si>
    <t>PCA9554ADB118</t>
  </si>
  <si>
    <t>PCA9554APW118</t>
  </si>
  <si>
    <t>PCA9554ABS118</t>
  </si>
  <si>
    <t>PCA9554ABS3118</t>
  </si>
  <si>
    <t>PCA9554BS3118</t>
  </si>
  <si>
    <t>OPA197 36-V Precision Rail-to-Rail Input/Output Low Offset Voltage Operational Amplifiers</t>
  </si>
  <si>
    <t>OPA2197 36-V Precision Rail-to-Rail Input/Output Low Offset Voltage Operational Amplifiers</t>
  </si>
  <si>
    <t>OPA4197 36-V Precision Rail-to-Rail Input/Output Low Offset Voltage Operational Amplifiers</t>
  </si>
  <si>
    <t>RFID-Reader/Transponder IC 1356MHz FeliCa ISO 14443 MIFARE NFC I2C SPI UART 27V bis 55V 40-VFQFN mit freiliegendem Pad</t>
  </si>
  <si>
    <t>PN5321A3HN/C10655</t>
  </si>
  <si>
    <t>Mehrphasig Motortreiber NMOS Analog I2C PWM 40-VQFN (7x5)</t>
  </si>
  <si>
    <t>Mehrzweck Digitale Isolatoren 3000Vrms 2 Kanal 150MBits/s 75kV/µs CMTI 8-SOIC (0154" 390mm Breite)</t>
  </si>
  <si>
    <t>STM32G474CBT Arm® Cortex®-M4 32-bit MCU+FPU 170 MHz / 213 DMIPS 128 kB flash 128 KB SRAM rich analog math acc 184 ps 12 chan Hi-res timer QFP-48</t>
  </si>
  <si>
    <t>STM32G474CCT Arm® Cortex®-M4 32-bit MCU+FPU 170 MHz / 213 DMIPS 256 kB flash 128 KB SRAM rich analog math acc 184 ps 12 chan Hi-res timer QFP-48</t>
  </si>
  <si>
    <t>STM32G474CET Arm® Cortex®-M4 32-bit MCU+FPU 170 MHz / 213 DMIPS 512 kB flash 128 KB SRAM rich analog math acc 184 ps 12 chan Hi-res timer QFP-48</t>
  </si>
  <si>
    <t>STM32G474RBT Arm® Cortex®-M4 32-bit MCU+FPU 170 MHz / 213 DMIPS 128 kB flash 128 KB SRAM rich analog math acc 184 ps 12 chan Hi-res timer QFP-64</t>
  </si>
  <si>
    <t>STM32G474RCT Arm® Cortex®-M4 32-bit MCU+FPU 170 MHz / 213 DMIPS 256 kB flash 128 KB SRAM rich analog math acc 184 ps 12 chan Hi-res timer QFP-64</t>
  </si>
  <si>
    <t>STM32G474RET Arm® Cortex®-M4 32-bit MCU+FPU 170 MHz / 213 DMIPS 512 kB flash 128 KB SRAM rich analog math acc 184 ps 12 chan Hi-res timer QFP-64</t>
  </si>
  <si>
    <t>STM32G474MBT Arm® Cortex®-M4 32-bit MCU+FPU 170 MHz / 213 DMIPS 128 kB flash 128 KB SRAM rich analog math acc 184 ps 12 chan Hi-res timer QFP-80</t>
  </si>
  <si>
    <t>STM32G474MCT Arm® Cortex®-M4 32-bit MCU+FPU 170 MHz / 213 DMIPS 256 kB flash 128 KB SRAM rich analog math acc 184 ps 12 chan Hi-res timer QFP-80</t>
  </si>
  <si>
    <t>STM32G474MET Arm® Cortex®-M4 32-bit MCU+FPU 170 MHz / 213 DMIPS 512 kB flash 128 KB SRAM rich analog math acc 184 ps 12 chan Hi-res timer QFP-80</t>
  </si>
  <si>
    <t>STM32G474VBT Arm® Cortex®-M4 32-bit MCU+FPU 170 MHz / 213 DMIPS 128 kB flash 128 KB SRAM rich analog math acc 184 ps 12 chan Hi-res timer QFP-100</t>
  </si>
  <si>
    <t>STM32G474VCT Arm® Cortex®-M4 32-bit MCU+FPU 170 MHz / 213 DMIPS 256 kB flash 128 KB SRAM rich analog math acc 184 ps 12 chan Hi-res timer QFP-100</t>
  </si>
  <si>
    <t>STM32G474VET Arm® Cortex®-M4 32-bit MCU+FPU 170 MHz / 213 DMIPS 512 kB flash 128 KB SRAM rich analog math acc 184 ps 12 chan Hi-res timer QFP-100</t>
  </si>
  <si>
    <t>STM32G474QBT Arm® Cortex®-M4 32-bit MCU+FPU 170 MHz / 213 DMIPS 128 kB flash 128 KB SRAM rich analog math acc 184 ps 12 chan Hi-res timer QFP-128</t>
  </si>
  <si>
    <t>STM32G474QCT Arm® Cortex®-M4 32-bit MCU+FPU 170 MHz / 213 DMIPS 256 kB flash 128 KB SRAM rich analog math acc 184 ps 12 chan Hi-res timer QFP-128</t>
  </si>
  <si>
    <t>STM32G474QET Arm® Cortex®-M4 32-bit MCU+FPU 170 MHz / 213 DMIPS 512 kB flash 128 KB SRAM rich analog math acc 184 ps 12 chan Hi-res timer QFP-128</t>
  </si>
  <si>
    <t>STM32G474CBU Arm® Cortex®-M4 32-bit MCU+FPU 170 MHz / 213 DMIPS 128 kB flash 128 KB SRAM rich analog math acc 184 ps 12 chan Hi-res timer QFN-48</t>
  </si>
  <si>
    <t>STM32G474CCU Arm® Cortex®-M4 32-bit MCU+FPU 170 MHz / 213 DMIPS 256 kB flash 128 KB SRAM rich analog math acc 184 ps 12 chan Hi-res timer QFN-48</t>
  </si>
  <si>
    <t>STM32G474CEU Arm® Cortex®-M4 32-bit MCU+FPU 170 MHz / 213 DMIPS 512 kB flash 128 KB SRAM rich analog math acc 184 ps 12 chan Hi-res timer QFN-48</t>
  </si>
  <si>
    <t>STM32G474MBY Arm® Cortex®-M4 32-bit MCU+FPU 170 MHz / 213 DMIPS 128 kB flash 128 KB SRAM rich analog math acc 184 ps 12 chan Hi-res timer CSP-81</t>
  </si>
  <si>
    <t>STM32G474MCY Arm® Cortex®-M4 32-bit MCU+FPU 170 MHz / 213 DMIPS 256 kB flash 128 KB SRAM rich analog math acc 184 ps 12 chan Hi-res timer CSP-81</t>
  </si>
  <si>
    <t>STM32G474MEY Arm® Cortex®-M4 32-bit MCU+FPU 170 MHz / 213 DMIPS 512 kB flash 128 KB SRAM rich analog math acc 184 ps 12 chan Hi-res timer CSP-81</t>
  </si>
  <si>
    <t>STM32G474VBH Arm® Cortex®-M4 32-bit MCU+FPU 170 MHz / 213 DMIPS 128 kB flash 128 KB SRAM rich analog math acc 184 ps 12 chan Hi-res timer BGA-100</t>
  </si>
  <si>
    <t>STM32G474VCH Arm® Cortex®-M4 32-bit MCU+FPU 170 MHz / 213 DMIPS 256 kB flash 128 KB SRAM rich analog math acc 184 ps 12 chan Hi-res timer BGA-100</t>
  </si>
  <si>
    <t>STM32G474VEH Arm® Cortex®-M4 32-bit MCU+FPU 170 MHz / 213 DMIPS 512 kB flash 128 KB SRAM rich analog math acc 184 ps 12 chan Hi-res timer BGA-100</t>
  </si>
  <si>
    <t>STM32G474PBI Arm® Cortex®-M4 32-bit MCU+FPU 170 MHz / 213 DMIPS 128 kB flash 128 KB SRAM rich analog math acc 184 ps 12 chan Hi-res timer BGA-128</t>
  </si>
  <si>
    <t>STM32G474PCI Arm® Cortex®-M4 32-bit MCU+FPU 170 MHz / 213 DMIPS 256 kB flash 128 KB SRAM rich analog math acc 184 ps 12 chan Hi-res timer BGA-128</t>
  </si>
  <si>
    <t>STM32G474PEI Arm® Cortex®-M4 32-bit MCU+FPU 170 MHz / 213 DMIPS 512 kB flash 128 KB SRAM rich analog math acc 184 ps 12 chan Hi-res timer BGA-128</t>
  </si>
  <si>
    <t>LMG2100R044 100V 35A GaN Half-Bridge Power Stage</t>
  </si>
  <si>
    <t>LP2985 150mA Low-Noise Low-Dropout Regulator With Shutdown 1.0V</t>
  </si>
  <si>
    <t>LP2985 150mA Low-Noise Low-Dropout Regulator With Shutdown 1.8V</t>
  </si>
  <si>
    <t>LP2985 150mA Low-Noise Low-Dropout Regulator With Shutdown 2.5V</t>
  </si>
  <si>
    <t>LP2985 150mA Low-Noise Low-Dropout Regulator With Shutdown 2.8V</t>
  </si>
  <si>
    <t>LP2985 150mA Low-Noise Low-Dropout Regulator With Shutdown 2.9V</t>
  </si>
  <si>
    <t>Positive Fixed 3.3V SOT-89-3 Voltage Regulators - Linear Low Drop Out (LDO) Regulators RoHS</t>
  </si>
  <si>
    <t>NX3L2267GU115</t>
  </si>
  <si>
    <t>iCE40 Ultra™ Feldprogrammierbares Gate-Array (FPGA) IC 26 65536 1100 36-XFBGA WLCSP</t>
  </si>
  <si>
    <t>INA181A1 Bidirectional Low- and High-Side Voltage Output Current-Sense Amplifier 20 V/V SOT23</t>
  </si>
  <si>
    <t>INA181A2 Bidirectional Low- and High-Side Voltage Output Current-Sense Amplifier 50 V/V SOT23</t>
  </si>
  <si>
    <t>INA181A3 Bidirectional Low- and High-Side Voltage Output Current-Sense Amplifier 100 V/V SOT23</t>
  </si>
  <si>
    <t>INA181A4 Bidirectional Low- and High-Side Voltage Output Current-Sense Amplifier 200 V/V SOT23</t>
  </si>
  <si>
    <t>INA181A1 Bidirectional Low- and High-Side Voltage Output Current-Sense Amplifier 20 V/V SC70</t>
  </si>
  <si>
    <t>INA181A2 Bidirectional Low- and High-Side Voltage Output Current-Sense Amplifier 50 V/V SC70</t>
  </si>
  <si>
    <t>INA181A3 Bidirectional Low- and High-Side Voltage Output Current-Sense Amplifier 100 V/V SC70</t>
  </si>
  <si>
    <t>INA181A4 Bidirectional Low- and High-Side Voltage Output Current-Sense Amplifier 200 V/V SC70</t>
  </si>
  <si>
    <t>INA296x –5V to 110V Bidirectional 1.1MHz 8V/μs Ultra-Precise Current Sense Amplifier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</si>
</sst>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  <font>
      <sz val="11"/>
      <color rgb="FF222222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54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21" fillId="0" borderId="0" xfId="0" applyFont="1"/>
    <xf numFmtId="49" fontId="8" fillId="0" borderId="0" xfId="1" applyNumberFormat="1" applyFont="1"/>
    <xf numFmtId="0" fontId="22" fillId="0" borderId="0" xfId="0" applyFont="1"/>
    <xf numFmtId="0" fontId="21" fillId="0" borderId="0" xfId="0" applyFont="1" applyAlignment="1">
      <alignment horizontal="left" vertical="center"/>
    </xf>
    <xf numFmtId="0" fontId="0" fillId="0" borderId="0" xfId="0" applyFont="1"/>
    <xf numFmtId="0" fontId="0" fillId="0" borderId="0" xfId="0" applyAlignmen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11092</v>
      </c>
      <c r="B8" t="s">
        <v>11093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8878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8"/>
  <sheetViews>
    <sheetView workbookViewId="0">
      <pane xSplit="2" ySplit="1" topLeftCell="C2007" activePane="bottomRight" state="frozen"/>
      <selection pane="topRight" activeCell="C1" sqref="C1"/>
      <selection pane="bottomLeft" activeCell="A2" sqref="A2"/>
      <selection pane="bottomRight" activeCell="C2048" sqref="C2048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14655</v>
      </c>
      <c r="L1" s="16" t="s">
        <v>14656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6443</v>
      </c>
    </row>
    <row r="2" spans="1:28">
      <c r="A2" s="16" t="s">
        <v>8879</v>
      </c>
      <c r="B2" s="16" t="s">
        <v>8879</v>
      </c>
      <c r="C2" s="16" t="s">
        <v>8880</v>
      </c>
      <c r="D2" s="16" t="s">
        <v>21</v>
      </c>
      <c r="E2" s="16" t="s">
        <v>6447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13979</v>
      </c>
      <c r="O2" s="16" t="s">
        <v>477</v>
      </c>
      <c r="P2" s="17" t="s">
        <v>8881</v>
      </c>
      <c r="Q2" s="16" t="s">
        <v>25</v>
      </c>
      <c r="R2" s="17" t="s">
        <v>10577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6447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13979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6447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13979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6447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13979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6447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13979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6447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13979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6447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13979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6447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13979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6447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13979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6447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13979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6447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13979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6447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13979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6447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13979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6447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13979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6447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13979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6447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13979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6447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13979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6447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13979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6447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13979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6447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13979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6447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13979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6447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13979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6447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13979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6447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13979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6447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13979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6447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13979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6447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13979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6447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13979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6447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13979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6447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13979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6447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13979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6447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13979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6447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13979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6447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13979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6447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13979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6447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13979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6447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13979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6447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13979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6447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13979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6447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13979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6447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13979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6447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13979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6447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13979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6447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13979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6447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13979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6447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13979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6447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13979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6447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13979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6447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13979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6447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13979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6447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13979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6447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13979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6447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13979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6447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13979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6447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13979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6447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13979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6447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13979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6447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13979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6447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13979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6447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13979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6447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13979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6447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13979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6447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13979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6447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13979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6447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13979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6447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13979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6447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13979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6447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13979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6447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13979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6447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13979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18540</v>
      </c>
      <c r="X71" s="17" t="s">
        <v>4729</v>
      </c>
      <c r="Y71" t="s">
        <v>4559</v>
      </c>
      <c r="Z71" s="17" t="s">
        <v>18539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6447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13979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6447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13979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6447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13979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6447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13979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6447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13979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6447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13979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6447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13979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6447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13979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6447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13979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6447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13979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6447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13979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6447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13979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6447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13979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6447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13979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6447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13979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6447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13979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6447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13979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6447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13979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6447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13979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6447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13979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6447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13979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6447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13979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6447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13979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6447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13979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6447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13979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6447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13979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6447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13979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6447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13979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6447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13979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6447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13979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6447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13979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6447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13979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6447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13979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6447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13979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6447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13979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6447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13979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6447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13979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6447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13979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6447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13979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6447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13979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6447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13979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6447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13979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6447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13979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6447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13979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6447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13979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6447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13979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6447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13979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6447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13979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6447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13979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6447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13979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6447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13979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6447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13979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6447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13979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6447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13979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6447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13979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6447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13979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6447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13979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6447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13979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6447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13979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6447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13979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6447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13979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6447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13979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6447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13979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6447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13979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6447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13979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6447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13979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6447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13979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6447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13979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6447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13979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6447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13979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6447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13979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6447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13979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6447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13979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6447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13979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6447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13979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6447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13979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6447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13979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6447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13979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6447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13979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6447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13979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6447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13979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6447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13979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6447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13979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6447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13979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6447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13979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6447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13979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6447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13979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6447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13979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6447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13979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6447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13979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6447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13979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6447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13979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6447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13979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6447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13979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6447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13979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6447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13979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6447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13979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6447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13979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6447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13979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6447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13979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13979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13979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13979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13979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13979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13979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13979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13979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13979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13979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13979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13979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13979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13979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13979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13979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13979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13979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13979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13979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13979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13979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13979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13979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13979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13979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14467</v>
      </c>
      <c r="X197" s="17" t="s">
        <v>16736</v>
      </c>
      <c r="Y197" s="16" t="s">
        <v>4559</v>
      </c>
      <c r="Z197" s="17" t="s">
        <v>16737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13979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13979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13979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13979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13979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13979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13979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13979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6588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13979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16655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13979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16656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13979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16657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13979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13979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13455</v>
      </c>
      <c r="Y210" s="17" t="s">
        <v>4559</v>
      </c>
      <c r="Z210" s="17" t="s">
        <v>13456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13979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13979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13979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13979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13979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13979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13979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13979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6587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13979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6591</v>
      </c>
      <c r="Y219" s="16" t="s">
        <v>4559</v>
      </c>
      <c r="Z219" t="s">
        <v>6592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13979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13979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13454</v>
      </c>
      <c r="Y221" s="16" t="s">
        <v>4559</v>
      </c>
      <c r="Z221" s="8" t="s">
        <v>13453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13979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13979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13979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13979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13979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13498</v>
      </c>
      <c r="Y226" s="17" t="s">
        <v>4559</v>
      </c>
      <c r="Z226" s="8" t="s">
        <v>13497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13979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13979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13516</v>
      </c>
      <c r="Y228" s="16" t="s">
        <v>4559</v>
      </c>
      <c r="Z228" s="8" t="s">
        <v>13515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13979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13979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13979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13979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13979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13979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16761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13979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13500</v>
      </c>
      <c r="Y235" s="16" t="s">
        <v>4559</v>
      </c>
      <c r="Z235" s="8" t="s">
        <v>13499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13979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16746</v>
      </c>
      <c r="Y236" s="16" t="s">
        <v>4559</v>
      </c>
      <c r="Z236" s="17" t="s">
        <v>16747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13979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14467</v>
      </c>
      <c r="X237" s="17" t="s">
        <v>16748</v>
      </c>
      <c r="Y237" s="16" t="s">
        <v>4559</v>
      </c>
      <c r="Z237" s="17" t="s">
        <v>16749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13979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13979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13979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13979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13979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13979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13979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13979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13979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13979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13979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13979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13979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13979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13979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13979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6589</v>
      </c>
      <c r="Y253" s="16" t="s">
        <v>4559</v>
      </c>
      <c r="Z253" t="s">
        <v>6590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13979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13979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13979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13979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13979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13979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13979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13979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13979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13979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13979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14467</v>
      </c>
      <c r="X264" s="17" t="s">
        <v>16744</v>
      </c>
      <c r="Y264" s="16" t="s">
        <v>4559</v>
      </c>
      <c r="Z264" s="17" t="s">
        <v>16745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13979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14467</v>
      </c>
      <c r="X265" s="17" t="s">
        <v>16750</v>
      </c>
      <c r="Y265" s="16" t="s">
        <v>4559</v>
      </c>
      <c r="Z265" s="17" t="s">
        <v>16751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13979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14467</v>
      </c>
      <c r="X266" s="8" t="s">
        <v>13490</v>
      </c>
      <c r="Y266" s="16" t="s">
        <v>4559</v>
      </c>
      <c r="Z266" s="8" t="s">
        <v>13489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13979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13979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13979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13979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13979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13979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13979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13588</v>
      </c>
      <c r="Y273" s="16" t="s">
        <v>4559</v>
      </c>
      <c r="Z273" s="44" t="s">
        <v>13587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13979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16754</v>
      </c>
      <c r="Y274" s="16" t="s">
        <v>4559</v>
      </c>
      <c r="Z274" s="17" t="s">
        <v>16755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13979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14467</v>
      </c>
      <c r="X275" s="17" t="s">
        <v>16752</v>
      </c>
      <c r="Y275" s="16" t="s">
        <v>4559</v>
      </c>
      <c r="Z275" s="17" t="s">
        <v>16753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13979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13512</v>
      </c>
      <c r="Y276" s="16" t="s">
        <v>4559</v>
      </c>
      <c r="Z276" s="8" t="s">
        <v>13511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13979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13979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13979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13518</v>
      </c>
      <c r="Y279" s="16" t="s">
        <v>4559</v>
      </c>
      <c r="Z279" s="8" t="s">
        <v>13517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13979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13510</v>
      </c>
      <c r="Y280" s="16" t="s">
        <v>4559</v>
      </c>
      <c r="Z280" s="8" t="s">
        <v>13509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13979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13979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13979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13979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16756</v>
      </c>
      <c r="Y284" s="16" t="s">
        <v>4559</v>
      </c>
      <c r="Z284" s="17" t="s">
        <v>16757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13979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13979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6380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13979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13979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13513</v>
      </c>
      <c r="Y288" s="16" t="s">
        <v>4559</v>
      </c>
      <c r="Z288" s="8" t="s">
        <v>13514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13979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6593</v>
      </c>
      <c r="Y289" s="16" t="s">
        <v>4559</v>
      </c>
      <c r="Z289" t="s">
        <v>6594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13979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13589</v>
      </c>
      <c r="Y290" s="16" t="s">
        <v>4559</v>
      </c>
      <c r="Z290" s="44" t="s">
        <v>13590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13979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13979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13496</v>
      </c>
      <c r="Y292" s="8" t="s">
        <v>4559</v>
      </c>
      <c r="Z292" s="8" t="s">
        <v>13495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13979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13979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13501</v>
      </c>
      <c r="Y294" s="16" t="s">
        <v>4559</v>
      </c>
      <c r="Z294" s="8" t="s">
        <v>13502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13979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13504</v>
      </c>
      <c r="Y295" s="16" t="s">
        <v>4559</v>
      </c>
      <c r="Z295" s="8" t="s">
        <v>13503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13979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16758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13979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13979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13979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13506</v>
      </c>
      <c r="Y299" s="8" t="s">
        <v>4559</v>
      </c>
      <c r="Z299" s="8" t="s">
        <v>13505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13979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13488</v>
      </c>
      <c r="Y300" s="16" t="s">
        <v>4559</v>
      </c>
      <c r="Z300" s="8" t="s">
        <v>13487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13979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13979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13508</v>
      </c>
      <c r="Y302" s="16" t="s">
        <v>4559</v>
      </c>
      <c r="Z302" s="8" t="s">
        <v>13507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13979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13979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13592</v>
      </c>
      <c r="Y304" s="16" t="s">
        <v>4559</v>
      </c>
      <c r="Z304" s="44" t="s">
        <v>13591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13979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6595</v>
      </c>
      <c r="Y305" s="16" t="s">
        <v>4559</v>
      </c>
      <c r="Z305" s="16" t="s">
        <v>6596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13979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13492</v>
      </c>
      <c r="Y306" s="16" t="s">
        <v>4559</v>
      </c>
      <c r="Z306" s="8" t="s">
        <v>13491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13979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6597</v>
      </c>
      <c r="Y307" s="16" t="s">
        <v>4559</v>
      </c>
      <c r="Z307" t="s">
        <v>6598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13979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13979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13979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13979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13979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13979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13979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13979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13979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16759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13979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13979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13979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13979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6379</v>
      </c>
      <c r="X320" s="8" t="s">
        <v>13475</v>
      </c>
      <c r="Y320" s="17" t="s">
        <v>4559</v>
      </c>
      <c r="Z320" s="8" t="s">
        <v>13474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13979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13979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13979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13979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13979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13979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13979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13979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13979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13979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13979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13979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13979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13979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13979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13979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13979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6379</v>
      </c>
      <c r="X337" s="8" t="s">
        <v>13486</v>
      </c>
      <c r="Y337" t="s">
        <v>4559</v>
      </c>
      <c r="Z337" s="8" t="s">
        <v>13485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13979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13979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6379</v>
      </c>
      <c r="X339" s="9" t="s">
        <v>13580</v>
      </c>
      <c r="Y339" s="17" t="s">
        <v>4559</v>
      </c>
      <c r="Z339" s="9" t="s">
        <v>13579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13979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13979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14007</v>
      </c>
      <c r="B342" s="17" t="s">
        <v>14007</v>
      </c>
      <c r="C342" s="17" t="s">
        <v>14008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13980</v>
      </c>
      <c r="O342" s="17" t="s">
        <v>477</v>
      </c>
      <c r="P342" s="17" t="s">
        <v>14009</v>
      </c>
      <c r="Q342" t="s">
        <v>25</v>
      </c>
      <c r="R342" s="17" t="s">
        <v>14010</v>
      </c>
      <c r="S342" s="17"/>
      <c r="T342" s="17"/>
      <c r="U342" s="17"/>
      <c r="V342" s="17"/>
      <c r="W342" s="17" t="s">
        <v>477</v>
      </c>
      <c r="X342" s="17" t="s">
        <v>14009</v>
      </c>
      <c r="Y342" t="s">
        <v>4559</v>
      </c>
      <c r="Z342" s="17" t="s">
        <v>14011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6446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13979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13480</v>
      </c>
      <c r="Y343" t="s">
        <v>4559</v>
      </c>
      <c r="Z343" s="8" t="s">
        <v>13481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6446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13979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6446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13979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6446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13979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6446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13979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6446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13979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6446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13979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6446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13979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6446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13979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6446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13979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6446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13979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6446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13979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6446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13979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6446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13979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6446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13979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6446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13979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6446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13979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6446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13979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6446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13979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6446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13979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6446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13979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6446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13979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6446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13979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6446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13979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6446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13979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6446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13979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6446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13979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6446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13979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6446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13979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6446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13979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6446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13979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6446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13979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6446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13979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6446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13979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6446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13979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6446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13979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6446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13979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6446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13979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6446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13979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6446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13979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6446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13979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6446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13979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6446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13979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6446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13979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6446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13979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6446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13979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6446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13979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6446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13979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6446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13979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6446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13979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6446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13979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6446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13979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6446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13979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6446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13979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6446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13979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6446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13979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6446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13979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6446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13979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6446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13979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6446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13979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6446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13979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6446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13979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6446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13979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6446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13979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6446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13979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6446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13979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6446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13979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6446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13979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6446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13979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6446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13979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6446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13979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6446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13979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6446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13979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6446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13979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6446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13979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6446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13979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6446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13979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6446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13979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6446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13979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6446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13979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6446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13979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14467</v>
      </c>
      <c r="X423" s="17" t="s">
        <v>14468</v>
      </c>
      <c r="Y423" t="s">
        <v>4559</v>
      </c>
      <c r="Z423" s="17" t="s">
        <v>14469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6446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13979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6446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13979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6446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13979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6446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13979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6446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13979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6446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13979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6446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13979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6446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13979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6446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13979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6446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13979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6446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13979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6446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13979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6446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13979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6446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13979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6446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13979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6446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13979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6446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13979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13520</v>
      </c>
      <c r="Y440" t="s">
        <v>4559</v>
      </c>
      <c r="Z440" s="8" t="s">
        <v>13519</v>
      </c>
      <c r="AA440" t="s">
        <v>4728</v>
      </c>
      <c r="AB440" s="17" t="str">
        <f t="shared" si="7"/>
        <v>GPR080510K</v>
      </c>
    </row>
    <row r="441" spans="1:28">
      <c r="A441" s="17" t="s">
        <v>16594</v>
      </c>
      <c r="B441" s="17" t="s">
        <v>16594</v>
      </c>
      <c r="C441" s="17" t="s">
        <v>16595</v>
      </c>
      <c r="D441" s="17" t="s">
        <v>21</v>
      </c>
      <c r="E441" s="24" t="s">
        <v>6446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16547</v>
      </c>
      <c r="K441" s="17"/>
      <c r="L441" s="17"/>
      <c r="M441" s="21">
        <v>10000</v>
      </c>
      <c r="N441" s="17" t="s">
        <v>13980</v>
      </c>
      <c r="O441" s="17" t="s">
        <v>477</v>
      </c>
      <c r="P441" s="17" t="s">
        <v>16610</v>
      </c>
      <c r="Q441" t="s">
        <v>25</v>
      </c>
      <c r="R441" s="17" t="s">
        <v>16632</v>
      </c>
      <c r="S441" s="17"/>
      <c r="T441" s="17"/>
      <c r="U441" s="17"/>
      <c r="V441" s="17"/>
      <c r="W441" s="17" t="s">
        <v>477</v>
      </c>
      <c r="X441" s="17" t="s">
        <v>16610</v>
      </c>
      <c r="Y441" s="17" t="s">
        <v>4559</v>
      </c>
      <c r="Z441" s="17" t="s">
        <v>16611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6446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13979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6446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13979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6446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13979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6446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13979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6446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13979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6446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13979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6446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13979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6446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13979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6446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13979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6446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13979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6446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13979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6446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13979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6446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13979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6446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13979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6446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13979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6446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13979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6446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13979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6446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13979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6446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13979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6446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13979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6446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13979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16596</v>
      </c>
      <c r="B463" s="17" t="s">
        <v>16596</v>
      </c>
      <c r="C463" s="17" t="s">
        <v>16597</v>
      </c>
      <c r="D463" s="17" t="s">
        <v>21</v>
      </c>
      <c r="E463" s="24" t="s">
        <v>6446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16547</v>
      </c>
      <c r="K463" s="17"/>
      <c r="L463" s="17"/>
      <c r="M463" s="21">
        <v>75000</v>
      </c>
      <c r="N463" s="17" t="s">
        <v>13980</v>
      </c>
      <c r="O463" s="17" t="s">
        <v>477</v>
      </c>
      <c r="P463" s="17" t="s">
        <v>16612</v>
      </c>
      <c r="Q463" t="s">
        <v>25</v>
      </c>
      <c r="R463" s="17" t="s">
        <v>16633</v>
      </c>
      <c r="S463" s="17"/>
      <c r="T463" s="17"/>
      <c r="U463" s="17"/>
      <c r="V463" s="17"/>
      <c r="W463" s="17" t="s">
        <v>477</v>
      </c>
      <c r="X463" s="17" t="s">
        <v>16612</v>
      </c>
      <c r="Y463" s="17" t="s">
        <v>4559</v>
      </c>
      <c r="Z463" s="17" t="s">
        <v>16613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6446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13979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6446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13979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6446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13979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16598</v>
      </c>
      <c r="B467" s="17" t="s">
        <v>16598</v>
      </c>
      <c r="C467" s="17" t="s">
        <v>16605</v>
      </c>
      <c r="D467" s="17" t="s">
        <v>21</v>
      </c>
      <c r="E467" s="24" t="s">
        <v>6446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16547</v>
      </c>
      <c r="K467" s="17"/>
      <c r="L467" s="17"/>
      <c r="M467" s="21">
        <v>100000</v>
      </c>
      <c r="N467" s="17" t="s">
        <v>13980</v>
      </c>
      <c r="O467" s="17" t="s">
        <v>477</v>
      </c>
      <c r="P467" s="17" t="s">
        <v>16614</v>
      </c>
      <c r="Q467" t="s">
        <v>25</v>
      </c>
      <c r="R467" s="17" t="s">
        <v>16634</v>
      </c>
      <c r="S467" s="17"/>
      <c r="T467" s="17"/>
      <c r="U467" s="17"/>
      <c r="V467" s="17"/>
      <c r="W467" s="17" t="s">
        <v>477</v>
      </c>
      <c r="X467" s="17" t="s">
        <v>16614</v>
      </c>
      <c r="Y467" s="17" t="s">
        <v>4559</v>
      </c>
      <c r="Z467" s="17" t="s">
        <v>16615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6446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13979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6446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13979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16760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6446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13979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6446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13979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6446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13979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6446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13979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6446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13979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6446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13979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16599</v>
      </c>
      <c r="B476" s="17" t="s">
        <v>16599</v>
      </c>
      <c r="C476" s="17" t="s">
        <v>16606</v>
      </c>
      <c r="D476" s="17" t="s">
        <v>21</v>
      </c>
      <c r="E476" s="24" t="s">
        <v>6446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16547</v>
      </c>
      <c r="K476" s="17"/>
      <c r="L476" s="17"/>
      <c r="M476" s="21">
        <v>220000</v>
      </c>
      <c r="N476" s="17" t="s">
        <v>13980</v>
      </c>
      <c r="O476" s="17" t="s">
        <v>477</v>
      </c>
      <c r="P476" s="17" t="s">
        <v>16616</v>
      </c>
      <c r="Q476" t="s">
        <v>25</v>
      </c>
      <c r="R476" s="17" t="s">
        <v>16635</v>
      </c>
      <c r="S476" s="17"/>
      <c r="T476" s="17"/>
      <c r="U476" s="17"/>
      <c r="V476" s="17"/>
      <c r="W476" s="17" t="s">
        <v>477</v>
      </c>
      <c r="X476" s="17" t="s">
        <v>16616</v>
      </c>
      <c r="Y476" s="17" t="s">
        <v>4559</v>
      </c>
      <c r="Z476" s="17" t="s">
        <v>16617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6446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13979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6379</v>
      </c>
      <c r="X477" s="8" t="s">
        <v>13483</v>
      </c>
      <c r="Y477" t="s">
        <v>4559</v>
      </c>
      <c r="Z477" s="8" t="s">
        <v>13484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16600</v>
      </c>
      <c r="B478" s="17" t="s">
        <v>16600</v>
      </c>
      <c r="C478" s="17" t="s">
        <v>16628</v>
      </c>
      <c r="D478" s="17" t="s">
        <v>21</v>
      </c>
      <c r="E478" s="24" t="s">
        <v>6446</v>
      </c>
      <c r="F478" s="17" t="s">
        <v>16631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16547</v>
      </c>
      <c r="K478" s="17"/>
      <c r="L478" s="17"/>
      <c r="M478" s="21">
        <v>255000</v>
      </c>
      <c r="N478" s="17" t="s">
        <v>13980</v>
      </c>
      <c r="O478" s="17" t="s">
        <v>477</v>
      </c>
      <c r="P478" s="17" t="s">
        <v>16618</v>
      </c>
      <c r="Q478" t="s">
        <v>25</v>
      </c>
      <c r="R478" s="17" t="s">
        <v>16636</v>
      </c>
      <c r="S478" s="17"/>
      <c r="T478" s="17"/>
      <c r="U478" s="17"/>
      <c r="V478" s="17"/>
      <c r="W478" s="8" t="s">
        <v>477</v>
      </c>
      <c r="X478" s="8" t="s">
        <v>16618</v>
      </c>
      <c r="Y478" t="s">
        <v>4559</v>
      </c>
      <c r="Z478" s="8" t="s">
        <v>16619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6446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13979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16601</v>
      </c>
      <c r="B480" s="17" t="s">
        <v>16601</v>
      </c>
      <c r="C480" s="17" t="s">
        <v>16629</v>
      </c>
      <c r="D480" s="17" t="s">
        <v>21</v>
      </c>
      <c r="E480" s="24" t="s">
        <v>6446</v>
      </c>
      <c r="F480" s="17" t="s">
        <v>16630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16547</v>
      </c>
      <c r="K480" s="17"/>
      <c r="L480" s="17"/>
      <c r="M480" s="21">
        <v>274000</v>
      </c>
      <c r="N480" s="17" t="s">
        <v>13980</v>
      </c>
      <c r="O480" s="17" t="s">
        <v>477</v>
      </c>
      <c r="P480" s="17" t="s">
        <v>16620</v>
      </c>
      <c r="Q480" t="s">
        <v>25</v>
      </c>
      <c r="R480" s="17" t="s">
        <v>16637</v>
      </c>
      <c r="S480" s="17"/>
      <c r="T480" s="17"/>
      <c r="U480" s="17"/>
      <c r="V480" s="17"/>
      <c r="W480" s="17" t="s">
        <v>477</v>
      </c>
      <c r="X480" s="17" t="s">
        <v>16620</v>
      </c>
      <c r="Y480" t="s">
        <v>4559</v>
      </c>
      <c r="Z480" s="17" t="s">
        <v>16621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6446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13979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6446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13979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6446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13979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16602</v>
      </c>
      <c r="B484" s="17" t="s">
        <v>16602</v>
      </c>
      <c r="C484" s="17" t="s">
        <v>16607</v>
      </c>
      <c r="D484" s="17" t="s">
        <v>21</v>
      </c>
      <c r="E484" s="24" t="s">
        <v>6446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16547</v>
      </c>
      <c r="K484" s="17"/>
      <c r="L484" s="17"/>
      <c r="M484" s="21">
        <v>360000</v>
      </c>
      <c r="N484" s="17" t="s">
        <v>13980</v>
      </c>
      <c r="O484" s="17" t="s">
        <v>477</v>
      </c>
      <c r="P484" s="17" t="s">
        <v>16622</v>
      </c>
      <c r="Q484" t="s">
        <v>25</v>
      </c>
      <c r="R484" s="17" t="s">
        <v>16638</v>
      </c>
      <c r="S484" s="17"/>
      <c r="T484" s="17"/>
      <c r="U484" s="17"/>
      <c r="V484" s="17"/>
      <c r="W484" s="17" t="s">
        <v>477</v>
      </c>
      <c r="X484" s="17" t="s">
        <v>16622</v>
      </c>
      <c r="Y484" s="17" t="s">
        <v>4559</v>
      </c>
      <c r="Z484" s="17" t="s">
        <v>16623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6446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13979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6446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13979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6446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13979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6446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13979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6446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13979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6446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13979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6446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13979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16603</v>
      </c>
      <c r="B492" s="17" t="s">
        <v>16603</v>
      </c>
      <c r="C492" s="17" t="s">
        <v>16608</v>
      </c>
      <c r="D492" s="17" t="s">
        <v>21</v>
      </c>
      <c r="E492" s="24" t="s">
        <v>6446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16547</v>
      </c>
      <c r="K492" s="17"/>
      <c r="L492" s="17"/>
      <c r="M492" s="21">
        <v>680000</v>
      </c>
      <c r="N492" s="17" t="s">
        <v>13980</v>
      </c>
      <c r="O492" s="17" t="s">
        <v>477</v>
      </c>
      <c r="P492" s="17" t="s">
        <v>16624</v>
      </c>
      <c r="Q492" t="s">
        <v>25</v>
      </c>
      <c r="R492" s="17" t="s">
        <v>16639</v>
      </c>
      <c r="S492" s="17"/>
      <c r="T492" s="17"/>
      <c r="U492" s="17"/>
      <c r="V492" s="17"/>
      <c r="W492" s="17" t="s">
        <v>477</v>
      </c>
      <c r="X492" s="17" t="s">
        <v>16624</v>
      </c>
      <c r="Y492" s="17" t="s">
        <v>4559</v>
      </c>
      <c r="Z492" s="17" t="s">
        <v>16625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6446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13979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16604</v>
      </c>
      <c r="B494" s="17" t="s">
        <v>16604</v>
      </c>
      <c r="C494" s="17" t="s">
        <v>16609</v>
      </c>
      <c r="D494" s="17" t="s">
        <v>21</v>
      </c>
      <c r="E494" s="24" t="s">
        <v>6446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16547</v>
      </c>
      <c r="K494" s="17"/>
      <c r="L494" s="17"/>
      <c r="M494" s="21">
        <v>750000</v>
      </c>
      <c r="N494" s="17" t="s">
        <v>13980</v>
      </c>
      <c r="O494" s="17" t="s">
        <v>477</v>
      </c>
      <c r="P494" s="17" t="s">
        <v>16626</v>
      </c>
      <c r="Q494" t="s">
        <v>25</v>
      </c>
      <c r="R494" s="17" t="s">
        <v>16640</v>
      </c>
      <c r="S494" s="17"/>
      <c r="T494" s="17"/>
      <c r="U494" s="17"/>
      <c r="V494" s="17"/>
      <c r="W494" s="17" t="s">
        <v>477</v>
      </c>
      <c r="X494" s="17" t="s">
        <v>16626</v>
      </c>
      <c r="Y494" s="17" t="s">
        <v>4559</v>
      </c>
      <c r="Z494" s="17" t="s">
        <v>16627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6446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13979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6446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13979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6446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13979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13494</v>
      </c>
      <c r="Y497" t="s">
        <v>4559</v>
      </c>
      <c r="Z497" s="8" t="s">
        <v>13493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16548</v>
      </c>
      <c r="B498" s="17" t="s">
        <v>16548</v>
      </c>
      <c r="C498" s="17" t="s">
        <v>16549</v>
      </c>
      <c r="D498" s="17" t="s">
        <v>21</v>
      </c>
      <c r="E498" s="24" t="s">
        <v>6446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16547</v>
      </c>
      <c r="K498" s="17"/>
      <c r="L498" s="17"/>
      <c r="M498" s="21">
        <v>1000000</v>
      </c>
      <c r="N498" s="17" t="s">
        <v>13980</v>
      </c>
      <c r="O498" s="17" t="s">
        <v>477</v>
      </c>
      <c r="P498" s="17" t="s">
        <v>16564</v>
      </c>
      <c r="Q498" t="s">
        <v>25</v>
      </c>
      <c r="R498" s="17" t="s">
        <v>16565</v>
      </c>
      <c r="S498" s="17"/>
      <c r="T498" s="17"/>
      <c r="U498" s="17"/>
      <c r="V498" s="17"/>
      <c r="W498" s="42" t="s">
        <v>6379</v>
      </c>
      <c r="X498" s="8" t="s">
        <v>16580</v>
      </c>
      <c r="Y498" t="s">
        <v>4559</v>
      </c>
      <c r="Z498" s="8" t="s">
        <v>16581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6446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13979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6446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13979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6446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13979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16550</v>
      </c>
      <c r="B502" s="17" t="s">
        <v>16550</v>
      </c>
      <c r="C502" s="17" t="s">
        <v>16551</v>
      </c>
      <c r="D502" s="17" t="s">
        <v>21</v>
      </c>
      <c r="E502" s="24" t="s">
        <v>6446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16547</v>
      </c>
      <c r="K502" s="17"/>
      <c r="L502" s="17"/>
      <c r="M502" s="21">
        <v>1300000</v>
      </c>
      <c r="N502" s="17" t="s">
        <v>13980</v>
      </c>
      <c r="O502" s="17" t="s">
        <v>477</v>
      </c>
      <c r="P502" s="17" t="s">
        <v>16566</v>
      </c>
      <c r="Q502" t="s">
        <v>25</v>
      </c>
      <c r="R502" s="17" t="s">
        <v>16567</v>
      </c>
      <c r="S502" s="17"/>
      <c r="T502" s="17"/>
      <c r="U502" s="17"/>
      <c r="V502" s="17"/>
      <c r="W502" s="17" t="s">
        <v>14467</v>
      </c>
      <c r="X502" s="17" t="s">
        <v>16582</v>
      </c>
      <c r="Y502" s="17" t="s">
        <v>4559</v>
      </c>
      <c r="Z502" s="17" t="s">
        <v>16583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6446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13979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16552</v>
      </c>
      <c r="B504" s="17" t="s">
        <v>16552</v>
      </c>
      <c r="C504" s="17" t="s">
        <v>16563</v>
      </c>
      <c r="D504" s="17" t="s">
        <v>21</v>
      </c>
      <c r="E504" s="24" t="s">
        <v>6446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16547</v>
      </c>
      <c r="K504" s="17"/>
      <c r="L504" s="17"/>
      <c r="M504" s="21">
        <v>1500000</v>
      </c>
      <c r="N504" s="17" t="s">
        <v>13980</v>
      </c>
      <c r="O504" s="17" t="s">
        <v>477</v>
      </c>
      <c r="P504" s="17" t="s">
        <v>16568</v>
      </c>
      <c r="Q504" t="s">
        <v>25</v>
      </c>
      <c r="R504" s="17" t="s">
        <v>16569</v>
      </c>
      <c r="S504" s="17"/>
      <c r="T504" s="17"/>
      <c r="U504" s="17"/>
      <c r="V504" s="17"/>
      <c r="W504" s="17" t="s">
        <v>477</v>
      </c>
      <c r="X504" s="17" t="s">
        <v>16568</v>
      </c>
      <c r="Y504" s="17" t="s">
        <v>4559</v>
      </c>
      <c r="Z504" s="17" t="s">
        <v>16584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6446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13979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6446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13979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6379</v>
      </c>
      <c r="X506" s="8" t="s">
        <v>13471</v>
      </c>
      <c r="Y506" t="s">
        <v>4559</v>
      </c>
      <c r="Z506" s="8" t="s">
        <v>13470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6446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13979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14470</v>
      </c>
      <c r="AA507" t="s">
        <v>4727</v>
      </c>
      <c r="AB507" s="17" t="str">
        <f t="shared" si="8"/>
        <v>GPR08052M</v>
      </c>
    </row>
    <row r="508" spans="1:28">
      <c r="A508" s="17" t="s">
        <v>16553</v>
      </c>
      <c r="B508" s="17" t="s">
        <v>16553</v>
      </c>
      <c r="C508" s="17" t="s">
        <v>16562</v>
      </c>
      <c r="D508" s="17" t="s">
        <v>21</v>
      </c>
      <c r="E508" s="24" t="s">
        <v>6446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16547</v>
      </c>
      <c r="K508" s="17"/>
      <c r="L508" s="17"/>
      <c r="M508" s="21">
        <v>2000000</v>
      </c>
      <c r="N508" s="17" t="s">
        <v>13980</v>
      </c>
      <c r="O508" s="17" t="s">
        <v>477</v>
      </c>
      <c r="P508" s="17" t="s">
        <v>16572</v>
      </c>
      <c r="Q508" t="s">
        <v>25</v>
      </c>
      <c r="R508" s="17" t="s">
        <v>16573</v>
      </c>
      <c r="S508" s="17"/>
      <c r="T508" s="17"/>
      <c r="U508" s="17"/>
      <c r="V508" s="17"/>
      <c r="W508" s="17" t="s">
        <v>477</v>
      </c>
      <c r="X508" s="17" t="s">
        <v>16572</v>
      </c>
      <c r="Y508" t="s">
        <v>4559</v>
      </c>
      <c r="Z508" s="17" t="s">
        <v>16585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6446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13979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16554</v>
      </c>
      <c r="B510" s="17" t="s">
        <v>16554</v>
      </c>
      <c r="C510" s="17" t="s">
        <v>16561</v>
      </c>
      <c r="D510" s="17" t="s">
        <v>21</v>
      </c>
      <c r="E510" s="24" t="s">
        <v>6446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16547</v>
      </c>
      <c r="K510" s="17"/>
      <c r="L510" s="17"/>
      <c r="M510" s="21">
        <v>2200000</v>
      </c>
      <c r="N510" s="17" t="s">
        <v>13980</v>
      </c>
      <c r="O510" s="17" t="s">
        <v>477</v>
      </c>
      <c r="P510" s="17" t="s">
        <v>16570</v>
      </c>
      <c r="Q510" t="s">
        <v>25</v>
      </c>
      <c r="R510" s="17" t="s">
        <v>16571</v>
      </c>
      <c r="S510" s="17"/>
      <c r="T510" s="17"/>
      <c r="U510" s="17"/>
      <c r="V510" s="17"/>
      <c r="W510" s="17" t="s">
        <v>6379</v>
      </c>
      <c r="X510" s="17" t="s">
        <v>16586</v>
      </c>
      <c r="Y510" t="s">
        <v>4559</v>
      </c>
      <c r="Z510" s="17" t="s">
        <v>16587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6446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13979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6446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13979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6446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13979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6446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13979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16555</v>
      </c>
      <c r="B515" s="17" t="s">
        <v>16555</v>
      </c>
      <c r="C515" s="17" t="s">
        <v>16560</v>
      </c>
      <c r="D515" s="17" t="s">
        <v>21</v>
      </c>
      <c r="E515" s="24" t="s">
        <v>6446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16547</v>
      </c>
      <c r="K515" s="17"/>
      <c r="L515" s="17"/>
      <c r="M515" s="21">
        <v>3300000</v>
      </c>
      <c r="N515" s="17" t="s">
        <v>13980</v>
      </c>
      <c r="O515" s="17" t="s">
        <v>477</v>
      </c>
      <c r="P515" s="17" t="s">
        <v>16574</v>
      </c>
      <c r="Q515" t="s">
        <v>25</v>
      </c>
      <c r="R515" s="17" t="s">
        <v>16575</v>
      </c>
      <c r="S515" s="17"/>
      <c r="T515" s="17"/>
      <c r="U515" s="17"/>
      <c r="V515" s="17"/>
      <c r="W515" s="17" t="s">
        <v>477</v>
      </c>
      <c r="X515" s="17" t="s">
        <v>16588</v>
      </c>
      <c r="Y515" s="17" t="s">
        <v>4559</v>
      </c>
      <c r="Z515" s="17" t="s">
        <v>16589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6446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13979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6446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13979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6446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13979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6446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13979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6446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13979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6446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13979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16556</v>
      </c>
      <c r="B522" s="17" t="s">
        <v>16556</v>
      </c>
      <c r="C522" s="17" t="s">
        <v>16559</v>
      </c>
      <c r="D522" s="17" t="s">
        <v>21</v>
      </c>
      <c r="E522" s="24" t="s">
        <v>6446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16547</v>
      </c>
      <c r="K522" s="17"/>
      <c r="L522" s="17"/>
      <c r="M522" s="21">
        <v>5600000</v>
      </c>
      <c r="N522" s="17" t="s">
        <v>13980</v>
      </c>
      <c r="O522" s="17" t="s">
        <v>477</v>
      </c>
      <c r="P522" s="17" t="s">
        <v>16576</v>
      </c>
      <c r="Q522" t="s">
        <v>25</v>
      </c>
      <c r="R522" s="17" t="s">
        <v>16577</v>
      </c>
      <c r="S522" s="17"/>
      <c r="T522" s="17"/>
      <c r="U522" s="17"/>
      <c r="V522" s="17"/>
      <c r="W522" s="17" t="s">
        <v>477</v>
      </c>
      <c r="X522" s="17" t="s">
        <v>16576</v>
      </c>
      <c r="Y522" s="17" t="s">
        <v>4559</v>
      </c>
      <c r="Z522" s="17" t="s">
        <v>16590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6446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13979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16557</v>
      </c>
      <c r="B524" s="17" t="s">
        <v>16557</v>
      </c>
      <c r="C524" s="17" t="s">
        <v>16558</v>
      </c>
      <c r="D524" s="17" t="s">
        <v>21</v>
      </c>
      <c r="E524" s="24" t="s">
        <v>6446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16547</v>
      </c>
      <c r="K524" s="17"/>
      <c r="L524" s="17"/>
      <c r="M524" s="21">
        <v>6200000</v>
      </c>
      <c r="N524" s="17" t="s">
        <v>13980</v>
      </c>
      <c r="O524" s="17" t="s">
        <v>477</v>
      </c>
      <c r="P524" s="17" t="s">
        <v>16578</v>
      </c>
      <c r="Q524" t="s">
        <v>25</v>
      </c>
      <c r="R524" s="17" t="s">
        <v>16579</v>
      </c>
      <c r="S524" s="17"/>
      <c r="T524" s="17"/>
      <c r="U524" s="17"/>
      <c r="V524" s="17"/>
      <c r="W524" s="17" t="s">
        <v>16591</v>
      </c>
      <c r="X524" s="17" t="s">
        <v>16592</v>
      </c>
      <c r="Y524" s="17" t="s">
        <v>4559</v>
      </c>
      <c r="Z524" s="17" t="s">
        <v>16593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6446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13979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6446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13979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6446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13979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6446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13979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6379</v>
      </c>
      <c r="X528" s="8" t="s">
        <v>13477</v>
      </c>
      <c r="Y528" s="17" t="s">
        <v>4559</v>
      </c>
      <c r="Z528" s="8" t="s">
        <v>13476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6446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13979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13986</v>
      </c>
      <c r="Y529" t="s">
        <v>4559</v>
      </c>
      <c r="Z529" s="17" t="s">
        <v>13987</v>
      </c>
      <c r="AA529" s="17"/>
      <c r="AB529" s="17" t="str">
        <f t="shared" si="8"/>
        <v>GPR080510M</v>
      </c>
    </row>
    <row r="530" spans="1:28">
      <c r="A530" t="s">
        <v>13988</v>
      </c>
      <c r="B530" t="s">
        <v>13988</v>
      </c>
      <c r="C530" s="17" t="s">
        <v>13990</v>
      </c>
      <c r="D530" t="s">
        <v>21</v>
      </c>
      <c r="E530" s="24" t="s">
        <v>6446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16547</v>
      </c>
      <c r="K530" s="17"/>
      <c r="L530" s="17"/>
      <c r="M530" s="21">
        <v>10000000</v>
      </c>
      <c r="N530" s="17" t="s">
        <v>13980</v>
      </c>
      <c r="O530" s="17" t="s">
        <v>477</v>
      </c>
      <c r="P530" s="17" t="s">
        <v>13991</v>
      </c>
      <c r="Q530" t="s">
        <v>25</v>
      </c>
      <c r="R530" s="17" t="s">
        <v>13992</v>
      </c>
      <c r="S530" s="17"/>
      <c r="T530" s="17"/>
      <c r="U530" s="17"/>
      <c r="V530" s="17"/>
      <c r="W530" s="17" t="s">
        <v>477</v>
      </c>
      <c r="X530" s="17" t="s">
        <v>13991</v>
      </c>
      <c r="Y530" t="s">
        <v>4559</v>
      </c>
      <c r="Z530" s="17" t="s">
        <v>13993</v>
      </c>
      <c r="AA530" s="17"/>
      <c r="AB530" t="str">
        <f t="shared" si="8"/>
        <v>GPR080510M</v>
      </c>
    </row>
    <row r="531" spans="1:28">
      <c r="A531" s="16" t="s">
        <v>8882</v>
      </c>
      <c r="B531" s="16" t="s">
        <v>8882</v>
      </c>
      <c r="C531" s="16" t="s">
        <v>8883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6410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8884</v>
      </c>
      <c r="B532" s="17" t="s">
        <v>8884</v>
      </c>
      <c r="C532" s="17" t="s">
        <v>8885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6410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8886</v>
      </c>
      <c r="B533" s="17" t="s">
        <v>8886</v>
      </c>
      <c r="C533" s="17" t="s">
        <v>8887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6410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8888</v>
      </c>
      <c r="B534" s="17" t="s">
        <v>8888</v>
      </c>
      <c r="C534" s="17" t="s">
        <v>8889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6410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8890</v>
      </c>
      <c r="B535" s="17" t="s">
        <v>8890</v>
      </c>
      <c r="C535" s="17" t="s">
        <v>8891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6410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8892</v>
      </c>
      <c r="B536" s="17" t="s">
        <v>8892</v>
      </c>
      <c r="C536" s="17" t="s">
        <v>8893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6410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8894</v>
      </c>
      <c r="B537" s="17" t="s">
        <v>8894</v>
      </c>
      <c r="C537" s="17" t="s">
        <v>8895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6410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8896</v>
      </c>
      <c r="B538" s="17" t="s">
        <v>8896</v>
      </c>
      <c r="C538" s="17" t="s">
        <v>8897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6410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8898</v>
      </c>
      <c r="B539" s="17" t="s">
        <v>8898</v>
      </c>
      <c r="C539" s="17" t="s">
        <v>8899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6410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8900</v>
      </c>
      <c r="B540" s="17" t="s">
        <v>8900</v>
      </c>
      <c r="C540" s="17" t="s">
        <v>8901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6410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8902</v>
      </c>
      <c r="B541" s="17" t="s">
        <v>8902</v>
      </c>
      <c r="C541" s="17" t="s">
        <v>8903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6410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8904</v>
      </c>
      <c r="B542" s="17" t="s">
        <v>8904</v>
      </c>
      <c r="C542" s="17" t="s">
        <v>8905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6410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8906</v>
      </c>
      <c r="B543" s="17" t="s">
        <v>8906</v>
      </c>
      <c r="C543" s="17" t="s">
        <v>8907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6410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8908</v>
      </c>
      <c r="B544" s="17" t="s">
        <v>8908</v>
      </c>
      <c r="C544" s="17" t="s">
        <v>8909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6410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8910</v>
      </c>
      <c r="B545" s="17" t="s">
        <v>8910</v>
      </c>
      <c r="C545" s="17" t="s">
        <v>8911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6410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8912</v>
      </c>
      <c r="B546" s="17" t="s">
        <v>8912</v>
      </c>
      <c r="C546" s="17" t="s">
        <v>8913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6410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8914</v>
      </c>
      <c r="B547" s="17" t="s">
        <v>8914</v>
      </c>
      <c r="C547" s="17" t="s">
        <v>8915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6410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8916</v>
      </c>
      <c r="B548" s="17" t="s">
        <v>8916</v>
      </c>
      <c r="C548" s="17" t="s">
        <v>8917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6410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8918</v>
      </c>
      <c r="B549" s="17" t="s">
        <v>8918</v>
      </c>
      <c r="C549" s="17" t="s">
        <v>8919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6410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8920</v>
      </c>
      <c r="B550" s="17" t="s">
        <v>8920</v>
      </c>
      <c r="C550" s="17" t="s">
        <v>8921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6410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8922</v>
      </c>
      <c r="B551" s="17" t="s">
        <v>8922</v>
      </c>
      <c r="C551" s="17" t="s">
        <v>8923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6410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8924</v>
      </c>
      <c r="B552" s="17" t="s">
        <v>8924</v>
      </c>
      <c r="C552" s="17" t="s">
        <v>8925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6410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8926</v>
      </c>
      <c r="B553" s="17" t="s">
        <v>8926</v>
      </c>
      <c r="C553" s="17" t="s">
        <v>8927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6410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8928</v>
      </c>
      <c r="B554" s="17" t="s">
        <v>8928</v>
      </c>
      <c r="C554" s="17" t="s">
        <v>8929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6410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8930</v>
      </c>
      <c r="B555" s="17" t="s">
        <v>8930</v>
      </c>
      <c r="C555" s="17" t="s">
        <v>8931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6410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8932</v>
      </c>
      <c r="B556" s="17" t="s">
        <v>8932</v>
      </c>
      <c r="C556" s="17" t="s">
        <v>8933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6410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8934</v>
      </c>
      <c r="B557" s="17" t="s">
        <v>8934</v>
      </c>
      <c r="C557" s="17" t="s">
        <v>8935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6410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8936</v>
      </c>
      <c r="B558" s="17" t="s">
        <v>8936</v>
      </c>
      <c r="C558" s="17" t="s">
        <v>8937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6410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8938</v>
      </c>
      <c r="B559" s="17" t="s">
        <v>8938</v>
      </c>
      <c r="C559" s="17" t="s">
        <v>8939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6410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6431</v>
      </c>
      <c r="B560" s="17" t="s">
        <v>6431</v>
      </c>
      <c r="C560" s="17" t="s">
        <v>8940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6410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8941</v>
      </c>
      <c r="B561" s="17" t="s">
        <v>8941</v>
      </c>
      <c r="C561" s="17" t="s">
        <v>8942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6410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8943</v>
      </c>
      <c r="B562" s="17" t="s">
        <v>8943</v>
      </c>
      <c r="C562" s="17" t="s">
        <v>8944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6410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8945</v>
      </c>
      <c r="B563" s="17" t="s">
        <v>8945</v>
      </c>
      <c r="C563" s="17" t="s">
        <v>8946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6410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8947</v>
      </c>
      <c r="B564" s="17" t="s">
        <v>8947</v>
      </c>
      <c r="C564" s="17" t="s">
        <v>8948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6410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8949</v>
      </c>
      <c r="B565" s="17" t="s">
        <v>8949</v>
      </c>
      <c r="C565" s="17" t="s">
        <v>8950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6410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8951</v>
      </c>
      <c r="B566" s="17" t="s">
        <v>8951</v>
      </c>
      <c r="C566" s="17" t="s">
        <v>8952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6410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8953</v>
      </c>
      <c r="B567" s="17" t="s">
        <v>8953</v>
      </c>
      <c r="C567" s="17" t="s">
        <v>8954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6410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8955</v>
      </c>
      <c r="B568" s="17" t="s">
        <v>8955</v>
      </c>
      <c r="C568" s="17" t="s">
        <v>8956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6410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8957</v>
      </c>
      <c r="B569" s="17" t="s">
        <v>8957</v>
      </c>
      <c r="C569" s="17" t="s">
        <v>8958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6410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8959</v>
      </c>
      <c r="B570" s="17" t="s">
        <v>8959</v>
      </c>
      <c r="C570" s="17" t="s">
        <v>8960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6410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8961</v>
      </c>
      <c r="B571" s="17" t="s">
        <v>8961</v>
      </c>
      <c r="C571" s="17" t="s">
        <v>8962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6410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8963</v>
      </c>
      <c r="B572" s="17" t="s">
        <v>8963</v>
      </c>
      <c r="C572" s="17" t="s">
        <v>8964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6410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8965</v>
      </c>
      <c r="B573" s="17" t="s">
        <v>8965</v>
      </c>
      <c r="C573" s="17" t="s">
        <v>8966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6410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8967</v>
      </c>
      <c r="B574" s="17" t="s">
        <v>8967</v>
      </c>
      <c r="C574" s="17" t="s">
        <v>8968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6410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8969</v>
      </c>
      <c r="B575" s="17" t="s">
        <v>8969</v>
      </c>
      <c r="C575" s="17" t="s">
        <v>8970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6410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8971</v>
      </c>
      <c r="B576" s="17" t="s">
        <v>8971</v>
      </c>
      <c r="C576" s="17" t="s">
        <v>8972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6410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8973</v>
      </c>
      <c r="B577" s="17" t="s">
        <v>8973</v>
      </c>
      <c r="C577" s="17" t="s">
        <v>8974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6410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8975</v>
      </c>
      <c r="B578" s="17" t="s">
        <v>8975</v>
      </c>
      <c r="C578" s="17" t="s">
        <v>8976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6410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8977</v>
      </c>
      <c r="B579" s="17" t="s">
        <v>8977</v>
      </c>
      <c r="C579" s="17" t="s">
        <v>8978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6410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8979</v>
      </c>
      <c r="B580" s="17" t="s">
        <v>8979</v>
      </c>
      <c r="C580" s="17" t="s">
        <v>8980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6410</v>
      </c>
      <c r="K580" s="17"/>
      <c r="L580" s="17"/>
      <c r="M580" s="21">
        <v>100</v>
      </c>
      <c r="N580" s="17" t="s">
        <v>13979</v>
      </c>
      <c r="O580" s="17" t="s">
        <v>477</v>
      </c>
      <c r="P580" s="17" t="s">
        <v>12640</v>
      </c>
      <c r="Q580" s="17" t="s">
        <v>25</v>
      </c>
      <c r="R580" s="17" t="s">
        <v>12641</v>
      </c>
      <c r="S580" s="17"/>
      <c r="T580" s="17"/>
      <c r="U580" s="17"/>
      <c r="V580" s="17"/>
      <c r="W580" s="17" t="s">
        <v>4729</v>
      </c>
      <c r="X580" s="8" t="s">
        <v>13473</v>
      </c>
      <c r="Y580" s="17" t="s">
        <v>4559</v>
      </c>
      <c r="Z580" s="8" t="s">
        <v>13472</v>
      </c>
      <c r="AA580" s="17"/>
      <c r="AB580" s="17"/>
    </row>
    <row r="581" spans="1:28">
      <c r="A581" s="17" t="s">
        <v>8981</v>
      </c>
      <c r="B581" s="17" t="s">
        <v>8981</v>
      </c>
      <c r="C581" s="17" t="s">
        <v>8982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6410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8983</v>
      </c>
      <c r="B582" s="17" t="s">
        <v>8983</v>
      </c>
      <c r="C582" s="17" t="s">
        <v>8984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6410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8985</v>
      </c>
      <c r="B583" s="17" t="s">
        <v>8985</v>
      </c>
      <c r="C583" s="17" t="s">
        <v>8986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6410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8987</v>
      </c>
      <c r="B584" s="17" t="s">
        <v>8987</v>
      </c>
      <c r="C584" s="17" t="s">
        <v>8988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6410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8989</v>
      </c>
      <c r="B585" s="17" t="s">
        <v>8989</v>
      </c>
      <c r="C585" s="17" t="s">
        <v>8990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6410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8991</v>
      </c>
      <c r="B586" s="17" t="s">
        <v>8991</v>
      </c>
      <c r="C586" s="17" t="s">
        <v>8992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6410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8993</v>
      </c>
      <c r="B587" s="17" t="s">
        <v>8993</v>
      </c>
      <c r="C587" s="17" t="s">
        <v>8994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6410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8995</v>
      </c>
      <c r="B588" s="17" t="s">
        <v>8995</v>
      </c>
      <c r="C588" s="17" t="s">
        <v>8996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6410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8997</v>
      </c>
      <c r="B589" s="17" t="s">
        <v>8997</v>
      </c>
      <c r="C589" s="17" t="s">
        <v>8998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6410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8999</v>
      </c>
      <c r="B590" s="17" t="s">
        <v>8999</v>
      </c>
      <c r="C590" s="17" t="s">
        <v>9000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6410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9001</v>
      </c>
      <c r="B591" s="17" t="s">
        <v>9001</v>
      </c>
      <c r="C591" s="17" t="s">
        <v>9002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6410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9003</v>
      </c>
      <c r="B592" s="17" t="s">
        <v>9003</v>
      </c>
      <c r="C592" s="17" t="s">
        <v>9004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6410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9005</v>
      </c>
      <c r="B593" s="17" t="s">
        <v>9005</v>
      </c>
      <c r="C593" s="17" t="s">
        <v>9006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6410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9007</v>
      </c>
      <c r="B594" s="17" t="s">
        <v>9007</v>
      </c>
      <c r="C594" s="17" t="s">
        <v>9008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6410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9009</v>
      </c>
      <c r="B595" s="17" t="s">
        <v>9009</v>
      </c>
      <c r="C595" s="17" t="s">
        <v>9010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6410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9011</v>
      </c>
      <c r="B596" s="17" t="s">
        <v>9011</v>
      </c>
      <c r="C596" s="17" t="s">
        <v>9012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6410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9013</v>
      </c>
      <c r="B597" s="17" t="s">
        <v>9013</v>
      </c>
      <c r="C597" s="17" t="s">
        <v>9014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6410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9015</v>
      </c>
      <c r="B598" s="17" t="s">
        <v>9015</v>
      </c>
      <c r="C598" s="17" t="s">
        <v>9016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6410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9017</v>
      </c>
      <c r="B599" s="17" t="s">
        <v>9017</v>
      </c>
      <c r="C599" s="17" t="s">
        <v>9018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6410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9019</v>
      </c>
      <c r="B600" s="17" t="s">
        <v>9019</v>
      </c>
      <c r="C600" s="17" t="s">
        <v>9020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6410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9021</v>
      </c>
      <c r="B601" s="17" t="s">
        <v>9021</v>
      </c>
      <c r="C601" s="17" t="s">
        <v>9022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6410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9023</v>
      </c>
      <c r="B602" s="17" t="s">
        <v>9023</v>
      </c>
      <c r="C602" s="17" t="s">
        <v>9024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6410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9025</v>
      </c>
      <c r="B603" s="17" t="s">
        <v>9025</v>
      </c>
      <c r="C603" s="17" t="s">
        <v>9026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6410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9027</v>
      </c>
      <c r="B604" s="17" t="s">
        <v>9027</v>
      </c>
      <c r="C604" s="17" t="s">
        <v>9028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6410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9029</v>
      </c>
      <c r="B605" s="17" t="s">
        <v>9029</v>
      </c>
      <c r="C605" s="17" t="s">
        <v>9030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6410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9031</v>
      </c>
      <c r="B606" s="17" t="s">
        <v>9031</v>
      </c>
      <c r="C606" s="17" t="s">
        <v>9032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6410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9033</v>
      </c>
      <c r="B607" s="17" t="s">
        <v>9033</v>
      </c>
      <c r="C607" s="17" t="s">
        <v>9034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6410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9035</v>
      </c>
      <c r="B608" s="17" t="s">
        <v>9035</v>
      </c>
      <c r="C608" s="17" t="s">
        <v>9036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6410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9037</v>
      </c>
      <c r="B609" s="17" t="s">
        <v>9037</v>
      </c>
      <c r="C609" s="17" t="s">
        <v>9038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6410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9039</v>
      </c>
      <c r="B610" s="17" t="s">
        <v>9039</v>
      </c>
      <c r="C610" s="17" t="s">
        <v>9040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6410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9041</v>
      </c>
      <c r="B611" s="17" t="s">
        <v>9041</v>
      </c>
      <c r="C611" s="17" t="s">
        <v>9042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6410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9043</v>
      </c>
      <c r="B612" s="17" t="s">
        <v>9043</v>
      </c>
      <c r="C612" s="17" t="s">
        <v>9044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6410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9045</v>
      </c>
      <c r="B613" s="17" t="s">
        <v>9045</v>
      </c>
      <c r="C613" s="17" t="s">
        <v>9046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6410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9047</v>
      </c>
      <c r="B614" s="17" t="s">
        <v>9047</v>
      </c>
      <c r="C614" s="17" t="s">
        <v>9048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6410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9049</v>
      </c>
      <c r="B615" s="17" t="s">
        <v>9049</v>
      </c>
      <c r="C615" s="17" t="s">
        <v>9050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6410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9051</v>
      </c>
      <c r="B616" s="17" t="s">
        <v>9051</v>
      </c>
      <c r="C616" s="17" t="s">
        <v>9052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6410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9053</v>
      </c>
      <c r="B617" s="17" t="s">
        <v>9053</v>
      </c>
      <c r="C617" s="17" t="s">
        <v>9054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6410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9055</v>
      </c>
      <c r="B618" s="17" t="s">
        <v>9055</v>
      </c>
      <c r="C618" s="17" t="s">
        <v>9056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6410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9057</v>
      </c>
      <c r="B619" s="17" t="s">
        <v>9057</v>
      </c>
      <c r="C619" s="17" t="s">
        <v>9058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6410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9059</v>
      </c>
      <c r="B620" s="17" t="s">
        <v>9059</v>
      </c>
      <c r="C620" s="17" t="s">
        <v>9060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6410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9061</v>
      </c>
      <c r="B621" s="17" t="s">
        <v>9061</v>
      </c>
      <c r="C621" s="17" t="s">
        <v>9062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6410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9063</v>
      </c>
      <c r="B622" s="17" t="s">
        <v>9063</v>
      </c>
      <c r="C622" s="17" t="s">
        <v>9064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6410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9065</v>
      </c>
      <c r="B623" s="17" t="s">
        <v>9065</v>
      </c>
      <c r="C623" s="17" t="s">
        <v>9066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6410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9067</v>
      </c>
      <c r="B624" s="17" t="s">
        <v>9067</v>
      </c>
      <c r="C624" s="17" t="s">
        <v>9068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6410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9069</v>
      </c>
      <c r="B625" s="17" t="s">
        <v>9069</v>
      </c>
      <c r="C625" s="17" t="s">
        <v>9070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6410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9071</v>
      </c>
      <c r="B626" s="17" t="s">
        <v>9071</v>
      </c>
      <c r="C626" s="17" t="s">
        <v>9072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6410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9073</v>
      </c>
      <c r="B627" s="17" t="s">
        <v>9073</v>
      </c>
      <c r="C627" s="17" t="s">
        <v>9074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6410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9075</v>
      </c>
      <c r="B628" s="17" t="s">
        <v>9075</v>
      </c>
      <c r="C628" s="17" t="s">
        <v>9076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6410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9077</v>
      </c>
      <c r="B629" s="17" t="s">
        <v>9077</v>
      </c>
      <c r="C629" s="17" t="s">
        <v>9078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6410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9079</v>
      </c>
      <c r="B630" s="17" t="s">
        <v>9079</v>
      </c>
      <c r="C630" s="17" t="s">
        <v>9080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6410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9081</v>
      </c>
      <c r="B631" s="17" t="s">
        <v>9081</v>
      </c>
      <c r="C631" s="17" t="s">
        <v>9082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6410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9083</v>
      </c>
      <c r="B632" s="17" t="s">
        <v>9083</v>
      </c>
      <c r="C632" s="17" t="s">
        <v>9084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6410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9085</v>
      </c>
      <c r="B633" s="17" t="s">
        <v>9085</v>
      </c>
      <c r="C633" s="17" t="s">
        <v>9086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6410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9087</v>
      </c>
      <c r="B634" s="17" t="s">
        <v>9087</v>
      </c>
      <c r="C634" s="17" t="s">
        <v>9088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6410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9089</v>
      </c>
      <c r="B635" s="17" t="s">
        <v>9089</v>
      </c>
      <c r="C635" s="17" t="s">
        <v>9090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6410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9091</v>
      </c>
      <c r="B636" s="17" t="s">
        <v>9091</v>
      </c>
      <c r="C636" s="17" t="s">
        <v>9092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6410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9093</v>
      </c>
      <c r="B637" s="17" t="s">
        <v>9093</v>
      </c>
      <c r="C637" s="17" t="s">
        <v>9094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6410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9095</v>
      </c>
      <c r="B638" s="17" t="s">
        <v>9095</v>
      </c>
      <c r="C638" s="17" t="s">
        <v>9096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6410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9097</v>
      </c>
      <c r="B639" s="17" t="s">
        <v>9097</v>
      </c>
      <c r="C639" s="17" t="s">
        <v>9098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6410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9099</v>
      </c>
      <c r="B640" s="17" t="s">
        <v>9099</v>
      </c>
      <c r="C640" s="17" t="s">
        <v>9100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6410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9101</v>
      </c>
      <c r="B641" s="17" t="s">
        <v>9101</v>
      </c>
      <c r="C641" s="17" t="s">
        <v>9102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6410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9103</v>
      </c>
      <c r="B642" s="17" t="s">
        <v>9103</v>
      </c>
      <c r="C642" s="17" t="s">
        <v>9104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6410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9105</v>
      </c>
      <c r="B643" s="17" t="s">
        <v>9105</v>
      </c>
      <c r="C643" s="17" t="s">
        <v>9106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6410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9107</v>
      </c>
      <c r="B644" s="17" t="s">
        <v>9107</v>
      </c>
      <c r="C644" s="17" t="s">
        <v>9108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6410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9109</v>
      </c>
      <c r="B645" s="17" t="s">
        <v>9109</v>
      </c>
      <c r="C645" s="17" t="s">
        <v>9110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6410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9111</v>
      </c>
      <c r="B646" s="17" t="s">
        <v>9111</v>
      </c>
      <c r="C646" s="17" t="s">
        <v>9112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6410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9113</v>
      </c>
      <c r="B647" s="17" t="s">
        <v>9113</v>
      </c>
      <c r="C647" s="17" t="s">
        <v>9114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6410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9115</v>
      </c>
      <c r="B648" s="17" t="s">
        <v>9115</v>
      </c>
      <c r="C648" s="17" t="s">
        <v>9116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6410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9117</v>
      </c>
      <c r="B649" s="17" t="s">
        <v>9117</v>
      </c>
      <c r="C649" s="17" t="s">
        <v>9118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6410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9119</v>
      </c>
      <c r="B650" s="17" t="s">
        <v>9119</v>
      </c>
      <c r="C650" s="17" t="s">
        <v>9120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6410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9121</v>
      </c>
      <c r="B651" s="17" t="s">
        <v>9121</v>
      </c>
      <c r="C651" s="17" t="s">
        <v>9122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6410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9123</v>
      </c>
      <c r="B652" s="17" t="s">
        <v>9123</v>
      </c>
      <c r="C652" s="17" t="s">
        <v>9124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6410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9125</v>
      </c>
      <c r="B653" s="17" t="s">
        <v>9125</v>
      </c>
      <c r="C653" s="17" t="s">
        <v>9126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6410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9127</v>
      </c>
      <c r="B654" s="17" t="s">
        <v>9127</v>
      </c>
      <c r="C654" s="17" t="s">
        <v>9128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6410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9129</v>
      </c>
      <c r="B655" s="17" t="s">
        <v>9129</v>
      </c>
      <c r="C655" s="17" t="s">
        <v>9130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6410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9131</v>
      </c>
      <c r="B656" s="17" t="s">
        <v>9131</v>
      </c>
      <c r="C656" s="17" t="s">
        <v>9132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6410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9133</v>
      </c>
      <c r="B657" s="17" t="s">
        <v>9133</v>
      </c>
      <c r="C657" s="17" t="s">
        <v>9134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6410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9135</v>
      </c>
      <c r="B658" s="17" t="s">
        <v>9135</v>
      </c>
      <c r="C658" s="17" t="s">
        <v>9136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6410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9137</v>
      </c>
      <c r="B659" s="17" t="s">
        <v>9137</v>
      </c>
      <c r="C659" s="17" t="s">
        <v>9138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6410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9139</v>
      </c>
      <c r="B660" s="17" t="s">
        <v>9139</v>
      </c>
      <c r="C660" s="17" t="s">
        <v>9140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6410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9141</v>
      </c>
      <c r="B661" s="17" t="s">
        <v>9141</v>
      </c>
      <c r="C661" s="17" t="s">
        <v>9142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6410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9143</v>
      </c>
      <c r="B662" s="17" t="s">
        <v>9143</v>
      </c>
      <c r="C662" s="17" t="s">
        <v>9144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6410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9145</v>
      </c>
      <c r="B663" s="17" t="s">
        <v>9145</v>
      </c>
      <c r="C663" s="17" t="s">
        <v>9146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6410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7805</v>
      </c>
      <c r="B664" s="17" t="s">
        <v>7805</v>
      </c>
      <c r="C664" s="16" t="s">
        <v>7806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6410</v>
      </c>
      <c r="K664" s="16"/>
      <c r="L664" s="16"/>
      <c r="M664" s="21">
        <v>330000</v>
      </c>
      <c r="N664" s="17" t="s">
        <v>13979</v>
      </c>
      <c r="O664" s="16" t="s">
        <v>477</v>
      </c>
      <c r="P664" s="17" t="s">
        <v>7807</v>
      </c>
      <c r="Q664" s="16" t="s">
        <v>25</v>
      </c>
      <c r="R664" s="17" t="s">
        <v>7808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9147</v>
      </c>
      <c r="B665" s="17" t="s">
        <v>9147</v>
      </c>
      <c r="C665" s="17" t="s">
        <v>9148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6410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9149</v>
      </c>
      <c r="B666" s="17" t="s">
        <v>9149</v>
      </c>
      <c r="C666" s="17" t="s">
        <v>9150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6410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9151</v>
      </c>
      <c r="B667" s="17" t="s">
        <v>9151</v>
      </c>
      <c r="C667" s="17" t="s">
        <v>9152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6410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9153</v>
      </c>
      <c r="B668" s="17" t="s">
        <v>9153</v>
      </c>
      <c r="C668" s="17" t="s">
        <v>9154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6410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9155</v>
      </c>
      <c r="B669" s="17" t="s">
        <v>9155</v>
      </c>
      <c r="C669" s="17" t="s">
        <v>9156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6410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9157</v>
      </c>
      <c r="B670" s="17" t="s">
        <v>9157</v>
      </c>
      <c r="C670" s="17" t="s">
        <v>9158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6410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9159</v>
      </c>
      <c r="B671" s="17" t="s">
        <v>9159</v>
      </c>
      <c r="C671" s="17" t="s">
        <v>9160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6410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9161</v>
      </c>
      <c r="B672" s="17" t="s">
        <v>9161</v>
      </c>
      <c r="C672" s="17" t="s">
        <v>9162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6410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9163</v>
      </c>
      <c r="B673" s="17" t="s">
        <v>9163</v>
      </c>
      <c r="C673" s="17" t="s">
        <v>9164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6410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9165</v>
      </c>
      <c r="B674" s="17" t="s">
        <v>9165</v>
      </c>
      <c r="C674" s="17" t="s">
        <v>9166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6410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9167</v>
      </c>
      <c r="B675" s="17" t="s">
        <v>9167</v>
      </c>
      <c r="C675" s="17" t="s">
        <v>9168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6410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9169</v>
      </c>
      <c r="B676" s="17" t="s">
        <v>9169</v>
      </c>
      <c r="C676" s="17" t="s">
        <v>9170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6410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16739</v>
      </c>
      <c r="B677" t="s">
        <v>16739</v>
      </c>
      <c r="C677" t="s">
        <v>16740</v>
      </c>
      <c r="D677" t="s">
        <v>21</v>
      </c>
      <c r="E677" s="24" t="s">
        <v>6762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6410</v>
      </c>
      <c r="K677" s="17"/>
      <c r="L677" s="17"/>
      <c r="M677" s="21">
        <v>1000000</v>
      </c>
      <c r="N677" s="17" t="s">
        <v>13980</v>
      </c>
      <c r="O677" s="17" t="s">
        <v>477</v>
      </c>
      <c r="P677" s="17" t="s">
        <v>16741</v>
      </c>
      <c r="Q677" t="s">
        <v>25</v>
      </c>
      <c r="R677" s="17" t="s">
        <v>16742</v>
      </c>
      <c r="S677" s="17"/>
      <c r="T677" s="17"/>
      <c r="U677" s="17"/>
      <c r="V677" s="17"/>
      <c r="W677" s="17" t="s">
        <v>477</v>
      </c>
      <c r="X677" s="17" t="s">
        <v>16741</v>
      </c>
      <c r="Y677" s="17" t="s">
        <v>4559</v>
      </c>
      <c r="Z677" s="17" t="s">
        <v>16743</v>
      </c>
      <c r="AA677" t="s">
        <v>4727</v>
      </c>
      <c r="AB677" s="17"/>
    </row>
    <row r="678" spans="1:28">
      <c r="A678" s="17" t="s">
        <v>9171</v>
      </c>
      <c r="B678" s="17" t="s">
        <v>9171</v>
      </c>
      <c r="C678" s="17" t="s">
        <v>9172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6410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9173</v>
      </c>
      <c r="B679" s="17" t="s">
        <v>9173</v>
      </c>
      <c r="C679" s="17" t="s">
        <v>9174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6410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9175</v>
      </c>
      <c r="B680" s="17" t="s">
        <v>9175</v>
      </c>
      <c r="C680" s="17" t="s">
        <v>9176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6410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9177</v>
      </c>
      <c r="B681" s="17" t="s">
        <v>9177</v>
      </c>
      <c r="C681" s="17" t="s">
        <v>9178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6410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9179</v>
      </c>
      <c r="B682" s="17" t="s">
        <v>9179</v>
      </c>
      <c r="C682" s="17" t="s">
        <v>9180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6410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9181</v>
      </c>
      <c r="B683" s="17" t="s">
        <v>9181</v>
      </c>
      <c r="C683" s="17" t="s">
        <v>9182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6410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9183</v>
      </c>
      <c r="B684" s="17" t="s">
        <v>9183</v>
      </c>
      <c r="C684" s="17" t="s">
        <v>9184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6410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9185</v>
      </c>
      <c r="B685" s="17" t="s">
        <v>9185</v>
      </c>
      <c r="C685" s="17" t="s">
        <v>9186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6410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9187</v>
      </c>
      <c r="B686" s="17" t="s">
        <v>9187</v>
      </c>
      <c r="C686" s="17" t="s">
        <v>9188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6410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9189</v>
      </c>
      <c r="B687" s="17" t="s">
        <v>9189</v>
      </c>
      <c r="C687" s="17" t="s">
        <v>9190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6410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9191</v>
      </c>
      <c r="B688" s="17" t="s">
        <v>9191</v>
      </c>
      <c r="C688" s="17" t="s">
        <v>9192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6410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9193</v>
      </c>
      <c r="B689" s="17" t="s">
        <v>9193</v>
      </c>
      <c r="C689" s="17" t="s">
        <v>9194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6410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9195</v>
      </c>
      <c r="B690" s="17" t="s">
        <v>9195</v>
      </c>
      <c r="C690" s="17" t="s">
        <v>9196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6410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9197</v>
      </c>
      <c r="B691" s="17" t="s">
        <v>9197</v>
      </c>
      <c r="C691" s="17" t="s">
        <v>9198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6410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9199</v>
      </c>
      <c r="B692" s="17" t="s">
        <v>9199</v>
      </c>
      <c r="C692" s="17" t="s">
        <v>9200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6410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9201</v>
      </c>
      <c r="B693" s="17" t="s">
        <v>9201</v>
      </c>
      <c r="C693" s="17" t="s">
        <v>9202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6410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9203</v>
      </c>
      <c r="B694" s="17" t="s">
        <v>9203</v>
      </c>
      <c r="C694" s="17" t="s">
        <v>9204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6410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9205</v>
      </c>
      <c r="B695" s="17" t="s">
        <v>9205</v>
      </c>
      <c r="C695" s="17" t="s">
        <v>9206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6410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9207</v>
      </c>
      <c r="B696" s="17" t="s">
        <v>9207</v>
      </c>
      <c r="C696" s="17" t="s">
        <v>9208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6410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9209</v>
      </c>
      <c r="B697" s="17" t="s">
        <v>9209</v>
      </c>
      <c r="C697" s="17" t="s">
        <v>9210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6410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9211</v>
      </c>
      <c r="B698" s="17" t="s">
        <v>9211</v>
      </c>
      <c r="C698" s="17" t="s">
        <v>9212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6410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9213</v>
      </c>
      <c r="B699" s="17" t="s">
        <v>9213</v>
      </c>
      <c r="C699" s="17" t="s">
        <v>9214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6410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9215</v>
      </c>
      <c r="B700" s="17" t="s">
        <v>9215</v>
      </c>
      <c r="C700" s="17" t="s">
        <v>9216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6410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9217</v>
      </c>
      <c r="B701" s="17" t="s">
        <v>9217</v>
      </c>
      <c r="C701" s="17" t="s">
        <v>9218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6410</v>
      </c>
      <c r="K701" s="17"/>
      <c r="L701" s="17"/>
      <c r="M701" s="21">
        <v>10000000</v>
      </c>
      <c r="N701" s="17" t="s">
        <v>13979</v>
      </c>
      <c r="O701" s="17" t="s">
        <v>477</v>
      </c>
      <c r="P701" s="17" t="s">
        <v>13981</v>
      </c>
      <c r="Q701" t="s">
        <v>25</v>
      </c>
      <c r="R701" s="17" t="s">
        <v>13982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13978</v>
      </c>
      <c r="B702" s="17" t="s">
        <v>13978</v>
      </c>
      <c r="C702" s="17" t="s">
        <v>13989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6410</v>
      </c>
      <c r="K702" s="17"/>
      <c r="L702" s="17"/>
      <c r="M702" s="21">
        <v>10000000</v>
      </c>
      <c r="N702" s="17" t="s">
        <v>13980</v>
      </c>
      <c r="O702" s="17" t="s">
        <v>477</v>
      </c>
      <c r="P702" s="17" t="s">
        <v>13983</v>
      </c>
      <c r="Q702" t="s">
        <v>25</v>
      </c>
      <c r="R702" s="17" t="s">
        <v>13984</v>
      </c>
      <c r="S702" s="17"/>
      <c r="T702" s="17"/>
      <c r="U702" s="17"/>
      <c r="V702" s="17"/>
      <c r="W702" s="17" t="s">
        <v>477</v>
      </c>
      <c r="X702" s="17" t="s">
        <v>13983</v>
      </c>
      <c r="Y702" s="17" t="s">
        <v>4559</v>
      </c>
      <c r="Z702" s="17" t="s">
        <v>13985</v>
      </c>
      <c r="AA702" t="s">
        <v>4727</v>
      </c>
      <c r="AB702" s="17"/>
    </row>
    <row r="703" spans="1:28">
      <c r="A703" s="16" t="s">
        <v>9219</v>
      </c>
      <c r="B703" s="16" t="s">
        <v>9219</v>
      </c>
      <c r="C703" s="16" t="s">
        <v>9220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12473</v>
      </c>
      <c r="K703" s="17"/>
      <c r="L703" s="17"/>
      <c r="M703" s="19">
        <v>0</v>
      </c>
      <c r="N703" s="17" t="s">
        <v>13979</v>
      </c>
      <c r="O703" s="17" t="s">
        <v>477</v>
      </c>
      <c r="P703" s="17" t="s">
        <v>12486</v>
      </c>
      <c r="Q703" s="16" t="s">
        <v>25</v>
      </c>
      <c r="R703" s="17" t="s">
        <v>12487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9221</v>
      </c>
      <c r="B704" s="17" t="s">
        <v>9221</v>
      </c>
      <c r="C704" s="17" t="s">
        <v>9222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12473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9223</v>
      </c>
      <c r="B705" s="17" t="s">
        <v>9223</v>
      </c>
      <c r="C705" s="17" t="s">
        <v>9224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12473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9225</v>
      </c>
      <c r="B706" s="17" t="s">
        <v>9225</v>
      </c>
      <c r="C706" s="17" t="s">
        <v>9226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12473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9227</v>
      </c>
      <c r="B707" s="17" t="s">
        <v>9227</v>
      </c>
      <c r="C707" s="17" t="s">
        <v>9228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12473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9229</v>
      </c>
      <c r="B708" s="17" t="s">
        <v>9229</v>
      </c>
      <c r="C708" s="17" t="s">
        <v>9230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12473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9231</v>
      </c>
      <c r="B709" s="17" t="s">
        <v>9231</v>
      </c>
      <c r="C709" s="17" t="s">
        <v>9232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12473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9233</v>
      </c>
      <c r="B710" s="17" t="s">
        <v>9233</v>
      </c>
      <c r="C710" s="17" t="s">
        <v>9234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12473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9235</v>
      </c>
      <c r="B711" s="17" t="s">
        <v>9235</v>
      </c>
      <c r="C711" s="17" t="s">
        <v>9236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12473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9237</v>
      </c>
      <c r="B712" s="17" t="s">
        <v>9237</v>
      </c>
      <c r="C712" s="17" t="s">
        <v>9238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12473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9239</v>
      </c>
      <c r="B713" s="17" t="s">
        <v>9239</v>
      </c>
      <c r="C713" s="17" t="s">
        <v>9240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12473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9241</v>
      </c>
      <c r="B714" s="17" t="s">
        <v>9241</v>
      </c>
      <c r="C714" s="17" t="s">
        <v>9242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12473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9243</v>
      </c>
      <c r="B715" s="17" t="s">
        <v>9243</v>
      </c>
      <c r="C715" s="17" t="s">
        <v>9244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12473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9245</v>
      </c>
      <c r="B716" s="17" t="s">
        <v>9245</v>
      </c>
      <c r="C716" s="17" t="s">
        <v>9246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12473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9247</v>
      </c>
      <c r="B717" s="17" t="s">
        <v>9247</v>
      </c>
      <c r="C717" s="17" t="s">
        <v>9248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12473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9249</v>
      </c>
      <c r="B718" s="17" t="s">
        <v>9249</v>
      </c>
      <c r="C718" s="17" t="s">
        <v>9250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12473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9251</v>
      </c>
      <c r="B719" s="17" t="s">
        <v>9251</v>
      </c>
      <c r="C719" s="17" t="s">
        <v>9252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12473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9253</v>
      </c>
      <c r="B720" s="17" t="s">
        <v>9253</v>
      </c>
      <c r="C720" s="17" t="s">
        <v>9254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12473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9255</v>
      </c>
      <c r="B721" s="17" t="s">
        <v>9255</v>
      </c>
      <c r="C721" s="17" t="s">
        <v>9256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12473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9257</v>
      </c>
      <c r="B722" s="17" t="s">
        <v>9257</v>
      </c>
      <c r="C722" s="17" t="s">
        <v>9258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12473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9259</v>
      </c>
      <c r="B723" s="17" t="s">
        <v>9259</v>
      </c>
      <c r="C723" s="17" t="s">
        <v>9260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12473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9261</v>
      </c>
      <c r="B724" s="17" t="s">
        <v>9261</v>
      </c>
      <c r="C724" s="17" t="s">
        <v>9262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12473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9263</v>
      </c>
      <c r="B725" s="17" t="s">
        <v>9263</v>
      </c>
      <c r="C725" s="17" t="s">
        <v>9264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12473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9265</v>
      </c>
      <c r="B726" s="17" t="s">
        <v>9265</v>
      </c>
      <c r="C726" s="17" t="s">
        <v>9266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12473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9267</v>
      </c>
      <c r="B727" s="17" t="s">
        <v>9267</v>
      </c>
      <c r="C727" s="17" t="s">
        <v>9268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12473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9269</v>
      </c>
      <c r="B728" s="17" t="s">
        <v>9269</v>
      </c>
      <c r="C728" s="17" t="s">
        <v>9270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12473</v>
      </c>
      <c r="K728" s="17"/>
      <c r="L728" s="17"/>
      <c r="M728" s="21">
        <v>10</v>
      </c>
      <c r="N728" s="17" t="s">
        <v>13979</v>
      </c>
      <c r="O728" s="17" t="s">
        <v>477</v>
      </c>
      <c r="P728" s="17" t="s">
        <v>12484</v>
      </c>
      <c r="Q728" t="s">
        <v>25</v>
      </c>
      <c r="R728" s="17" t="s">
        <v>12485</v>
      </c>
      <c r="S728" s="17"/>
      <c r="T728" s="17"/>
      <c r="U728" s="17"/>
      <c r="V728" s="17"/>
      <c r="W728" s="8" t="s">
        <v>6379</v>
      </c>
      <c r="X728" s="8" t="s">
        <v>13478</v>
      </c>
      <c r="Y728" s="8" t="s">
        <v>4559</v>
      </c>
      <c r="Z728" s="8" t="s">
        <v>13479</v>
      </c>
      <c r="AA728" s="17"/>
      <c r="AB728" s="17"/>
    </row>
    <row r="729" spans="1:28">
      <c r="A729" s="17" t="s">
        <v>9271</v>
      </c>
      <c r="B729" s="17" t="s">
        <v>9271</v>
      </c>
      <c r="C729" s="17" t="s">
        <v>9272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12473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9273</v>
      </c>
      <c r="B730" s="17" t="s">
        <v>9273</v>
      </c>
      <c r="C730" s="17" t="s">
        <v>9274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12473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9275</v>
      </c>
      <c r="B731" s="17" t="s">
        <v>9275</v>
      </c>
      <c r="C731" s="17" t="s">
        <v>9276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12473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9277</v>
      </c>
      <c r="B732" s="17" t="s">
        <v>9277</v>
      </c>
      <c r="C732" s="17" t="s">
        <v>9278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12473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9279</v>
      </c>
      <c r="B733" s="17" t="s">
        <v>9279</v>
      </c>
      <c r="C733" s="17" t="s">
        <v>9280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12473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9281</v>
      </c>
      <c r="B734" s="17" t="s">
        <v>9281</v>
      </c>
      <c r="C734" s="17" t="s">
        <v>9282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12473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9283</v>
      </c>
      <c r="B735" s="17" t="s">
        <v>9283</v>
      </c>
      <c r="C735" s="17" t="s">
        <v>9284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12473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9285</v>
      </c>
      <c r="B736" s="17" t="s">
        <v>9285</v>
      </c>
      <c r="C736" s="17" t="s">
        <v>9286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12473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9287</v>
      </c>
      <c r="B737" s="17" t="s">
        <v>9287</v>
      </c>
      <c r="C737" s="17" t="s">
        <v>9288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12473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9289</v>
      </c>
      <c r="B738" s="17" t="s">
        <v>9289</v>
      </c>
      <c r="C738" s="17" t="s">
        <v>9290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12473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9291</v>
      </c>
      <c r="B739" s="17" t="s">
        <v>9291</v>
      </c>
      <c r="C739" s="17" t="s">
        <v>9292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12473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9293</v>
      </c>
      <c r="B740" s="17" t="s">
        <v>9293</v>
      </c>
      <c r="C740" s="17" t="s">
        <v>9294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12473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9295</v>
      </c>
      <c r="B741" s="17" t="s">
        <v>9295</v>
      </c>
      <c r="C741" s="17" t="s">
        <v>9296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12473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9297</v>
      </c>
      <c r="B742" s="17" t="s">
        <v>9297</v>
      </c>
      <c r="C742" s="17" t="s">
        <v>9298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12473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9299</v>
      </c>
      <c r="B743" s="17" t="s">
        <v>9299</v>
      </c>
      <c r="C743" s="17" t="s">
        <v>9300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12473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9301</v>
      </c>
      <c r="B744" s="17" t="s">
        <v>9301</v>
      </c>
      <c r="C744" s="17" t="s">
        <v>9302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12473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9303</v>
      </c>
      <c r="B745" s="17" t="s">
        <v>9303</v>
      </c>
      <c r="C745" s="17" t="s">
        <v>9304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12473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9305</v>
      </c>
      <c r="B746" s="17" t="s">
        <v>9305</v>
      </c>
      <c r="C746" s="17" t="s">
        <v>9306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12473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9307</v>
      </c>
      <c r="B747" s="17" t="s">
        <v>9307</v>
      </c>
      <c r="C747" s="17" t="s">
        <v>9308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12473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9309</v>
      </c>
      <c r="B748" s="17" t="s">
        <v>9309</v>
      </c>
      <c r="C748" s="17" t="s">
        <v>9310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12473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9311</v>
      </c>
      <c r="B749" s="17" t="s">
        <v>9311</v>
      </c>
      <c r="C749" s="17" t="s">
        <v>9312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12473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9313</v>
      </c>
      <c r="B750" s="17" t="s">
        <v>9313</v>
      </c>
      <c r="C750" s="17" t="s">
        <v>9314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12473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9315</v>
      </c>
      <c r="B751" s="17" t="s">
        <v>9315</v>
      </c>
      <c r="C751" s="17" t="s">
        <v>9316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12473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9317</v>
      </c>
      <c r="B752" s="17" t="s">
        <v>9317</v>
      </c>
      <c r="C752" s="17" t="s">
        <v>9318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12473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9319</v>
      </c>
      <c r="B753" s="17" t="s">
        <v>9319</v>
      </c>
      <c r="C753" s="17" t="s">
        <v>9320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12473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9321</v>
      </c>
      <c r="B754" s="17" t="s">
        <v>9321</v>
      </c>
      <c r="C754" s="17" t="s">
        <v>9322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12473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9323</v>
      </c>
      <c r="B755" s="17" t="s">
        <v>9323</v>
      </c>
      <c r="C755" s="17" t="s">
        <v>9324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12473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9325</v>
      </c>
      <c r="B756" s="17" t="s">
        <v>9325</v>
      </c>
      <c r="C756" s="17" t="s">
        <v>9326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12473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9327</v>
      </c>
      <c r="B757" s="17" t="s">
        <v>9327</v>
      </c>
      <c r="C757" s="17" t="s">
        <v>9328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12473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9329</v>
      </c>
      <c r="B758" s="17" t="s">
        <v>9329</v>
      </c>
      <c r="C758" s="17" t="s">
        <v>9330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12473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9331</v>
      </c>
      <c r="B759" s="17" t="s">
        <v>9331</v>
      </c>
      <c r="C759" s="17" t="s">
        <v>9332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12473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9333</v>
      </c>
      <c r="B760" s="17" t="s">
        <v>9333</v>
      </c>
      <c r="C760" s="17" t="s">
        <v>9334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12473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9335</v>
      </c>
      <c r="B761" s="17" t="s">
        <v>9335</v>
      </c>
      <c r="C761" s="17" t="s">
        <v>9336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12473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9337</v>
      </c>
      <c r="B762" s="17" t="s">
        <v>9337</v>
      </c>
      <c r="C762" s="17" t="s">
        <v>9338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12473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9339</v>
      </c>
      <c r="B763" s="17" t="s">
        <v>9339</v>
      </c>
      <c r="C763" s="17" t="s">
        <v>9340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12473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9341</v>
      </c>
      <c r="B764" s="17" t="s">
        <v>9341</v>
      </c>
      <c r="C764" s="17" t="s">
        <v>9342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12473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9343</v>
      </c>
      <c r="B765" s="17" t="s">
        <v>9343</v>
      </c>
      <c r="C765" s="17" t="s">
        <v>9344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12473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9345</v>
      </c>
      <c r="B766" s="17" t="s">
        <v>9345</v>
      </c>
      <c r="C766" s="17" t="s">
        <v>9346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12473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9347</v>
      </c>
      <c r="B767" s="17" t="s">
        <v>9347</v>
      </c>
      <c r="C767" s="17" t="s">
        <v>9348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12473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9349</v>
      </c>
      <c r="B768" s="17" t="s">
        <v>9349</v>
      </c>
      <c r="C768" s="17" t="s">
        <v>9350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12473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9351</v>
      </c>
      <c r="B769" s="17" t="s">
        <v>9351</v>
      </c>
      <c r="C769" s="17" t="s">
        <v>9352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12473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9353</v>
      </c>
      <c r="B770" s="17" t="s">
        <v>9353</v>
      </c>
      <c r="C770" s="17" t="s">
        <v>9354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12473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9355</v>
      </c>
      <c r="B771" s="17" t="s">
        <v>9355</v>
      </c>
      <c r="C771" s="17" t="s">
        <v>9356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12473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9357</v>
      </c>
      <c r="B772" s="17" t="s">
        <v>9357</v>
      </c>
      <c r="C772" s="17" t="s">
        <v>9358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12473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9359</v>
      </c>
      <c r="B773" s="17" t="s">
        <v>9359</v>
      </c>
      <c r="C773" s="17" t="s">
        <v>9360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12473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9361</v>
      </c>
      <c r="B774" s="17" t="s">
        <v>9361</v>
      </c>
      <c r="C774" s="17" t="s">
        <v>9362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12473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9363</v>
      </c>
      <c r="B775" s="17" t="s">
        <v>9363</v>
      </c>
      <c r="C775" s="17" t="s">
        <v>9364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12473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9365</v>
      </c>
      <c r="B776" s="17" t="s">
        <v>9365</v>
      </c>
      <c r="C776" s="17" t="s">
        <v>9366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12473</v>
      </c>
      <c r="K776" s="17"/>
      <c r="L776" s="17"/>
      <c r="M776" s="21">
        <v>1000</v>
      </c>
      <c r="N776" s="17" t="s">
        <v>13979</v>
      </c>
      <c r="O776" s="17" t="s">
        <v>477</v>
      </c>
      <c r="P776" s="17" t="s">
        <v>12482</v>
      </c>
      <c r="Q776" t="s">
        <v>25</v>
      </c>
      <c r="R776" s="17" t="s">
        <v>12483</v>
      </c>
      <c r="S776" s="17"/>
      <c r="T776" s="17"/>
      <c r="U776" s="17"/>
      <c r="V776" s="17"/>
      <c r="W776" s="8" t="s">
        <v>477</v>
      </c>
      <c r="X776" s="42" t="s">
        <v>12482</v>
      </c>
      <c r="Y776" s="17" t="s">
        <v>4559</v>
      </c>
      <c r="Z776" s="8" t="s">
        <v>13482</v>
      </c>
      <c r="AA776" s="17"/>
      <c r="AB776" s="17"/>
    </row>
    <row r="777" spans="1:28">
      <c r="A777" s="17" t="s">
        <v>9367</v>
      </c>
      <c r="B777" s="17" t="s">
        <v>9367</v>
      </c>
      <c r="C777" s="17" t="s">
        <v>9368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12473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9369</v>
      </c>
      <c r="B778" s="17" t="s">
        <v>9369</v>
      </c>
      <c r="C778" s="17" t="s">
        <v>9370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12473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9371</v>
      </c>
      <c r="B779" s="17" t="s">
        <v>9371</v>
      </c>
      <c r="C779" s="17" t="s">
        <v>9372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12473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9373</v>
      </c>
      <c r="B780" s="17" t="s">
        <v>9373</v>
      </c>
      <c r="C780" s="17" t="s">
        <v>9374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12473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9375</v>
      </c>
      <c r="B781" s="17" t="s">
        <v>9375</v>
      </c>
      <c r="C781" s="17" t="s">
        <v>9376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12473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9377</v>
      </c>
      <c r="B782" s="17" t="s">
        <v>9377</v>
      </c>
      <c r="C782" s="17" t="s">
        <v>9378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12473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9379</v>
      </c>
      <c r="B783" s="17" t="s">
        <v>9379</v>
      </c>
      <c r="C783" s="17" t="s">
        <v>9380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12473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9381</v>
      </c>
      <c r="B784" s="17" t="s">
        <v>9381</v>
      </c>
      <c r="C784" s="17" t="s">
        <v>9382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12473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9383</v>
      </c>
      <c r="B785" s="17" t="s">
        <v>9383</v>
      </c>
      <c r="C785" s="17" t="s">
        <v>9384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12473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9385</v>
      </c>
      <c r="B786" s="17" t="s">
        <v>9385</v>
      </c>
      <c r="C786" s="17" t="s">
        <v>9386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12473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9387</v>
      </c>
      <c r="B787" s="17" t="s">
        <v>9387</v>
      </c>
      <c r="C787" s="17" t="s">
        <v>9388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12473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9389</v>
      </c>
      <c r="B788" s="17" t="s">
        <v>9389</v>
      </c>
      <c r="C788" s="17" t="s">
        <v>9390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12473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9391</v>
      </c>
      <c r="B789" s="17" t="s">
        <v>9391</v>
      </c>
      <c r="C789" s="17" t="s">
        <v>9392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12473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9393</v>
      </c>
      <c r="B790" s="17" t="s">
        <v>9393</v>
      </c>
      <c r="C790" s="17" t="s">
        <v>9394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12473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9395</v>
      </c>
      <c r="B791" s="17" t="s">
        <v>9395</v>
      </c>
      <c r="C791" s="17" t="s">
        <v>9396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12473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9397</v>
      </c>
      <c r="B792" s="17" t="s">
        <v>9397</v>
      </c>
      <c r="C792" s="17" t="s">
        <v>9398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12473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9399</v>
      </c>
      <c r="B793" s="17" t="s">
        <v>9399</v>
      </c>
      <c r="C793" s="17" t="s">
        <v>9400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12473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9401</v>
      </c>
      <c r="B794" s="17" t="s">
        <v>9401</v>
      </c>
      <c r="C794" s="17" t="s">
        <v>9402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12473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9403</v>
      </c>
      <c r="B795" s="17" t="s">
        <v>9403</v>
      </c>
      <c r="C795" s="17" t="s">
        <v>9404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12473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9405</v>
      </c>
      <c r="B796" s="17" t="s">
        <v>9405</v>
      </c>
      <c r="C796" s="17" t="s">
        <v>9406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12473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9407</v>
      </c>
      <c r="B797" s="17" t="s">
        <v>9407</v>
      </c>
      <c r="C797" s="17" t="s">
        <v>9408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12473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9409</v>
      </c>
      <c r="B798" s="17" t="s">
        <v>9409</v>
      </c>
      <c r="C798" s="17" t="s">
        <v>9410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12473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9411</v>
      </c>
      <c r="B799" s="17" t="s">
        <v>9411</v>
      </c>
      <c r="C799" s="17" t="s">
        <v>9412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12473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9413</v>
      </c>
      <c r="B800" s="17" t="s">
        <v>9413</v>
      </c>
      <c r="C800" s="17" t="s">
        <v>9414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12473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9415</v>
      </c>
      <c r="B801" s="17" t="s">
        <v>9415</v>
      </c>
      <c r="C801" s="17" t="s">
        <v>9416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12473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9417</v>
      </c>
      <c r="B802" s="17" t="s">
        <v>9417</v>
      </c>
      <c r="C802" s="17" t="s">
        <v>9418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12473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9419</v>
      </c>
      <c r="B803" s="17" t="s">
        <v>9419</v>
      </c>
      <c r="C803" s="17" t="s">
        <v>9420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12473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9421</v>
      </c>
      <c r="B804" s="17" t="s">
        <v>9421</v>
      </c>
      <c r="C804" s="17" t="s">
        <v>9422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12473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9423</v>
      </c>
      <c r="B805" s="17" t="s">
        <v>9423</v>
      </c>
      <c r="C805" s="17" t="s">
        <v>9424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12473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9425</v>
      </c>
      <c r="B806" s="17" t="s">
        <v>9425</v>
      </c>
      <c r="C806" s="17" t="s">
        <v>9426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12473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9427</v>
      </c>
      <c r="B807" s="17" t="s">
        <v>9427</v>
      </c>
      <c r="C807" s="17" t="s">
        <v>9428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12473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9429</v>
      </c>
      <c r="B808" s="17" t="s">
        <v>9429</v>
      </c>
      <c r="C808" s="17" t="s">
        <v>9430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12473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9431</v>
      </c>
      <c r="B809" s="17" t="s">
        <v>9431</v>
      </c>
      <c r="C809" s="17" t="s">
        <v>9432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12473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9433</v>
      </c>
      <c r="B810" s="17" t="s">
        <v>9433</v>
      </c>
      <c r="C810" s="17" t="s">
        <v>9434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12473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9435</v>
      </c>
      <c r="B811" s="17" t="s">
        <v>9435</v>
      </c>
      <c r="C811" s="17" t="s">
        <v>9436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12473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9437</v>
      </c>
      <c r="B812" s="17" t="s">
        <v>9437</v>
      </c>
      <c r="C812" s="17" t="s">
        <v>9438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12473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9439</v>
      </c>
      <c r="B813" s="17" t="s">
        <v>9439</v>
      </c>
      <c r="C813" s="17" t="s">
        <v>9440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12473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9441</v>
      </c>
      <c r="B814" s="17" t="s">
        <v>9441</v>
      </c>
      <c r="C814" s="17" t="s">
        <v>9442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12473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9443</v>
      </c>
      <c r="B815" s="17" t="s">
        <v>9443</v>
      </c>
      <c r="C815" s="17" t="s">
        <v>9444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12473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9445</v>
      </c>
      <c r="B816" s="17" t="s">
        <v>9445</v>
      </c>
      <c r="C816" s="17" t="s">
        <v>9446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12473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9447</v>
      </c>
      <c r="B817" s="17" t="s">
        <v>9447</v>
      </c>
      <c r="C817" s="17" t="s">
        <v>9448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12473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9449</v>
      </c>
      <c r="B818" s="17" t="s">
        <v>9449</v>
      </c>
      <c r="C818" s="17" t="s">
        <v>9450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12473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9451</v>
      </c>
      <c r="B819" s="17" t="s">
        <v>9451</v>
      </c>
      <c r="C819" s="17" t="s">
        <v>9452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12473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9453</v>
      </c>
      <c r="B820" s="17" t="s">
        <v>9453</v>
      </c>
      <c r="C820" s="17" t="s">
        <v>9454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12473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9455</v>
      </c>
      <c r="B821" s="17" t="s">
        <v>9455</v>
      </c>
      <c r="C821" s="17" t="s">
        <v>9456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12473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9457</v>
      </c>
      <c r="B822" s="17" t="s">
        <v>9457</v>
      </c>
      <c r="C822" s="17" t="s">
        <v>9458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12473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9459</v>
      </c>
      <c r="B823" s="17" t="s">
        <v>9459</v>
      </c>
      <c r="C823" s="17" t="s">
        <v>9460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12473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9461</v>
      </c>
      <c r="B824" s="17" t="s">
        <v>9461</v>
      </c>
      <c r="C824" s="17" t="s">
        <v>9462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12473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9463</v>
      </c>
      <c r="B825" s="17" t="s">
        <v>9463</v>
      </c>
      <c r="C825" s="17" t="s">
        <v>9464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12473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9465</v>
      </c>
      <c r="B826" s="17" t="s">
        <v>9465</v>
      </c>
      <c r="C826" s="17" t="s">
        <v>9466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12473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9467</v>
      </c>
      <c r="B827" s="17" t="s">
        <v>9467</v>
      </c>
      <c r="C827" s="17" t="s">
        <v>9468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12473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9469</v>
      </c>
      <c r="B828" s="17" t="s">
        <v>9469</v>
      </c>
      <c r="C828" s="17" t="s">
        <v>9470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12473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9471</v>
      </c>
      <c r="B829" s="17" t="s">
        <v>9471</v>
      </c>
      <c r="C829" s="17" t="s">
        <v>9472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12473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9473</v>
      </c>
      <c r="B830" s="17" t="s">
        <v>9473</v>
      </c>
      <c r="C830" s="17" t="s">
        <v>9474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12473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9475</v>
      </c>
      <c r="B831" s="17" t="s">
        <v>9475</v>
      </c>
      <c r="C831" s="17" t="s">
        <v>9476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12473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9477</v>
      </c>
      <c r="B832" s="17" t="s">
        <v>9477</v>
      </c>
      <c r="C832" s="17" t="s">
        <v>9478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12473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9479</v>
      </c>
      <c r="B833" s="17" t="s">
        <v>9479</v>
      </c>
      <c r="C833" s="17" t="s">
        <v>9480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12473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9481</v>
      </c>
      <c r="B834" s="17" t="s">
        <v>9481</v>
      </c>
      <c r="C834" s="17" t="s">
        <v>9482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12473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9483</v>
      </c>
      <c r="B835" s="17" t="s">
        <v>9483</v>
      </c>
      <c r="C835" s="17" t="s">
        <v>9484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12473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9485</v>
      </c>
      <c r="B836" s="17" t="s">
        <v>9485</v>
      </c>
      <c r="C836" s="16" t="s">
        <v>9486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12473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9487</v>
      </c>
      <c r="B837" s="17" t="s">
        <v>9487</v>
      </c>
      <c r="C837" s="17" t="s">
        <v>9488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12473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9489</v>
      </c>
      <c r="B838" s="17" t="s">
        <v>9489</v>
      </c>
      <c r="C838" s="17" t="s">
        <v>9490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12473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9491</v>
      </c>
      <c r="B839" s="17" t="s">
        <v>9491</v>
      </c>
      <c r="C839" s="17" t="s">
        <v>9492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12473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9493</v>
      </c>
      <c r="B840" s="17" t="s">
        <v>9493</v>
      </c>
      <c r="C840" s="17" t="s">
        <v>9494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12473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9495</v>
      </c>
      <c r="B841" s="17" t="s">
        <v>9495</v>
      </c>
      <c r="C841" s="17" t="s">
        <v>9496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12473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9497</v>
      </c>
      <c r="B842" s="17" t="s">
        <v>9497</v>
      </c>
      <c r="C842" s="17" t="s">
        <v>9498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12473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9499</v>
      </c>
      <c r="B843" s="17" t="s">
        <v>9499</v>
      </c>
      <c r="C843" s="17" t="s">
        <v>9500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12473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9501</v>
      </c>
      <c r="B844" s="17" t="s">
        <v>9501</v>
      </c>
      <c r="C844" s="17" t="s">
        <v>9502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12473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9503</v>
      </c>
      <c r="B845" s="17" t="s">
        <v>9503</v>
      </c>
      <c r="C845" s="17" t="s">
        <v>9504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12473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9505</v>
      </c>
      <c r="B846" s="17" t="s">
        <v>9505</v>
      </c>
      <c r="C846" s="17" t="s">
        <v>9506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12473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9507</v>
      </c>
      <c r="B847" s="17" t="s">
        <v>9507</v>
      </c>
      <c r="C847" s="17" t="s">
        <v>9508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12473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9509</v>
      </c>
      <c r="B848" s="17" t="s">
        <v>9509</v>
      </c>
      <c r="C848" s="17" t="s">
        <v>9510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12473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9511</v>
      </c>
      <c r="B849" s="17" t="s">
        <v>9511</v>
      </c>
      <c r="C849" s="17" t="s">
        <v>9512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12473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9513</v>
      </c>
      <c r="B850" s="17" t="s">
        <v>9513</v>
      </c>
      <c r="C850" s="17" t="s">
        <v>9514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12473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9515</v>
      </c>
      <c r="B851" s="17" t="s">
        <v>9515</v>
      </c>
      <c r="C851" s="17" t="s">
        <v>9516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12473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9517</v>
      </c>
      <c r="B852" s="17" t="s">
        <v>9517</v>
      </c>
      <c r="C852" s="17" t="s">
        <v>9518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12473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9519</v>
      </c>
      <c r="B853" s="17" t="s">
        <v>9519</v>
      </c>
      <c r="C853" s="17" t="s">
        <v>9520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12473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9521</v>
      </c>
      <c r="B854" s="17" t="s">
        <v>9521</v>
      </c>
      <c r="C854" s="17" t="s">
        <v>9522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12473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9523</v>
      </c>
      <c r="B855" s="17" t="s">
        <v>9523</v>
      </c>
      <c r="C855" s="17" t="s">
        <v>9524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12473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9525</v>
      </c>
      <c r="B856" s="17" t="s">
        <v>9525</v>
      </c>
      <c r="C856" s="17" t="s">
        <v>9526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12473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9527</v>
      </c>
      <c r="B857" s="17" t="s">
        <v>9527</v>
      </c>
      <c r="C857" s="17" t="s">
        <v>9528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12473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9529</v>
      </c>
      <c r="B858" s="17" t="s">
        <v>9529</v>
      </c>
      <c r="C858" s="17" t="s">
        <v>9530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12473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9531</v>
      </c>
      <c r="B859" s="17" t="s">
        <v>9531</v>
      </c>
      <c r="C859" s="17" t="s">
        <v>9532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12473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9533</v>
      </c>
      <c r="B860" s="17" t="s">
        <v>9533</v>
      </c>
      <c r="C860" s="17" t="s">
        <v>9534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12473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9535</v>
      </c>
      <c r="B861" s="17" t="s">
        <v>9535</v>
      </c>
      <c r="C861" s="17" t="s">
        <v>9536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12473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9537</v>
      </c>
      <c r="B862" s="17" t="s">
        <v>9537</v>
      </c>
      <c r="C862" s="17" t="s">
        <v>9538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12473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9539</v>
      </c>
      <c r="B863" s="17" t="s">
        <v>9539</v>
      </c>
      <c r="C863" s="17" t="s">
        <v>9540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12473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9541</v>
      </c>
      <c r="B864" s="17" t="s">
        <v>9541</v>
      </c>
      <c r="C864" s="17" t="s">
        <v>9542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12473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9543</v>
      </c>
      <c r="B865" s="17" t="s">
        <v>9543</v>
      </c>
      <c r="C865" s="17" t="s">
        <v>9544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12473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9545</v>
      </c>
      <c r="B866" s="17" t="s">
        <v>9545</v>
      </c>
      <c r="C866" s="17" t="s">
        <v>9546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12473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9547</v>
      </c>
      <c r="B867" s="17" t="s">
        <v>9547</v>
      </c>
      <c r="C867" s="17" t="s">
        <v>9548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12473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9549</v>
      </c>
      <c r="B868" s="17" t="s">
        <v>9549</v>
      </c>
      <c r="C868" s="17" t="s">
        <v>9550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12473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9551</v>
      </c>
      <c r="B869" s="17" t="s">
        <v>9551</v>
      </c>
      <c r="C869" s="17" t="s">
        <v>9552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12473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9553</v>
      </c>
      <c r="B870" s="17" t="s">
        <v>9553</v>
      </c>
      <c r="C870" s="17" t="s">
        <v>9554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12473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9555</v>
      </c>
      <c r="B871" s="17" t="s">
        <v>9555</v>
      </c>
      <c r="C871" s="17" t="s">
        <v>9556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12473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9557</v>
      </c>
      <c r="B872" s="17" t="s">
        <v>9557</v>
      </c>
      <c r="C872" s="17" t="s">
        <v>9558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12473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10237</v>
      </c>
      <c r="B873" s="16" t="s">
        <v>10237</v>
      </c>
      <c r="C873" s="16" t="s">
        <v>10238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10239</v>
      </c>
      <c r="B874" s="17" t="s">
        <v>10239</v>
      </c>
      <c r="C874" s="17" t="s">
        <v>10240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10241</v>
      </c>
      <c r="B875" s="17" t="s">
        <v>10241</v>
      </c>
      <c r="C875" s="17" t="s">
        <v>10242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10243</v>
      </c>
      <c r="B876" s="17" t="s">
        <v>10243</v>
      </c>
      <c r="C876" s="17" t="s">
        <v>10244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10245</v>
      </c>
      <c r="B877" s="17" t="s">
        <v>10245</v>
      </c>
      <c r="C877" s="17" t="s">
        <v>10246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10247</v>
      </c>
      <c r="B878" s="17" t="s">
        <v>10247</v>
      </c>
      <c r="C878" s="17" t="s">
        <v>10248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10249</v>
      </c>
      <c r="B879" s="17" t="s">
        <v>10249</v>
      </c>
      <c r="C879" s="17" t="s">
        <v>10250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10251</v>
      </c>
      <c r="B880" s="17" t="s">
        <v>10251</v>
      </c>
      <c r="C880" s="17" t="s">
        <v>10252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10253</v>
      </c>
      <c r="B881" s="17" t="s">
        <v>10253</v>
      </c>
      <c r="C881" s="17" t="s">
        <v>10254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10255</v>
      </c>
      <c r="B882" s="17" t="s">
        <v>10255</v>
      </c>
      <c r="C882" s="17" t="s">
        <v>10256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10257</v>
      </c>
      <c r="B883" s="17" t="s">
        <v>10257</v>
      </c>
      <c r="C883" s="17" t="s">
        <v>10258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10259</v>
      </c>
      <c r="B884" s="17" t="s">
        <v>10259</v>
      </c>
      <c r="C884" s="17" t="s">
        <v>10260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10261</v>
      </c>
      <c r="B885" s="17" t="s">
        <v>10261</v>
      </c>
      <c r="C885" s="17" t="s">
        <v>10262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10263</v>
      </c>
      <c r="B886" s="17" t="s">
        <v>10263</v>
      </c>
      <c r="C886" s="17" t="s">
        <v>10264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10265</v>
      </c>
      <c r="B887" s="17" t="s">
        <v>10265</v>
      </c>
      <c r="C887" s="17" t="s">
        <v>10266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10267</v>
      </c>
      <c r="B888" s="17" t="s">
        <v>10267</v>
      </c>
      <c r="C888" s="17" t="s">
        <v>10268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10269</v>
      </c>
      <c r="B889" s="17" t="s">
        <v>10269</v>
      </c>
      <c r="C889" s="17" t="s">
        <v>10270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10271</v>
      </c>
      <c r="B890" s="17" t="s">
        <v>10271</v>
      </c>
      <c r="C890" s="17" t="s">
        <v>10272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10273</v>
      </c>
      <c r="B891" s="17" t="s">
        <v>10273</v>
      </c>
      <c r="C891" s="17" t="s">
        <v>10274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10275</v>
      </c>
      <c r="B892" s="17" t="s">
        <v>10275</v>
      </c>
      <c r="C892" s="17" t="s">
        <v>10276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10277</v>
      </c>
      <c r="B893" s="17" t="s">
        <v>10277</v>
      </c>
      <c r="C893" s="17" t="s">
        <v>10278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10279</v>
      </c>
      <c r="B894" s="17" t="s">
        <v>10279</v>
      </c>
      <c r="C894" s="17" t="s">
        <v>10280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10281</v>
      </c>
      <c r="B895" s="17" t="s">
        <v>10281</v>
      </c>
      <c r="C895" s="17" t="s">
        <v>10282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10283</v>
      </c>
      <c r="B896" s="17" t="s">
        <v>10283</v>
      </c>
      <c r="C896" s="17" t="s">
        <v>10284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10285</v>
      </c>
      <c r="B897" s="17" t="s">
        <v>10285</v>
      </c>
      <c r="C897" s="17" t="s">
        <v>10286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10287</v>
      </c>
      <c r="B898" s="17" t="s">
        <v>10287</v>
      </c>
      <c r="C898" s="17" t="s">
        <v>10288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10289</v>
      </c>
      <c r="B899" s="17" t="s">
        <v>10289</v>
      </c>
      <c r="C899" s="17" t="s">
        <v>10290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10291</v>
      </c>
      <c r="B900" s="17" t="s">
        <v>10291</v>
      </c>
      <c r="C900" s="17" t="s">
        <v>10292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10293</v>
      </c>
      <c r="B901" s="17" t="s">
        <v>10293</v>
      </c>
      <c r="C901" s="17" t="s">
        <v>10294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10295</v>
      </c>
      <c r="B902" s="17" t="s">
        <v>10295</v>
      </c>
      <c r="C902" s="17" t="s">
        <v>10296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10297</v>
      </c>
      <c r="B903" s="17" t="s">
        <v>10297</v>
      </c>
      <c r="C903" s="17" t="s">
        <v>10298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10299</v>
      </c>
      <c r="B904" s="17" t="s">
        <v>10299</v>
      </c>
      <c r="C904" s="17" t="s">
        <v>10300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10301</v>
      </c>
      <c r="B905" s="17" t="s">
        <v>10301</v>
      </c>
      <c r="C905" s="17" t="s">
        <v>10302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10303</v>
      </c>
      <c r="B906" s="17" t="s">
        <v>10303</v>
      </c>
      <c r="C906" s="17" t="s">
        <v>10304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10305</v>
      </c>
      <c r="B907" s="17" t="s">
        <v>10305</v>
      </c>
      <c r="C907" s="17" t="s">
        <v>10306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10307</v>
      </c>
      <c r="B908" s="17" t="s">
        <v>10307</v>
      </c>
      <c r="C908" s="17" t="s">
        <v>10308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10309</v>
      </c>
      <c r="B909" s="17" t="s">
        <v>10309</v>
      </c>
      <c r="C909" s="17" t="s">
        <v>10310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10311</v>
      </c>
      <c r="B910" s="17" t="s">
        <v>10311</v>
      </c>
      <c r="C910" s="17" t="s">
        <v>10312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10313</v>
      </c>
      <c r="B911" s="17" t="s">
        <v>10313</v>
      </c>
      <c r="C911" s="17" t="s">
        <v>10314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10315</v>
      </c>
      <c r="B912" s="17" t="s">
        <v>10315</v>
      </c>
      <c r="C912" s="17" t="s">
        <v>10316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10317</v>
      </c>
      <c r="B913" s="17" t="s">
        <v>10317</v>
      </c>
      <c r="C913" s="17" t="s">
        <v>10318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10319</v>
      </c>
      <c r="B914" s="17" t="s">
        <v>10319</v>
      </c>
      <c r="C914" s="17" t="s">
        <v>10320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10321</v>
      </c>
      <c r="B915" s="17" t="s">
        <v>10321</v>
      </c>
      <c r="C915" s="17" t="s">
        <v>10322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10323</v>
      </c>
      <c r="B916" s="17" t="s">
        <v>10323</v>
      </c>
      <c r="C916" s="17" t="s">
        <v>10324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10325</v>
      </c>
      <c r="B917" s="17" t="s">
        <v>10325</v>
      </c>
      <c r="C917" s="17" t="s">
        <v>10326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10327</v>
      </c>
      <c r="B918" s="17" t="s">
        <v>10327</v>
      </c>
      <c r="C918" s="17" t="s">
        <v>10328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10329</v>
      </c>
      <c r="B919" s="17" t="s">
        <v>10329</v>
      </c>
      <c r="C919" s="17" t="s">
        <v>10330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10331</v>
      </c>
      <c r="B920" s="17" t="s">
        <v>10331</v>
      </c>
      <c r="C920" s="17" t="s">
        <v>10332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10333</v>
      </c>
      <c r="B921" s="17" t="s">
        <v>10333</v>
      </c>
      <c r="C921" s="17" t="s">
        <v>10334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10335</v>
      </c>
      <c r="B922" s="17" t="s">
        <v>10335</v>
      </c>
      <c r="C922" s="17" t="s">
        <v>10336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10337</v>
      </c>
      <c r="B923" s="17" t="s">
        <v>10337</v>
      </c>
      <c r="C923" s="17" t="s">
        <v>10338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10339</v>
      </c>
      <c r="B924" s="17" t="s">
        <v>10339</v>
      </c>
      <c r="C924" s="17" t="s">
        <v>10340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10341</v>
      </c>
      <c r="B925" s="17" t="s">
        <v>10341</v>
      </c>
      <c r="C925" s="17" t="s">
        <v>10342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10343</v>
      </c>
      <c r="B926" s="17" t="s">
        <v>10343</v>
      </c>
      <c r="C926" s="17" t="s">
        <v>10344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10345</v>
      </c>
      <c r="B927" s="17" t="s">
        <v>10345</v>
      </c>
      <c r="C927" s="17" t="s">
        <v>10346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10347</v>
      </c>
      <c r="B928" s="17" t="s">
        <v>10347</v>
      </c>
      <c r="C928" s="17" t="s">
        <v>10348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10349</v>
      </c>
      <c r="B929" s="17" t="s">
        <v>10349</v>
      </c>
      <c r="C929" s="17" t="s">
        <v>10350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10351</v>
      </c>
      <c r="B930" s="17" t="s">
        <v>10351</v>
      </c>
      <c r="C930" s="17" t="s">
        <v>10352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10353</v>
      </c>
      <c r="B931" s="17" t="s">
        <v>10353</v>
      </c>
      <c r="C931" s="17" t="s">
        <v>10354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10355</v>
      </c>
      <c r="B932" s="17" t="s">
        <v>10355</v>
      </c>
      <c r="C932" s="17" t="s">
        <v>10356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10357</v>
      </c>
      <c r="B933" s="17" t="s">
        <v>10357</v>
      </c>
      <c r="C933" s="17" t="s">
        <v>10358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10359</v>
      </c>
      <c r="B934" s="17" t="s">
        <v>10359</v>
      </c>
      <c r="C934" s="17" t="s">
        <v>10360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10361</v>
      </c>
      <c r="B935" s="17" t="s">
        <v>10361</v>
      </c>
      <c r="C935" s="17" t="s">
        <v>10362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10363</v>
      </c>
      <c r="B936" s="17" t="s">
        <v>10363</v>
      </c>
      <c r="C936" s="17" t="s">
        <v>10364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10365</v>
      </c>
      <c r="B937" s="17" t="s">
        <v>10365</v>
      </c>
      <c r="C937" s="17" t="s">
        <v>10366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10367</v>
      </c>
      <c r="B938" s="17" t="s">
        <v>10367</v>
      </c>
      <c r="C938" s="17" t="s">
        <v>10368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10369</v>
      </c>
      <c r="B939" s="17" t="s">
        <v>10369</v>
      </c>
      <c r="C939" s="17" t="s">
        <v>10370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10371</v>
      </c>
      <c r="B940" s="17" t="s">
        <v>10371</v>
      </c>
      <c r="C940" s="17" t="s">
        <v>10372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10373</v>
      </c>
      <c r="B941" s="17" t="s">
        <v>10373</v>
      </c>
      <c r="C941" s="17" t="s">
        <v>10374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10375</v>
      </c>
      <c r="B942" s="17" t="s">
        <v>10375</v>
      </c>
      <c r="C942" s="17" t="s">
        <v>10376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10377</v>
      </c>
      <c r="B943" s="17" t="s">
        <v>10377</v>
      </c>
      <c r="C943" s="17" t="s">
        <v>10378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10379</v>
      </c>
      <c r="B944" s="17" t="s">
        <v>10379</v>
      </c>
      <c r="C944" s="17" t="s">
        <v>10380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10381</v>
      </c>
      <c r="B945" s="17" t="s">
        <v>10381</v>
      </c>
      <c r="C945" s="17" t="s">
        <v>10382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10383</v>
      </c>
      <c r="B946" s="17" t="s">
        <v>10383</v>
      </c>
      <c r="C946" s="17" t="s">
        <v>10384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10385</v>
      </c>
      <c r="B947" s="17" t="s">
        <v>10385</v>
      </c>
      <c r="C947" s="17" t="s">
        <v>10386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10387</v>
      </c>
      <c r="B948" s="17" t="s">
        <v>10387</v>
      </c>
      <c r="C948" s="17" t="s">
        <v>10388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10389</v>
      </c>
      <c r="B949" s="17" t="s">
        <v>10389</v>
      </c>
      <c r="C949" s="17" t="s">
        <v>10390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10391</v>
      </c>
      <c r="B950" s="17" t="s">
        <v>10391</v>
      </c>
      <c r="C950" s="17" t="s">
        <v>10392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10393</v>
      </c>
      <c r="B951" s="17" t="s">
        <v>10393</v>
      </c>
      <c r="C951" s="17" t="s">
        <v>10394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10395</v>
      </c>
      <c r="B952" s="17" t="s">
        <v>10395</v>
      </c>
      <c r="C952" s="17" t="s">
        <v>10396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10397</v>
      </c>
      <c r="B953" s="17" t="s">
        <v>10397</v>
      </c>
      <c r="C953" s="17" t="s">
        <v>10398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10399</v>
      </c>
      <c r="B954" s="17" t="s">
        <v>10399</v>
      </c>
      <c r="C954" s="17" t="s">
        <v>10400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10401</v>
      </c>
      <c r="B955" s="17" t="s">
        <v>10401</v>
      </c>
      <c r="C955" s="17" t="s">
        <v>10402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10403</v>
      </c>
      <c r="B956" s="17" t="s">
        <v>10403</v>
      </c>
      <c r="C956" s="17" t="s">
        <v>10404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10405</v>
      </c>
      <c r="B957" s="17" t="s">
        <v>10405</v>
      </c>
      <c r="C957" s="17" t="s">
        <v>10406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10407</v>
      </c>
      <c r="B958" s="17" t="s">
        <v>10407</v>
      </c>
      <c r="C958" s="17" t="s">
        <v>10408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10409</v>
      </c>
      <c r="B959" s="17" t="s">
        <v>10409</v>
      </c>
      <c r="C959" s="17" t="s">
        <v>10410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10411</v>
      </c>
      <c r="B960" s="17" t="s">
        <v>10411</v>
      </c>
      <c r="C960" s="17" t="s">
        <v>10412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10413</v>
      </c>
      <c r="B961" s="17" t="s">
        <v>10413</v>
      </c>
      <c r="C961" s="17" t="s">
        <v>10414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10415</v>
      </c>
      <c r="B962" s="17" t="s">
        <v>10415</v>
      </c>
      <c r="C962" s="17" t="s">
        <v>10416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10417</v>
      </c>
      <c r="B963" s="17" t="s">
        <v>10417</v>
      </c>
      <c r="C963" s="17" t="s">
        <v>10418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10419</v>
      </c>
      <c r="B964" s="17" t="s">
        <v>10419</v>
      </c>
      <c r="C964" s="17" t="s">
        <v>10420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10421</v>
      </c>
      <c r="B965" s="17" t="s">
        <v>10421</v>
      </c>
      <c r="C965" s="17" t="s">
        <v>10422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10423</v>
      </c>
      <c r="B966" s="17" t="s">
        <v>10423</v>
      </c>
      <c r="C966" s="17" t="s">
        <v>10424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10425</v>
      </c>
      <c r="B967" s="17" t="s">
        <v>10425</v>
      </c>
      <c r="C967" s="17" t="s">
        <v>10426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10427</v>
      </c>
      <c r="B968" s="17" t="s">
        <v>10427</v>
      </c>
      <c r="C968" s="17" t="s">
        <v>10428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10429</v>
      </c>
      <c r="B969" s="17" t="s">
        <v>10429</v>
      </c>
      <c r="C969" s="17" t="s">
        <v>10430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10431</v>
      </c>
      <c r="B970" s="17" t="s">
        <v>10431</v>
      </c>
      <c r="C970" s="17" t="s">
        <v>10432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10433</v>
      </c>
      <c r="B971" s="17" t="s">
        <v>10433</v>
      </c>
      <c r="C971" s="17" t="s">
        <v>10434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10435</v>
      </c>
      <c r="B972" s="17" t="s">
        <v>10435</v>
      </c>
      <c r="C972" s="17" t="s">
        <v>10436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10437</v>
      </c>
      <c r="B973" s="17" t="s">
        <v>10437</v>
      </c>
      <c r="C973" s="17" t="s">
        <v>10438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10439</v>
      </c>
      <c r="B974" s="17" t="s">
        <v>10439</v>
      </c>
      <c r="C974" s="17" t="s">
        <v>10440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10441</v>
      </c>
      <c r="B975" s="17" t="s">
        <v>10441</v>
      </c>
      <c r="C975" s="17" t="s">
        <v>10442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10443</v>
      </c>
      <c r="B976" s="17" t="s">
        <v>10443</v>
      </c>
      <c r="C976" s="17" t="s">
        <v>10444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10445</v>
      </c>
      <c r="B977" s="17" t="s">
        <v>10445</v>
      </c>
      <c r="C977" s="17" t="s">
        <v>10446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10447</v>
      </c>
      <c r="B978" s="17" t="s">
        <v>10447</v>
      </c>
      <c r="C978" s="17" t="s">
        <v>10448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10449</v>
      </c>
      <c r="B979" s="17" t="s">
        <v>10449</v>
      </c>
      <c r="C979" s="17" t="s">
        <v>10450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10451</v>
      </c>
      <c r="B980" s="17" t="s">
        <v>10451</v>
      </c>
      <c r="C980" s="17" t="s">
        <v>10452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10453</v>
      </c>
      <c r="B981" s="17" t="s">
        <v>10453</v>
      </c>
      <c r="C981" s="17" t="s">
        <v>10454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10455</v>
      </c>
      <c r="B982" s="17" t="s">
        <v>10455</v>
      </c>
      <c r="C982" s="17" t="s">
        <v>10456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10457</v>
      </c>
      <c r="B983" s="17" t="s">
        <v>10457</v>
      </c>
      <c r="C983" s="17" t="s">
        <v>10458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10459</v>
      </c>
      <c r="B984" s="17" t="s">
        <v>10459</v>
      </c>
      <c r="C984" s="17" t="s">
        <v>10460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10461</v>
      </c>
      <c r="B985" s="17" t="s">
        <v>10461</v>
      </c>
      <c r="C985" s="17" t="s">
        <v>10462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10463</v>
      </c>
      <c r="B986" s="17" t="s">
        <v>10463</v>
      </c>
      <c r="C986" s="17" t="s">
        <v>10464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10465</v>
      </c>
      <c r="B987" s="17" t="s">
        <v>10465</v>
      </c>
      <c r="C987" s="17" t="s">
        <v>10466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10467</v>
      </c>
      <c r="B988" s="17" t="s">
        <v>10467</v>
      </c>
      <c r="C988" s="17" t="s">
        <v>10468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10469</v>
      </c>
      <c r="B989" s="17" t="s">
        <v>10469</v>
      </c>
      <c r="C989" s="17" t="s">
        <v>10470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10471</v>
      </c>
      <c r="B990" s="17" t="s">
        <v>10471</v>
      </c>
      <c r="C990" s="17" t="s">
        <v>10472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10473</v>
      </c>
      <c r="B991" s="17" t="s">
        <v>10473</v>
      </c>
      <c r="C991" s="17" t="s">
        <v>10474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10475</v>
      </c>
      <c r="B992" s="17" t="s">
        <v>10475</v>
      </c>
      <c r="C992" s="17" t="s">
        <v>10476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10477</v>
      </c>
      <c r="B993" s="17" t="s">
        <v>10477</v>
      </c>
      <c r="C993" s="17" t="s">
        <v>10478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10479</v>
      </c>
      <c r="B994" s="17" t="s">
        <v>10479</v>
      </c>
      <c r="C994" s="17" t="s">
        <v>10480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10481</v>
      </c>
      <c r="B995" s="17" t="s">
        <v>10481</v>
      </c>
      <c r="C995" s="17" t="s">
        <v>10482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10483</v>
      </c>
      <c r="B996" s="17" t="s">
        <v>10483</v>
      </c>
      <c r="C996" s="17" t="s">
        <v>10484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10485</v>
      </c>
      <c r="B997" s="17" t="s">
        <v>10485</v>
      </c>
      <c r="C997" s="17" t="s">
        <v>10486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10487</v>
      </c>
      <c r="B998" s="17" t="s">
        <v>10487</v>
      </c>
      <c r="C998" s="17" t="s">
        <v>10488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10489</v>
      </c>
      <c r="B999" s="17" t="s">
        <v>10489</v>
      </c>
      <c r="C999" s="17" t="s">
        <v>10490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10491</v>
      </c>
      <c r="B1000" s="17" t="s">
        <v>10491</v>
      </c>
      <c r="C1000" s="17" t="s">
        <v>10492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10493</v>
      </c>
      <c r="B1001" s="17" t="s">
        <v>10493</v>
      </c>
      <c r="C1001" s="17" t="s">
        <v>10494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10495</v>
      </c>
      <c r="B1002" s="17" t="s">
        <v>10495</v>
      </c>
      <c r="C1002" s="17" t="s">
        <v>10496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10497</v>
      </c>
      <c r="B1003" s="17" t="s">
        <v>10497</v>
      </c>
      <c r="C1003" s="17" t="s">
        <v>10498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10499</v>
      </c>
      <c r="B1004" s="17" t="s">
        <v>10499</v>
      </c>
      <c r="C1004" s="17" t="s">
        <v>10500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10501</v>
      </c>
      <c r="B1005" s="17" t="s">
        <v>10501</v>
      </c>
      <c r="C1005" s="17" t="s">
        <v>10502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10503</v>
      </c>
      <c r="B1006" s="17" t="s">
        <v>10503</v>
      </c>
      <c r="C1006" s="16" t="s">
        <v>10504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10505</v>
      </c>
      <c r="B1007" s="17" t="s">
        <v>10505</v>
      </c>
      <c r="C1007" s="17" t="s">
        <v>10506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10507</v>
      </c>
      <c r="B1008" s="17" t="s">
        <v>10507</v>
      </c>
      <c r="C1008" s="17" t="s">
        <v>10508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10509</v>
      </c>
      <c r="B1009" s="17" t="s">
        <v>10509</v>
      </c>
      <c r="C1009" s="17" t="s">
        <v>10510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10511</v>
      </c>
      <c r="B1010" s="17" t="s">
        <v>10511</v>
      </c>
      <c r="C1010" s="17" t="s">
        <v>10512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10513</v>
      </c>
      <c r="B1011" s="17" t="s">
        <v>10513</v>
      </c>
      <c r="C1011" s="17" t="s">
        <v>10514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10515</v>
      </c>
      <c r="B1012" s="17" t="s">
        <v>10515</v>
      </c>
      <c r="C1012" s="17" t="s">
        <v>10516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10517</v>
      </c>
      <c r="B1013" s="17" t="s">
        <v>10517</v>
      </c>
      <c r="C1013" s="17" t="s">
        <v>10518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10519</v>
      </c>
      <c r="B1014" s="17" t="s">
        <v>10519</v>
      </c>
      <c r="C1014" s="17" t="s">
        <v>10520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10521</v>
      </c>
      <c r="B1015" s="17" t="s">
        <v>10521</v>
      </c>
      <c r="C1015" s="17" t="s">
        <v>10522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10523</v>
      </c>
      <c r="B1016" s="17" t="s">
        <v>10523</v>
      </c>
      <c r="C1016" s="17" t="s">
        <v>10524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10525</v>
      </c>
      <c r="B1017" s="17" t="s">
        <v>10525</v>
      </c>
      <c r="C1017" s="17" t="s">
        <v>10526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10527</v>
      </c>
      <c r="B1018" s="17" t="s">
        <v>10527</v>
      </c>
      <c r="C1018" s="17" t="s">
        <v>10528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10529</v>
      </c>
      <c r="B1019" s="17" t="s">
        <v>10529</v>
      </c>
      <c r="C1019" s="17" t="s">
        <v>10530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10531</v>
      </c>
      <c r="B1020" s="17" t="s">
        <v>10531</v>
      </c>
      <c r="C1020" s="17" t="s">
        <v>10532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10533</v>
      </c>
      <c r="B1021" s="17" t="s">
        <v>10533</v>
      </c>
      <c r="C1021" s="17" t="s">
        <v>10534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10535</v>
      </c>
      <c r="B1022" s="17" t="s">
        <v>10535</v>
      </c>
      <c r="C1022" s="17" t="s">
        <v>10536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10537</v>
      </c>
      <c r="B1023" s="17" t="s">
        <v>10537</v>
      </c>
      <c r="C1023" s="17" t="s">
        <v>10538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10539</v>
      </c>
      <c r="B1024" s="17" t="s">
        <v>10539</v>
      </c>
      <c r="C1024" s="17" t="s">
        <v>10540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10541</v>
      </c>
      <c r="B1025" s="17" t="s">
        <v>10541</v>
      </c>
      <c r="C1025" s="17" t="s">
        <v>10542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10543</v>
      </c>
      <c r="B1026" s="17" t="s">
        <v>10543</v>
      </c>
      <c r="C1026" s="17" t="s">
        <v>10544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10545</v>
      </c>
      <c r="B1027" s="17" t="s">
        <v>10545</v>
      </c>
      <c r="C1027" s="17" t="s">
        <v>10546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10547</v>
      </c>
      <c r="B1028" s="17" t="s">
        <v>10547</v>
      </c>
      <c r="C1028" s="17" t="s">
        <v>10548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10549</v>
      </c>
      <c r="B1029" s="17" t="s">
        <v>10549</v>
      </c>
      <c r="C1029" s="17" t="s">
        <v>10550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10551</v>
      </c>
      <c r="B1030" s="17" t="s">
        <v>10551</v>
      </c>
      <c r="C1030" s="17" t="s">
        <v>10552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10553</v>
      </c>
      <c r="B1031" s="17" t="s">
        <v>10553</v>
      </c>
      <c r="C1031" s="17" t="s">
        <v>10554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10555</v>
      </c>
      <c r="B1032" s="17" t="s">
        <v>10555</v>
      </c>
      <c r="C1032" s="17" t="s">
        <v>10556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10557</v>
      </c>
      <c r="B1033" s="17" t="s">
        <v>10557</v>
      </c>
      <c r="C1033" s="17" t="s">
        <v>10558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10559</v>
      </c>
      <c r="B1034" s="17" t="s">
        <v>10559</v>
      </c>
      <c r="C1034" s="17" t="s">
        <v>10560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10561</v>
      </c>
      <c r="B1035" s="17" t="s">
        <v>10561</v>
      </c>
      <c r="C1035" s="17" t="s">
        <v>10562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10563</v>
      </c>
      <c r="B1036" s="17" t="s">
        <v>10563</v>
      </c>
      <c r="C1036" s="17" t="s">
        <v>10564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10565</v>
      </c>
      <c r="B1037" s="17" t="s">
        <v>10565</v>
      </c>
      <c r="C1037" s="17" t="s">
        <v>10566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10567</v>
      </c>
      <c r="B1038" s="17" t="s">
        <v>10567</v>
      </c>
      <c r="C1038" s="17" t="s">
        <v>10568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10569</v>
      </c>
      <c r="B1039" s="17" t="s">
        <v>10569</v>
      </c>
      <c r="C1039" s="17" t="s">
        <v>10570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10571</v>
      </c>
      <c r="B1040" s="17" t="s">
        <v>10571</v>
      </c>
      <c r="C1040" s="17" t="s">
        <v>10572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10573</v>
      </c>
      <c r="B1041" s="17" t="s">
        <v>10573</v>
      </c>
      <c r="C1041" s="17" t="s">
        <v>10574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10575</v>
      </c>
      <c r="B1042" s="17" t="s">
        <v>10575</v>
      </c>
      <c r="C1042" s="17" t="s">
        <v>10576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9897</v>
      </c>
      <c r="B1043" s="16" t="s">
        <v>9897</v>
      </c>
      <c r="C1043" s="16" t="s">
        <v>9898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9899</v>
      </c>
      <c r="B1044" s="17" t="s">
        <v>9899</v>
      </c>
      <c r="C1044" s="17" t="s">
        <v>9900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9901</v>
      </c>
      <c r="B1045" s="17" t="s">
        <v>9901</v>
      </c>
      <c r="C1045" s="17" t="s">
        <v>9902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9903</v>
      </c>
      <c r="B1046" s="17" t="s">
        <v>9903</v>
      </c>
      <c r="C1046" s="17" t="s">
        <v>9904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9905</v>
      </c>
      <c r="B1047" s="17" t="s">
        <v>9905</v>
      </c>
      <c r="C1047" s="17" t="s">
        <v>9906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9907</v>
      </c>
      <c r="B1048" s="17" t="s">
        <v>9907</v>
      </c>
      <c r="C1048" s="17" t="s">
        <v>9908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9909</v>
      </c>
      <c r="B1049" s="17" t="s">
        <v>9909</v>
      </c>
      <c r="C1049" s="17" t="s">
        <v>9910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9911</v>
      </c>
      <c r="B1050" s="17" t="s">
        <v>9911</v>
      </c>
      <c r="C1050" s="17" t="s">
        <v>9912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9913</v>
      </c>
      <c r="B1051" s="17" t="s">
        <v>9913</v>
      </c>
      <c r="C1051" s="17" t="s">
        <v>9914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9915</v>
      </c>
      <c r="B1052" s="17" t="s">
        <v>9915</v>
      </c>
      <c r="C1052" s="17" t="s">
        <v>9916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9917</v>
      </c>
      <c r="B1053" s="17" t="s">
        <v>9917</v>
      </c>
      <c r="C1053" s="17" t="s">
        <v>9918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9919</v>
      </c>
      <c r="B1054" s="17" t="s">
        <v>9919</v>
      </c>
      <c r="C1054" s="17" t="s">
        <v>9920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9921</v>
      </c>
      <c r="B1055" s="17" t="s">
        <v>9921</v>
      </c>
      <c r="C1055" s="17" t="s">
        <v>9922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9923</v>
      </c>
      <c r="B1056" s="17" t="s">
        <v>9923</v>
      </c>
      <c r="C1056" s="17" t="s">
        <v>9924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9925</v>
      </c>
      <c r="B1057" s="17" t="s">
        <v>9925</v>
      </c>
      <c r="C1057" s="17" t="s">
        <v>9926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9927</v>
      </c>
      <c r="B1058" s="17" t="s">
        <v>9927</v>
      </c>
      <c r="C1058" s="17" t="s">
        <v>9928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9929</v>
      </c>
      <c r="B1059" s="17" t="s">
        <v>9929</v>
      </c>
      <c r="C1059" s="17" t="s">
        <v>9930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9931</v>
      </c>
      <c r="B1060" s="17" t="s">
        <v>9931</v>
      </c>
      <c r="C1060" s="17" t="s">
        <v>9932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9933</v>
      </c>
      <c r="B1061" s="17" t="s">
        <v>9933</v>
      </c>
      <c r="C1061" s="17" t="s">
        <v>9934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9935</v>
      </c>
      <c r="B1062" s="17" t="s">
        <v>9935</v>
      </c>
      <c r="C1062" s="17" t="s">
        <v>9936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9937</v>
      </c>
      <c r="B1063" s="17" t="s">
        <v>9937</v>
      </c>
      <c r="C1063" s="17" t="s">
        <v>9938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9939</v>
      </c>
      <c r="B1064" s="17" t="s">
        <v>9939</v>
      </c>
      <c r="C1064" s="17" t="s">
        <v>9940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9941</v>
      </c>
      <c r="B1065" s="17" t="s">
        <v>9941</v>
      </c>
      <c r="C1065" s="17" t="s">
        <v>9942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9943</v>
      </c>
      <c r="B1066" s="17" t="s">
        <v>9943</v>
      </c>
      <c r="C1066" s="17" t="s">
        <v>9944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9945</v>
      </c>
      <c r="B1067" s="17" t="s">
        <v>9945</v>
      </c>
      <c r="C1067" s="17" t="s">
        <v>9946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9947</v>
      </c>
      <c r="B1068" s="17" t="s">
        <v>9947</v>
      </c>
      <c r="C1068" s="17" t="s">
        <v>9948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9949</v>
      </c>
      <c r="B1069" s="17" t="s">
        <v>9949</v>
      </c>
      <c r="C1069" s="17" t="s">
        <v>9950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9951</v>
      </c>
      <c r="B1070" s="17" t="s">
        <v>9951</v>
      </c>
      <c r="C1070" s="17" t="s">
        <v>9952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9953</v>
      </c>
      <c r="B1071" s="17" t="s">
        <v>9953</v>
      </c>
      <c r="C1071" s="17" t="s">
        <v>9954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9955</v>
      </c>
      <c r="B1072" s="17" t="s">
        <v>9955</v>
      </c>
      <c r="C1072" s="17" t="s">
        <v>9956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9957</v>
      </c>
      <c r="B1073" s="17" t="s">
        <v>9957</v>
      </c>
      <c r="C1073" s="17" t="s">
        <v>9958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9959</v>
      </c>
      <c r="B1074" s="17" t="s">
        <v>9959</v>
      </c>
      <c r="C1074" s="17" t="s">
        <v>9960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9961</v>
      </c>
      <c r="B1075" s="17" t="s">
        <v>9961</v>
      </c>
      <c r="C1075" s="17" t="s">
        <v>9962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9963</v>
      </c>
      <c r="B1076" s="17" t="s">
        <v>9963</v>
      </c>
      <c r="C1076" s="17" t="s">
        <v>9964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9965</v>
      </c>
      <c r="B1077" s="17" t="s">
        <v>9965</v>
      </c>
      <c r="C1077" s="17" t="s">
        <v>9966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9967</v>
      </c>
      <c r="B1078" s="17" t="s">
        <v>9967</v>
      </c>
      <c r="C1078" s="17" t="s">
        <v>9968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9969</v>
      </c>
      <c r="B1079" s="17" t="s">
        <v>9969</v>
      </c>
      <c r="C1079" s="17" t="s">
        <v>9970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9971</v>
      </c>
      <c r="B1080" s="17" t="s">
        <v>9971</v>
      </c>
      <c r="C1080" s="17" t="s">
        <v>9972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9973</v>
      </c>
      <c r="B1081" s="17" t="s">
        <v>9973</v>
      </c>
      <c r="C1081" s="17" t="s">
        <v>9974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9975</v>
      </c>
      <c r="B1082" s="17" t="s">
        <v>9975</v>
      </c>
      <c r="C1082" s="17" t="s">
        <v>9976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9977</v>
      </c>
      <c r="B1083" s="17" t="s">
        <v>9977</v>
      </c>
      <c r="C1083" s="17" t="s">
        <v>9978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9979</v>
      </c>
      <c r="B1084" s="17" t="s">
        <v>9979</v>
      </c>
      <c r="C1084" s="17" t="s">
        <v>9980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9981</v>
      </c>
      <c r="B1085" s="17" t="s">
        <v>9981</v>
      </c>
      <c r="C1085" s="17" t="s">
        <v>9982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9983</v>
      </c>
      <c r="B1086" s="17" t="s">
        <v>9983</v>
      </c>
      <c r="C1086" s="17" t="s">
        <v>9984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9985</v>
      </c>
      <c r="B1087" s="17" t="s">
        <v>9985</v>
      </c>
      <c r="C1087" s="17" t="s">
        <v>9986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9987</v>
      </c>
      <c r="B1088" s="17" t="s">
        <v>9987</v>
      </c>
      <c r="C1088" s="17" t="s">
        <v>9988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9989</v>
      </c>
      <c r="B1089" s="17" t="s">
        <v>9989</v>
      </c>
      <c r="C1089" s="17" t="s">
        <v>9990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9991</v>
      </c>
      <c r="B1090" s="17" t="s">
        <v>9991</v>
      </c>
      <c r="C1090" s="17" t="s">
        <v>9992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9993</v>
      </c>
      <c r="B1091" s="17" t="s">
        <v>9993</v>
      </c>
      <c r="C1091" s="17" t="s">
        <v>9994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9995</v>
      </c>
      <c r="B1092" s="17" t="s">
        <v>9995</v>
      </c>
      <c r="C1092" s="17" t="s">
        <v>9996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9997</v>
      </c>
      <c r="B1093" s="17" t="s">
        <v>9997</v>
      </c>
      <c r="C1093" s="17" t="s">
        <v>9998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9999</v>
      </c>
      <c r="B1094" s="17" t="s">
        <v>9999</v>
      </c>
      <c r="C1094" s="17" t="s">
        <v>10000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10001</v>
      </c>
      <c r="B1095" s="17" t="s">
        <v>10001</v>
      </c>
      <c r="C1095" s="17" t="s">
        <v>10002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10003</v>
      </c>
      <c r="B1096" s="17" t="s">
        <v>10003</v>
      </c>
      <c r="C1096" s="17" t="s">
        <v>10004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10005</v>
      </c>
      <c r="B1097" s="17" t="s">
        <v>10005</v>
      </c>
      <c r="C1097" s="17" t="s">
        <v>10006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10007</v>
      </c>
      <c r="B1098" s="17" t="s">
        <v>10007</v>
      </c>
      <c r="C1098" s="17" t="s">
        <v>10008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10009</v>
      </c>
      <c r="B1099" s="17" t="s">
        <v>10009</v>
      </c>
      <c r="C1099" s="17" t="s">
        <v>10010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10011</v>
      </c>
      <c r="B1100" s="17" t="s">
        <v>10011</v>
      </c>
      <c r="C1100" s="17" t="s">
        <v>10012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10013</v>
      </c>
      <c r="B1101" s="17" t="s">
        <v>10013</v>
      </c>
      <c r="C1101" s="17" t="s">
        <v>10014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10015</v>
      </c>
      <c r="B1102" s="17" t="s">
        <v>10015</v>
      </c>
      <c r="C1102" s="17" t="s">
        <v>10016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10017</v>
      </c>
      <c r="B1103" s="17" t="s">
        <v>10017</v>
      </c>
      <c r="C1103" s="17" t="s">
        <v>10018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10019</v>
      </c>
      <c r="B1104" s="17" t="s">
        <v>10019</v>
      </c>
      <c r="C1104" s="17" t="s">
        <v>10020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10021</v>
      </c>
      <c r="B1105" s="17" t="s">
        <v>10021</v>
      </c>
      <c r="C1105" s="17" t="s">
        <v>10022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10023</v>
      </c>
      <c r="B1106" s="17" t="s">
        <v>10023</v>
      </c>
      <c r="C1106" s="17" t="s">
        <v>10024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10025</v>
      </c>
      <c r="B1107" s="17" t="s">
        <v>10025</v>
      </c>
      <c r="C1107" s="17" t="s">
        <v>10026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10027</v>
      </c>
      <c r="B1108" s="17" t="s">
        <v>10027</v>
      </c>
      <c r="C1108" s="17" t="s">
        <v>10028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10029</v>
      </c>
      <c r="B1109" s="17" t="s">
        <v>10029</v>
      </c>
      <c r="C1109" s="17" t="s">
        <v>10030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10031</v>
      </c>
      <c r="B1110" s="17" t="s">
        <v>10031</v>
      </c>
      <c r="C1110" s="17" t="s">
        <v>10032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10033</v>
      </c>
      <c r="B1111" s="17" t="s">
        <v>10033</v>
      </c>
      <c r="C1111" s="17" t="s">
        <v>10034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10035</v>
      </c>
      <c r="B1112" s="17" t="s">
        <v>10035</v>
      </c>
      <c r="C1112" s="17" t="s">
        <v>10036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10037</v>
      </c>
      <c r="B1113" s="17" t="s">
        <v>10037</v>
      </c>
      <c r="C1113" s="17" t="s">
        <v>10038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10039</v>
      </c>
      <c r="B1114" s="17" t="s">
        <v>10039</v>
      </c>
      <c r="C1114" s="17" t="s">
        <v>10040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10041</v>
      </c>
      <c r="B1115" s="17" t="s">
        <v>10041</v>
      </c>
      <c r="C1115" s="17" t="s">
        <v>10042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10043</v>
      </c>
      <c r="B1116" s="17" t="s">
        <v>10043</v>
      </c>
      <c r="C1116" s="17" t="s">
        <v>10044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10045</v>
      </c>
      <c r="B1117" s="17" t="s">
        <v>10045</v>
      </c>
      <c r="C1117" s="17" t="s">
        <v>10046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10047</v>
      </c>
      <c r="B1118" s="17" t="s">
        <v>10047</v>
      </c>
      <c r="C1118" s="17" t="s">
        <v>10048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10049</v>
      </c>
      <c r="B1119" s="17" t="s">
        <v>10049</v>
      </c>
      <c r="C1119" s="17" t="s">
        <v>10050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10051</v>
      </c>
      <c r="B1120" s="17" t="s">
        <v>10051</v>
      </c>
      <c r="C1120" s="17" t="s">
        <v>10052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10053</v>
      </c>
      <c r="B1121" s="17" t="s">
        <v>10053</v>
      </c>
      <c r="C1121" s="17" t="s">
        <v>10054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10055</v>
      </c>
      <c r="B1122" s="17" t="s">
        <v>10055</v>
      </c>
      <c r="C1122" s="17" t="s">
        <v>10056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10057</v>
      </c>
      <c r="B1123" s="17" t="s">
        <v>10057</v>
      </c>
      <c r="C1123" s="17" t="s">
        <v>10058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10059</v>
      </c>
      <c r="B1124" s="17" t="s">
        <v>10059</v>
      </c>
      <c r="C1124" s="17" t="s">
        <v>10060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10061</v>
      </c>
      <c r="B1125" s="17" t="s">
        <v>10061</v>
      </c>
      <c r="C1125" s="17" t="s">
        <v>10062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10063</v>
      </c>
      <c r="B1126" s="17" t="s">
        <v>10063</v>
      </c>
      <c r="C1126" s="17" t="s">
        <v>10064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10065</v>
      </c>
      <c r="B1127" s="17" t="s">
        <v>10065</v>
      </c>
      <c r="C1127" s="17" t="s">
        <v>10066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10067</v>
      </c>
      <c r="B1128" s="17" t="s">
        <v>10067</v>
      </c>
      <c r="C1128" s="17" t="s">
        <v>10068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10069</v>
      </c>
      <c r="B1129" s="17" t="s">
        <v>10069</v>
      </c>
      <c r="C1129" s="17" t="s">
        <v>10070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10071</v>
      </c>
      <c r="B1130" s="17" t="s">
        <v>10071</v>
      </c>
      <c r="C1130" s="17" t="s">
        <v>10072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10073</v>
      </c>
      <c r="B1131" s="17" t="s">
        <v>10073</v>
      </c>
      <c r="C1131" s="17" t="s">
        <v>10074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10075</v>
      </c>
      <c r="B1132" s="17" t="s">
        <v>10075</v>
      </c>
      <c r="C1132" s="17" t="s">
        <v>10076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10077</v>
      </c>
      <c r="B1133" s="17" t="s">
        <v>10077</v>
      </c>
      <c r="C1133" s="17" t="s">
        <v>10078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10079</v>
      </c>
      <c r="B1134" s="17" t="s">
        <v>10079</v>
      </c>
      <c r="C1134" s="17" t="s">
        <v>10080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10081</v>
      </c>
      <c r="B1135" s="17" t="s">
        <v>10081</v>
      </c>
      <c r="C1135" s="17" t="s">
        <v>10082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10083</v>
      </c>
      <c r="B1136" s="17" t="s">
        <v>10083</v>
      </c>
      <c r="C1136" s="17" t="s">
        <v>10084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10085</v>
      </c>
      <c r="B1137" s="17" t="s">
        <v>10085</v>
      </c>
      <c r="C1137" s="17" t="s">
        <v>10086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10087</v>
      </c>
      <c r="B1138" s="17" t="s">
        <v>10087</v>
      </c>
      <c r="C1138" s="17" t="s">
        <v>10088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10089</v>
      </c>
      <c r="B1139" s="17" t="s">
        <v>10089</v>
      </c>
      <c r="C1139" s="17" t="s">
        <v>10090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10091</v>
      </c>
      <c r="B1140" s="17" t="s">
        <v>10091</v>
      </c>
      <c r="C1140" s="17" t="s">
        <v>10092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10093</v>
      </c>
      <c r="B1141" s="17" t="s">
        <v>10093</v>
      </c>
      <c r="C1141" s="17" t="s">
        <v>10094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10095</v>
      </c>
      <c r="B1142" s="17" t="s">
        <v>10095</v>
      </c>
      <c r="C1142" s="17" t="s">
        <v>10096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10097</v>
      </c>
      <c r="B1143" s="17" t="s">
        <v>10097</v>
      </c>
      <c r="C1143" s="17" t="s">
        <v>10098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10099</v>
      </c>
      <c r="B1144" s="17" t="s">
        <v>10099</v>
      </c>
      <c r="C1144" s="17" t="s">
        <v>10100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10101</v>
      </c>
      <c r="B1145" s="17" t="s">
        <v>10101</v>
      </c>
      <c r="C1145" s="17" t="s">
        <v>10102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10103</v>
      </c>
      <c r="B1146" s="17" t="s">
        <v>10103</v>
      </c>
      <c r="C1146" s="17" t="s">
        <v>10104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10105</v>
      </c>
      <c r="B1147" s="17" t="s">
        <v>10105</v>
      </c>
      <c r="C1147" s="17" t="s">
        <v>10106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10107</v>
      </c>
      <c r="B1148" s="17" t="s">
        <v>10107</v>
      </c>
      <c r="C1148" s="17" t="s">
        <v>10108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10109</v>
      </c>
      <c r="B1149" s="17" t="s">
        <v>10109</v>
      </c>
      <c r="C1149" s="17" t="s">
        <v>10110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10111</v>
      </c>
      <c r="B1150" s="17" t="s">
        <v>10111</v>
      </c>
      <c r="C1150" s="17" t="s">
        <v>10112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10113</v>
      </c>
      <c r="B1151" s="17" t="s">
        <v>10113</v>
      </c>
      <c r="C1151" s="17" t="s">
        <v>10114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10115</v>
      </c>
      <c r="B1152" s="17" t="s">
        <v>10115</v>
      </c>
      <c r="C1152" s="17" t="s">
        <v>10116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10117</v>
      </c>
      <c r="B1153" s="17" t="s">
        <v>10117</v>
      </c>
      <c r="C1153" s="17" t="s">
        <v>10118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10119</v>
      </c>
      <c r="B1154" s="17" t="s">
        <v>10119</v>
      </c>
      <c r="C1154" s="17" t="s">
        <v>10120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10121</v>
      </c>
      <c r="B1155" s="17" t="s">
        <v>10121</v>
      </c>
      <c r="C1155" s="17" t="s">
        <v>10122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10123</v>
      </c>
      <c r="B1156" s="17" t="s">
        <v>10123</v>
      </c>
      <c r="C1156" s="17" t="s">
        <v>10124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10125</v>
      </c>
      <c r="B1157" s="17" t="s">
        <v>10125</v>
      </c>
      <c r="C1157" s="17" t="s">
        <v>10126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10127</v>
      </c>
      <c r="B1158" s="17" t="s">
        <v>10127</v>
      </c>
      <c r="C1158" s="17" t="s">
        <v>10128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10129</v>
      </c>
      <c r="B1159" s="17" t="s">
        <v>10129</v>
      </c>
      <c r="C1159" s="17" t="s">
        <v>10130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10131</v>
      </c>
      <c r="B1160" s="17" t="s">
        <v>10131</v>
      </c>
      <c r="C1160" s="17" t="s">
        <v>10132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10133</v>
      </c>
      <c r="B1161" s="17" t="s">
        <v>10133</v>
      </c>
      <c r="C1161" s="17" t="s">
        <v>10134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10135</v>
      </c>
      <c r="B1162" s="17" t="s">
        <v>10135</v>
      </c>
      <c r="C1162" s="17" t="s">
        <v>10136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10137</v>
      </c>
      <c r="B1163" s="17" t="s">
        <v>10137</v>
      </c>
      <c r="C1163" s="17" t="s">
        <v>10138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10139</v>
      </c>
      <c r="B1164" s="17" t="s">
        <v>10139</v>
      </c>
      <c r="C1164" s="17" t="s">
        <v>10140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10141</v>
      </c>
      <c r="B1165" s="17" t="s">
        <v>10141</v>
      </c>
      <c r="C1165" s="17" t="s">
        <v>10142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10143</v>
      </c>
      <c r="B1166" s="17" t="s">
        <v>10143</v>
      </c>
      <c r="C1166" s="17" t="s">
        <v>10144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10145</v>
      </c>
      <c r="B1167" s="17" t="s">
        <v>10145</v>
      </c>
      <c r="C1167" s="17" t="s">
        <v>10146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10147</v>
      </c>
      <c r="B1168" s="17" t="s">
        <v>10147</v>
      </c>
      <c r="C1168" s="17" t="s">
        <v>10148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10149</v>
      </c>
      <c r="B1169" s="17" t="s">
        <v>10149</v>
      </c>
      <c r="C1169" s="17" t="s">
        <v>10150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10151</v>
      </c>
      <c r="B1170" s="17" t="s">
        <v>10151</v>
      </c>
      <c r="C1170" s="17" t="s">
        <v>10152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10153</v>
      </c>
      <c r="B1171" s="17" t="s">
        <v>10153</v>
      </c>
      <c r="C1171" s="17" t="s">
        <v>10154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10155</v>
      </c>
      <c r="B1172" s="17" t="s">
        <v>10155</v>
      </c>
      <c r="C1172" s="17" t="s">
        <v>10156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10157</v>
      </c>
      <c r="B1173" s="17" t="s">
        <v>10157</v>
      </c>
      <c r="C1173" s="17" t="s">
        <v>10158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10159</v>
      </c>
      <c r="B1174" s="17" t="s">
        <v>10159</v>
      </c>
      <c r="C1174" s="17" t="s">
        <v>10160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10161</v>
      </c>
      <c r="B1175" s="17" t="s">
        <v>10161</v>
      </c>
      <c r="C1175" s="17" t="s">
        <v>10162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10163</v>
      </c>
      <c r="B1176" s="17" t="s">
        <v>10163</v>
      </c>
      <c r="C1176" s="16" t="s">
        <v>10164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10165</v>
      </c>
      <c r="B1177" s="17" t="s">
        <v>10165</v>
      </c>
      <c r="C1177" s="17" t="s">
        <v>10166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10167</v>
      </c>
      <c r="B1178" s="17" t="s">
        <v>10167</v>
      </c>
      <c r="C1178" s="17" t="s">
        <v>10168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10169</v>
      </c>
      <c r="B1179" s="17" t="s">
        <v>10169</v>
      </c>
      <c r="C1179" s="17" t="s">
        <v>10170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10171</v>
      </c>
      <c r="B1180" s="17" t="s">
        <v>10171</v>
      </c>
      <c r="C1180" s="17" t="s">
        <v>10172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10173</v>
      </c>
      <c r="B1181" s="17" t="s">
        <v>10173</v>
      </c>
      <c r="C1181" s="17" t="s">
        <v>10174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10175</v>
      </c>
      <c r="B1182" s="17" t="s">
        <v>10175</v>
      </c>
      <c r="C1182" s="17" t="s">
        <v>10176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10177</v>
      </c>
      <c r="B1183" s="17" t="s">
        <v>10177</v>
      </c>
      <c r="C1183" s="17" t="s">
        <v>10178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10179</v>
      </c>
      <c r="B1184" s="17" t="s">
        <v>10179</v>
      </c>
      <c r="C1184" s="17" t="s">
        <v>10180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10181</v>
      </c>
      <c r="B1185" s="17" t="s">
        <v>10181</v>
      </c>
      <c r="C1185" s="17" t="s">
        <v>10182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10183</v>
      </c>
      <c r="B1186" s="17" t="s">
        <v>10183</v>
      </c>
      <c r="C1186" s="17" t="s">
        <v>10184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10185</v>
      </c>
      <c r="B1187" s="17" t="s">
        <v>10185</v>
      </c>
      <c r="C1187" s="17" t="s">
        <v>10186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10187</v>
      </c>
      <c r="B1188" s="17" t="s">
        <v>10187</v>
      </c>
      <c r="C1188" s="17" t="s">
        <v>10188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10189</v>
      </c>
      <c r="B1189" s="17" t="s">
        <v>10189</v>
      </c>
      <c r="C1189" s="17" t="s">
        <v>10190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10191</v>
      </c>
      <c r="B1190" s="17" t="s">
        <v>10191</v>
      </c>
      <c r="C1190" s="17" t="s">
        <v>10192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10193</v>
      </c>
      <c r="B1191" s="17" t="s">
        <v>10193</v>
      </c>
      <c r="C1191" s="17" t="s">
        <v>10194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10195</v>
      </c>
      <c r="B1192" s="17" t="s">
        <v>10195</v>
      </c>
      <c r="C1192" s="17" t="s">
        <v>10196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10197</v>
      </c>
      <c r="B1193" s="17" t="s">
        <v>10197</v>
      </c>
      <c r="C1193" s="17" t="s">
        <v>10198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10199</v>
      </c>
      <c r="B1194" s="17" t="s">
        <v>10199</v>
      </c>
      <c r="C1194" s="17" t="s">
        <v>10200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10201</v>
      </c>
      <c r="B1195" s="17" t="s">
        <v>10201</v>
      </c>
      <c r="C1195" s="17" t="s">
        <v>10202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10203</v>
      </c>
      <c r="B1196" s="17" t="s">
        <v>10203</v>
      </c>
      <c r="C1196" s="17" t="s">
        <v>10204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10205</v>
      </c>
      <c r="B1197" s="17" t="s">
        <v>10205</v>
      </c>
      <c r="C1197" s="17" t="s">
        <v>10206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10207</v>
      </c>
      <c r="B1198" s="17" t="s">
        <v>10207</v>
      </c>
      <c r="C1198" s="17" t="s">
        <v>10208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10209</v>
      </c>
      <c r="B1199" s="17" t="s">
        <v>10209</v>
      </c>
      <c r="C1199" s="17" t="s">
        <v>10210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10211</v>
      </c>
      <c r="B1200" s="17" t="s">
        <v>10211</v>
      </c>
      <c r="C1200" s="17" t="s">
        <v>10212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10213</v>
      </c>
      <c r="B1201" s="17" t="s">
        <v>10213</v>
      </c>
      <c r="C1201" s="17" t="s">
        <v>10214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10215</v>
      </c>
      <c r="B1202" s="17" t="s">
        <v>10215</v>
      </c>
      <c r="C1202" s="17" t="s">
        <v>10216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10217</v>
      </c>
      <c r="B1203" s="17" t="s">
        <v>10217</v>
      </c>
      <c r="C1203" s="17" t="s">
        <v>10218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10219</v>
      </c>
      <c r="B1204" s="17" t="s">
        <v>10219</v>
      </c>
      <c r="C1204" s="17" t="s">
        <v>10220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10221</v>
      </c>
      <c r="B1205" s="17" t="s">
        <v>10221</v>
      </c>
      <c r="C1205" s="17" t="s">
        <v>10222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10223</v>
      </c>
      <c r="B1206" s="17" t="s">
        <v>10223</v>
      </c>
      <c r="C1206" s="17" t="s">
        <v>10224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10225</v>
      </c>
      <c r="B1207" s="17" t="s">
        <v>10225</v>
      </c>
      <c r="C1207" s="17" t="s">
        <v>10226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10227</v>
      </c>
      <c r="B1208" s="17" t="s">
        <v>10227</v>
      </c>
      <c r="C1208" s="17" t="s">
        <v>10228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10229</v>
      </c>
      <c r="B1209" s="17" t="s">
        <v>10229</v>
      </c>
      <c r="C1209" s="17" t="s">
        <v>10230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10231</v>
      </c>
      <c r="B1210" s="17" t="s">
        <v>10231</v>
      </c>
      <c r="C1210" s="17" t="s">
        <v>10232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10233</v>
      </c>
      <c r="B1211" s="17" t="s">
        <v>10233</v>
      </c>
      <c r="C1211" s="17" t="s">
        <v>10234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10235</v>
      </c>
      <c r="B1212" s="17" t="s">
        <v>10235</v>
      </c>
      <c r="C1212" s="17" t="s">
        <v>10236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9559</v>
      </c>
      <c r="B1213" s="16" t="s">
        <v>9559</v>
      </c>
      <c r="C1213" s="16" t="s">
        <v>9560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7467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9561</v>
      </c>
      <c r="B1214" s="17" t="s">
        <v>9561</v>
      </c>
      <c r="C1214" s="17" t="s">
        <v>9562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7467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9563</v>
      </c>
      <c r="B1215" s="17" t="s">
        <v>9563</v>
      </c>
      <c r="C1215" s="17" t="s">
        <v>9564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7467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9565</v>
      </c>
      <c r="B1216" s="17" t="s">
        <v>9565</v>
      </c>
      <c r="C1216" s="17" t="s">
        <v>9566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7467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9567</v>
      </c>
      <c r="B1217" s="17" t="s">
        <v>9567</v>
      </c>
      <c r="C1217" s="17" t="s">
        <v>9568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7467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9569</v>
      </c>
      <c r="B1218" s="17" t="s">
        <v>9569</v>
      </c>
      <c r="C1218" s="17" t="s">
        <v>9570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7467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9571</v>
      </c>
      <c r="B1219" s="17" t="s">
        <v>9571</v>
      </c>
      <c r="C1219" s="17" t="s">
        <v>9572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7467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9573</v>
      </c>
      <c r="B1220" s="17" t="s">
        <v>9573</v>
      </c>
      <c r="C1220" s="17" t="s">
        <v>9574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7467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9575</v>
      </c>
      <c r="B1221" s="17" t="s">
        <v>9575</v>
      </c>
      <c r="C1221" s="17" t="s">
        <v>9576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7467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9577</v>
      </c>
      <c r="B1222" s="17" t="s">
        <v>9577</v>
      </c>
      <c r="C1222" s="17" t="s">
        <v>9578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7467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9579</v>
      </c>
      <c r="B1223" s="17" t="s">
        <v>9579</v>
      </c>
      <c r="C1223" s="17" t="s">
        <v>9580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7467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9581</v>
      </c>
      <c r="B1224" s="17" t="s">
        <v>9581</v>
      </c>
      <c r="C1224" s="17" t="s">
        <v>9582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7467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9583</v>
      </c>
      <c r="B1225" s="17" t="s">
        <v>9583</v>
      </c>
      <c r="C1225" s="17" t="s">
        <v>9584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7467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9585</v>
      </c>
      <c r="B1226" s="17" t="s">
        <v>9585</v>
      </c>
      <c r="C1226" s="17" t="s">
        <v>9586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7467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9587</v>
      </c>
      <c r="B1227" s="17" t="s">
        <v>9587</v>
      </c>
      <c r="C1227" s="17" t="s">
        <v>9588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7467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9589</v>
      </c>
      <c r="B1228" s="17" t="s">
        <v>9589</v>
      </c>
      <c r="C1228" s="17" t="s">
        <v>9590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7467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9591</v>
      </c>
      <c r="B1229" s="17" t="s">
        <v>9591</v>
      </c>
      <c r="C1229" s="17" t="s">
        <v>9592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7467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9593</v>
      </c>
      <c r="B1230" s="17" t="s">
        <v>9593</v>
      </c>
      <c r="C1230" s="17" t="s">
        <v>9594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7467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9595</v>
      </c>
      <c r="B1231" s="17" t="s">
        <v>9595</v>
      </c>
      <c r="C1231" s="17" t="s">
        <v>9596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7467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9597</v>
      </c>
      <c r="B1232" s="17" t="s">
        <v>9597</v>
      </c>
      <c r="C1232" s="17" t="s">
        <v>9598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7467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9599</v>
      </c>
      <c r="B1233" s="17" t="s">
        <v>9599</v>
      </c>
      <c r="C1233" s="17" t="s">
        <v>9600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7467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9601</v>
      </c>
      <c r="B1234" s="17" t="s">
        <v>9601</v>
      </c>
      <c r="C1234" s="17" t="s">
        <v>9602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7467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9603</v>
      </c>
      <c r="B1235" s="17" t="s">
        <v>9603</v>
      </c>
      <c r="C1235" s="17" t="s">
        <v>9604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7467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9605</v>
      </c>
      <c r="B1236" s="17" t="s">
        <v>9605</v>
      </c>
      <c r="C1236" s="17" t="s">
        <v>9606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7467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9607</v>
      </c>
      <c r="B1237" s="17" t="s">
        <v>9607</v>
      </c>
      <c r="C1237" s="17" t="s">
        <v>9608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7467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9609</v>
      </c>
      <c r="B1238" s="17" t="s">
        <v>9609</v>
      </c>
      <c r="C1238" s="17" t="s">
        <v>9610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7467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9611</v>
      </c>
      <c r="B1239" s="17" t="s">
        <v>9611</v>
      </c>
      <c r="C1239" s="17" t="s">
        <v>9612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7467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9613</v>
      </c>
      <c r="B1240" s="17" t="s">
        <v>9613</v>
      </c>
      <c r="C1240" s="17" t="s">
        <v>9614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7467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9615</v>
      </c>
      <c r="B1241" s="17" t="s">
        <v>9615</v>
      </c>
      <c r="C1241" s="17" t="s">
        <v>9616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7467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9617</v>
      </c>
      <c r="B1242" s="17" t="s">
        <v>9617</v>
      </c>
      <c r="C1242" s="17" t="s">
        <v>9618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7467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9619</v>
      </c>
      <c r="B1243" s="17" t="s">
        <v>9619</v>
      </c>
      <c r="C1243" s="17" t="s">
        <v>9620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7467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9621</v>
      </c>
      <c r="B1244" s="17" t="s">
        <v>9621</v>
      </c>
      <c r="C1244" s="17" t="s">
        <v>9622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7467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9623</v>
      </c>
      <c r="B1245" s="17" t="s">
        <v>9623</v>
      </c>
      <c r="C1245" s="17" t="s">
        <v>9624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7467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9625</v>
      </c>
      <c r="B1246" s="17" t="s">
        <v>9625</v>
      </c>
      <c r="C1246" s="17" t="s">
        <v>9626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7467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9627</v>
      </c>
      <c r="B1247" s="17" t="s">
        <v>9627</v>
      </c>
      <c r="C1247" s="17" t="s">
        <v>9628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7467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9629</v>
      </c>
      <c r="B1248" s="17" t="s">
        <v>9629</v>
      </c>
      <c r="C1248" s="17" t="s">
        <v>9630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7467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9631</v>
      </c>
      <c r="B1249" s="17" t="s">
        <v>9631</v>
      </c>
      <c r="C1249" s="17" t="s">
        <v>9632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7467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9633</v>
      </c>
      <c r="B1250" s="17" t="s">
        <v>9633</v>
      </c>
      <c r="C1250" s="17" t="s">
        <v>9634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7467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9635</v>
      </c>
      <c r="B1251" s="17" t="s">
        <v>9635</v>
      </c>
      <c r="C1251" s="17" t="s">
        <v>9636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7467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9637</v>
      </c>
      <c r="B1252" s="17" t="s">
        <v>9637</v>
      </c>
      <c r="C1252" s="17" t="s">
        <v>9638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7467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9639</v>
      </c>
      <c r="B1253" s="17" t="s">
        <v>9639</v>
      </c>
      <c r="C1253" s="17" t="s">
        <v>9640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7467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9641</v>
      </c>
      <c r="B1254" s="17" t="s">
        <v>9641</v>
      </c>
      <c r="C1254" s="17" t="s">
        <v>9642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7467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9643</v>
      </c>
      <c r="B1255" s="17" t="s">
        <v>9643</v>
      </c>
      <c r="C1255" s="17" t="s">
        <v>9644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7467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9645</v>
      </c>
      <c r="B1256" s="17" t="s">
        <v>9645</v>
      </c>
      <c r="C1256" s="17" t="s">
        <v>9646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7467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9647</v>
      </c>
      <c r="B1257" s="17" t="s">
        <v>9647</v>
      </c>
      <c r="C1257" s="17" t="s">
        <v>9648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7467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9649</v>
      </c>
      <c r="B1258" s="17" t="s">
        <v>9649</v>
      </c>
      <c r="C1258" s="17" t="s">
        <v>9650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7467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9651</v>
      </c>
      <c r="B1259" s="17" t="s">
        <v>9651</v>
      </c>
      <c r="C1259" s="17" t="s">
        <v>9652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7467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9653</v>
      </c>
      <c r="B1260" s="17" t="s">
        <v>9653</v>
      </c>
      <c r="C1260" s="17" t="s">
        <v>9654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7467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9655</v>
      </c>
      <c r="B1261" s="17" t="s">
        <v>9655</v>
      </c>
      <c r="C1261" s="17" t="s">
        <v>9656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7467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9657</v>
      </c>
      <c r="B1262" s="17" t="s">
        <v>9657</v>
      </c>
      <c r="C1262" s="17" t="s">
        <v>9658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7467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9659</v>
      </c>
      <c r="B1263" s="17" t="s">
        <v>9659</v>
      </c>
      <c r="C1263" s="17" t="s">
        <v>9660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7467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9661</v>
      </c>
      <c r="B1264" s="17" t="s">
        <v>9661</v>
      </c>
      <c r="C1264" s="17" t="s">
        <v>9662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7467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9663</v>
      </c>
      <c r="B1265" s="17" t="s">
        <v>9663</v>
      </c>
      <c r="C1265" s="17" t="s">
        <v>9664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7467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9665</v>
      </c>
      <c r="B1266" s="17" t="s">
        <v>9665</v>
      </c>
      <c r="C1266" s="17" t="s">
        <v>9666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7467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9667</v>
      </c>
      <c r="B1267" s="17" t="s">
        <v>9667</v>
      </c>
      <c r="C1267" s="17" t="s">
        <v>9668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7467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9669</v>
      </c>
      <c r="B1268" s="17" t="s">
        <v>9669</v>
      </c>
      <c r="C1268" s="17" t="s">
        <v>9670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7467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9671</v>
      </c>
      <c r="B1269" s="17" t="s">
        <v>9671</v>
      </c>
      <c r="C1269" s="17" t="s">
        <v>9672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7467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9673</v>
      </c>
      <c r="B1270" s="17" t="s">
        <v>9673</v>
      </c>
      <c r="C1270" s="17" t="s">
        <v>9674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7467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9675</v>
      </c>
      <c r="B1271" s="17" t="s">
        <v>9675</v>
      </c>
      <c r="C1271" s="17" t="s">
        <v>9676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7467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9677</v>
      </c>
      <c r="B1272" s="17" t="s">
        <v>9677</v>
      </c>
      <c r="C1272" s="17" t="s">
        <v>9678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7467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9679</v>
      </c>
      <c r="B1273" s="17" t="s">
        <v>9679</v>
      </c>
      <c r="C1273" s="17" t="s">
        <v>9680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7467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9681</v>
      </c>
      <c r="B1274" s="17" t="s">
        <v>9681</v>
      </c>
      <c r="C1274" s="17" t="s">
        <v>9682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7467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9683</v>
      </c>
      <c r="B1275" s="17" t="s">
        <v>9683</v>
      </c>
      <c r="C1275" s="17" t="s">
        <v>9684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7467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9685</v>
      </c>
      <c r="B1276" s="17" t="s">
        <v>9685</v>
      </c>
      <c r="C1276" s="17" t="s">
        <v>9686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7467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9687</v>
      </c>
      <c r="B1277" s="17" t="s">
        <v>9687</v>
      </c>
      <c r="C1277" s="17" t="s">
        <v>9688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7467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9689</v>
      </c>
      <c r="B1278" s="17" t="s">
        <v>9689</v>
      </c>
      <c r="C1278" s="17" t="s">
        <v>9690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7467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9691</v>
      </c>
      <c r="B1279" s="17" t="s">
        <v>9691</v>
      </c>
      <c r="C1279" s="17" t="s">
        <v>9692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7467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9693</v>
      </c>
      <c r="B1280" s="17" t="s">
        <v>9693</v>
      </c>
      <c r="C1280" s="17" t="s">
        <v>9694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7467</v>
      </c>
      <c r="K1280" s="17"/>
      <c r="L1280" s="17"/>
      <c r="M1280" s="21">
        <v>560</v>
      </c>
      <c r="N1280" s="17" t="s">
        <v>13979</v>
      </c>
      <c r="O1280" s="17" t="s">
        <v>477</v>
      </c>
      <c r="P1280" s="17" t="s">
        <v>13631</v>
      </c>
      <c r="Q1280" s="17" t="s">
        <v>25</v>
      </c>
      <c r="R1280" s="17" t="s">
        <v>13632</v>
      </c>
      <c r="S1280" t="s">
        <v>477</v>
      </c>
      <c r="T1280" s="17" t="s">
        <v>13633</v>
      </c>
      <c r="U1280" t="s">
        <v>25</v>
      </c>
      <c r="V1280" s="17" t="s">
        <v>13634</v>
      </c>
      <c r="W1280" s="17"/>
      <c r="X1280" s="17"/>
      <c r="Y1280" s="17"/>
      <c r="Z1280" s="17"/>
      <c r="AA1280" s="17"/>
      <c r="AB1280" s="17"/>
    </row>
    <row r="1281" spans="1:28">
      <c r="A1281" s="17" t="s">
        <v>9695</v>
      </c>
      <c r="B1281" s="17" t="s">
        <v>9695</v>
      </c>
      <c r="C1281" s="17" t="s">
        <v>9696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7467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9697</v>
      </c>
      <c r="B1282" s="17" t="s">
        <v>9697</v>
      </c>
      <c r="C1282" s="17" t="s">
        <v>9698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7467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9699</v>
      </c>
      <c r="B1283" s="17" t="s">
        <v>9699</v>
      </c>
      <c r="C1283" s="17" t="s">
        <v>9700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7467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9701</v>
      </c>
      <c r="B1284" s="17" t="s">
        <v>9701</v>
      </c>
      <c r="C1284" s="17" t="s">
        <v>9702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7467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9703</v>
      </c>
      <c r="B1285" s="17" t="s">
        <v>9703</v>
      </c>
      <c r="C1285" s="17" t="s">
        <v>9704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7467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9705</v>
      </c>
      <c r="B1286" s="17" t="s">
        <v>9705</v>
      </c>
      <c r="C1286" s="17" t="s">
        <v>9706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7467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9707</v>
      </c>
      <c r="B1287" s="17" t="s">
        <v>9707</v>
      </c>
      <c r="C1287" s="17" t="s">
        <v>9708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7467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8068</v>
      </c>
      <c r="B1288" s="16" t="s">
        <v>8068</v>
      </c>
      <c r="C1288" s="16" t="s">
        <v>8069</v>
      </c>
      <c r="D1288" s="16" t="s">
        <v>21</v>
      </c>
      <c r="E1288" s="16" t="s">
        <v>7465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7467</v>
      </c>
      <c r="K1288" s="16"/>
      <c r="L1288" s="16"/>
      <c r="M1288" s="20">
        <v>1200</v>
      </c>
      <c r="N1288" s="17" t="s">
        <v>13979</v>
      </c>
      <c r="O1288" s="16" t="s">
        <v>477</v>
      </c>
      <c r="P1288" s="16" t="s">
        <v>8072</v>
      </c>
      <c r="Q1288" s="16" t="s">
        <v>25</v>
      </c>
      <c r="R1288" s="16" t="s">
        <v>8073</v>
      </c>
      <c r="S1288" s="16" t="s">
        <v>477</v>
      </c>
      <c r="T1288" s="16" t="s">
        <v>8070</v>
      </c>
      <c r="U1288" s="16" t="s">
        <v>25</v>
      </c>
      <c r="V1288" s="16" t="s">
        <v>8071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9709</v>
      </c>
      <c r="B1289" s="17" t="s">
        <v>9709</v>
      </c>
      <c r="C1289" s="17" t="s">
        <v>9710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7467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9711</v>
      </c>
      <c r="B1290" s="17" t="s">
        <v>9711</v>
      </c>
      <c r="C1290" s="17" t="s">
        <v>9712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7467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9713</v>
      </c>
      <c r="B1291" s="17" t="s">
        <v>9713</v>
      </c>
      <c r="C1291" s="17" t="s">
        <v>9714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7467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9715</v>
      </c>
      <c r="B1292" s="17" t="s">
        <v>9715</v>
      </c>
      <c r="C1292" s="17" t="s">
        <v>9716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7467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9717</v>
      </c>
      <c r="B1293" s="17" t="s">
        <v>9717</v>
      </c>
      <c r="C1293" s="17" t="s">
        <v>9718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7467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9719</v>
      </c>
      <c r="B1294" s="17" t="s">
        <v>9719</v>
      </c>
      <c r="C1294" s="17" t="s">
        <v>9720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7467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9721</v>
      </c>
      <c r="B1295" s="17" t="s">
        <v>9721</v>
      </c>
      <c r="C1295" s="17" t="s">
        <v>9722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7467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9723</v>
      </c>
      <c r="B1296" s="17" t="s">
        <v>9723</v>
      </c>
      <c r="C1296" s="17" t="s">
        <v>9724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7467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9725</v>
      </c>
      <c r="B1297" s="17" t="s">
        <v>9725</v>
      </c>
      <c r="C1297" s="17" t="s">
        <v>9726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7467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9727</v>
      </c>
      <c r="B1298" s="17" t="s">
        <v>9727</v>
      </c>
      <c r="C1298" s="17" t="s">
        <v>9728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7467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9729</v>
      </c>
      <c r="B1299" s="17" t="s">
        <v>9729</v>
      </c>
      <c r="C1299" s="17" t="s">
        <v>9730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7467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9731</v>
      </c>
      <c r="B1300" s="17" t="s">
        <v>9731</v>
      </c>
      <c r="C1300" s="17" t="s">
        <v>9732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7467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9733</v>
      </c>
      <c r="B1301" s="17" t="s">
        <v>9733</v>
      </c>
      <c r="C1301" s="17" t="s">
        <v>9734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7467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9735</v>
      </c>
      <c r="B1302" s="17" t="s">
        <v>9735</v>
      </c>
      <c r="C1302" s="17" t="s">
        <v>9736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7467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9737</v>
      </c>
      <c r="B1303" s="17" t="s">
        <v>9737</v>
      </c>
      <c r="C1303" s="17" t="s">
        <v>9738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7467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9739</v>
      </c>
      <c r="B1304" s="17" t="s">
        <v>9739</v>
      </c>
      <c r="C1304" s="17" t="s">
        <v>9740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7467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9741</v>
      </c>
      <c r="B1305" s="17" t="s">
        <v>9741</v>
      </c>
      <c r="C1305" s="17" t="s">
        <v>9742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7467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9743</v>
      </c>
      <c r="B1306" s="17" t="s">
        <v>9743</v>
      </c>
      <c r="C1306" s="17" t="s">
        <v>9744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7467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9745</v>
      </c>
      <c r="B1307" s="17" t="s">
        <v>9745</v>
      </c>
      <c r="C1307" s="17" t="s">
        <v>9746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7467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9747</v>
      </c>
      <c r="B1308" s="17" t="s">
        <v>9747</v>
      </c>
      <c r="C1308" s="17" t="s">
        <v>9748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7467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9749</v>
      </c>
      <c r="B1309" s="17" t="s">
        <v>9749</v>
      </c>
      <c r="C1309" s="17" t="s">
        <v>9750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7467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9751</v>
      </c>
      <c r="B1310" s="17" t="s">
        <v>9751</v>
      </c>
      <c r="C1310" s="17" t="s">
        <v>9752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7467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9753</v>
      </c>
      <c r="B1311" s="17" t="s">
        <v>9753</v>
      </c>
      <c r="C1311" s="17" t="s">
        <v>9754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7467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9755</v>
      </c>
      <c r="B1312" s="17" t="s">
        <v>9755</v>
      </c>
      <c r="C1312" s="17" t="s">
        <v>9756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7467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9757</v>
      </c>
      <c r="B1313" s="17" t="s">
        <v>9757</v>
      </c>
      <c r="C1313" s="17" t="s">
        <v>9758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7467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9759</v>
      </c>
      <c r="B1314" s="17" t="s">
        <v>9759</v>
      </c>
      <c r="C1314" s="17" t="s">
        <v>9760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7467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9761</v>
      </c>
      <c r="B1315" s="17" t="s">
        <v>9761</v>
      </c>
      <c r="C1315" s="17" t="s">
        <v>9762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7467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9763</v>
      </c>
      <c r="B1316" s="17" t="s">
        <v>9763</v>
      </c>
      <c r="C1316" s="17" t="s">
        <v>9764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7467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9765</v>
      </c>
      <c r="B1317" s="17" t="s">
        <v>9765</v>
      </c>
      <c r="C1317" s="17" t="s">
        <v>9766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7467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9767</v>
      </c>
      <c r="B1318" s="17" t="s">
        <v>9767</v>
      </c>
      <c r="C1318" s="17" t="s">
        <v>9768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7467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9769</v>
      </c>
      <c r="B1319" s="17" t="s">
        <v>9769</v>
      </c>
      <c r="C1319" s="17" t="s">
        <v>9770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7467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9771</v>
      </c>
      <c r="B1320" s="17" t="s">
        <v>9771</v>
      </c>
      <c r="C1320" s="17" t="s">
        <v>9772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7467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9773</v>
      </c>
      <c r="B1321" s="17" t="s">
        <v>9773</v>
      </c>
      <c r="C1321" s="17" t="s">
        <v>9774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7467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9775</v>
      </c>
      <c r="B1322" s="17" t="s">
        <v>9775</v>
      </c>
      <c r="C1322" s="17" t="s">
        <v>9776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7467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9777</v>
      </c>
      <c r="B1323" s="17" t="s">
        <v>9777</v>
      </c>
      <c r="C1323" s="17" t="s">
        <v>9778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7467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9779</v>
      </c>
      <c r="B1324" s="17" t="s">
        <v>9779</v>
      </c>
      <c r="C1324" s="17" t="s">
        <v>9780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7467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9781</v>
      </c>
      <c r="B1325" s="17" t="s">
        <v>9781</v>
      </c>
      <c r="C1325" s="17" t="s">
        <v>9782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7467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9783</v>
      </c>
      <c r="B1326" s="17" t="s">
        <v>9783</v>
      </c>
      <c r="C1326" s="17" t="s">
        <v>9784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7467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9785</v>
      </c>
      <c r="B1327" s="17" t="s">
        <v>9785</v>
      </c>
      <c r="C1327" s="17" t="s">
        <v>9786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7467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9787</v>
      </c>
      <c r="B1328" s="17" t="s">
        <v>9787</v>
      </c>
      <c r="C1328" s="17" t="s">
        <v>9788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7467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9789</v>
      </c>
      <c r="B1329" s="17" t="s">
        <v>9789</v>
      </c>
      <c r="C1329" s="17" t="s">
        <v>9790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7467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9791</v>
      </c>
      <c r="B1330" s="17" t="s">
        <v>9791</v>
      </c>
      <c r="C1330" s="17" t="s">
        <v>9792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7467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9793</v>
      </c>
      <c r="B1331" s="17" t="s">
        <v>9793</v>
      </c>
      <c r="C1331" s="17" t="s">
        <v>9794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7467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9795</v>
      </c>
      <c r="B1332" s="17" t="s">
        <v>9795</v>
      </c>
      <c r="C1332" s="17" t="s">
        <v>9796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7467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9797</v>
      </c>
      <c r="B1333" s="17" t="s">
        <v>9797</v>
      </c>
      <c r="C1333" s="17" t="s">
        <v>9798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7467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9799</v>
      </c>
      <c r="B1334" s="17" t="s">
        <v>9799</v>
      </c>
      <c r="C1334" s="17" t="s">
        <v>9800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7467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9801</v>
      </c>
      <c r="B1335" s="17" t="s">
        <v>9801</v>
      </c>
      <c r="C1335" s="17" t="s">
        <v>9802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7467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9803</v>
      </c>
      <c r="B1336" s="17" t="s">
        <v>9803</v>
      </c>
      <c r="C1336" s="17" t="s">
        <v>9804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7467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9805</v>
      </c>
      <c r="B1337" s="17" t="s">
        <v>9805</v>
      </c>
      <c r="C1337" s="17" t="s">
        <v>9806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7467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9807</v>
      </c>
      <c r="B1338" s="17" t="s">
        <v>9807</v>
      </c>
      <c r="C1338" s="17" t="s">
        <v>9808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7467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9809</v>
      </c>
      <c r="B1339" s="17" t="s">
        <v>9809</v>
      </c>
      <c r="C1339" s="17" t="s">
        <v>9810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7467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9811</v>
      </c>
      <c r="B1340" s="17" t="s">
        <v>9811</v>
      </c>
      <c r="C1340" s="17" t="s">
        <v>9812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7467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9813</v>
      </c>
      <c r="B1341" s="17" t="s">
        <v>9813</v>
      </c>
      <c r="C1341" s="17" t="s">
        <v>9814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7467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9815</v>
      </c>
      <c r="B1342" s="17" t="s">
        <v>9815</v>
      </c>
      <c r="C1342" s="17" t="s">
        <v>9816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7467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9817</v>
      </c>
      <c r="B1343" s="17" t="s">
        <v>9817</v>
      </c>
      <c r="C1343" s="17" t="s">
        <v>9818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7467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9819</v>
      </c>
      <c r="B1344" s="17" t="s">
        <v>9819</v>
      </c>
      <c r="C1344" s="17" t="s">
        <v>9820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7467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9821</v>
      </c>
      <c r="B1345" s="17" t="s">
        <v>9821</v>
      </c>
      <c r="C1345" s="17" t="s">
        <v>9822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7467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9823</v>
      </c>
      <c r="B1346" s="17" t="s">
        <v>9823</v>
      </c>
      <c r="C1346" s="16" t="s">
        <v>9824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7467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9825</v>
      </c>
      <c r="B1347" s="17" t="s">
        <v>9825</v>
      </c>
      <c r="C1347" s="17" t="s">
        <v>9826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7467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9827</v>
      </c>
      <c r="B1348" s="17" t="s">
        <v>9827</v>
      </c>
      <c r="C1348" s="17" t="s">
        <v>9828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7467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9829</v>
      </c>
      <c r="B1349" s="17" t="s">
        <v>9829</v>
      </c>
      <c r="C1349" s="17" t="s">
        <v>9830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7467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9831</v>
      </c>
      <c r="B1350" s="17" t="s">
        <v>9831</v>
      </c>
      <c r="C1350" s="17" t="s">
        <v>9832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7467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9833</v>
      </c>
      <c r="B1351" s="17" t="s">
        <v>9833</v>
      </c>
      <c r="C1351" s="17" t="s">
        <v>9834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7467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9835</v>
      </c>
      <c r="B1352" s="17" t="s">
        <v>9835</v>
      </c>
      <c r="C1352" s="17" t="s">
        <v>9836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7467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9837</v>
      </c>
      <c r="B1353" s="17" t="s">
        <v>9837</v>
      </c>
      <c r="C1353" s="17" t="s">
        <v>9838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7467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9839</v>
      </c>
      <c r="B1354" s="17" t="s">
        <v>9839</v>
      </c>
      <c r="C1354" s="17" t="s">
        <v>9840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7467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9841</v>
      </c>
      <c r="B1355" s="17" t="s">
        <v>9841</v>
      </c>
      <c r="C1355" s="17" t="s">
        <v>9842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7467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9843</v>
      </c>
      <c r="B1356" s="17" t="s">
        <v>9843</v>
      </c>
      <c r="C1356" s="17" t="s">
        <v>9844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7467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9845</v>
      </c>
      <c r="B1357" s="17" t="s">
        <v>9845</v>
      </c>
      <c r="C1357" s="17" t="s">
        <v>9846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7467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9847</v>
      </c>
      <c r="B1358" s="17" t="s">
        <v>9847</v>
      </c>
      <c r="C1358" s="17" t="s">
        <v>9848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7467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9849</v>
      </c>
      <c r="B1359" s="17" t="s">
        <v>9849</v>
      </c>
      <c r="C1359" s="17" t="s">
        <v>9850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7467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9851</v>
      </c>
      <c r="B1360" s="17" t="s">
        <v>9851</v>
      </c>
      <c r="C1360" s="17" t="s">
        <v>9852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7467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9853</v>
      </c>
      <c r="B1361" s="17" t="s">
        <v>9853</v>
      </c>
      <c r="C1361" s="17" t="s">
        <v>9854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7467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9855</v>
      </c>
      <c r="B1362" s="17" t="s">
        <v>9855</v>
      </c>
      <c r="C1362" s="17" t="s">
        <v>9856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7467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9857</v>
      </c>
      <c r="B1363" s="17" t="s">
        <v>9857</v>
      </c>
      <c r="C1363" s="17" t="s">
        <v>9858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7467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9859</v>
      </c>
      <c r="B1364" s="17" t="s">
        <v>9859</v>
      </c>
      <c r="C1364" s="17" t="s">
        <v>9860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7467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9861</v>
      </c>
      <c r="B1365" s="17" t="s">
        <v>9861</v>
      </c>
      <c r="C1365" s="17" t="s">
        <v>9862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7467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9863</v>
      </c>
      <c r="B1366" s="17" t="s">
        <v>9863</v>
      </c>
      <c r="C1366" s="17" t="s">
        <v>9864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7467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9865</v>
      </c>
      <c r="B1367" s="17" t="s">
        <v>9865</v>
      </c>
      <c r="C1367" s="17" t="s">
        <v>9866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7467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9867</v>
      </c>
      <c r="B1368" s="17" t="s">
        <v>9867</v>
      </c>
      <c r="C1368" s="17" t="s">
        <v>9868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7467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9869</v>
      </c>
      <c r="B1369" s="17" t="s">
        <v>9869</v>
      </c>
      <c r="C1369" s="17" t="s">
        <v>9870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7467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9871</v>
      </c>
      <c r="B1370" s="17" t="s">
        <v>9871</v>
      </c>
      <c r="C1370" s="17" t="s">
        <v>9872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7467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9873</v>
      </c>
      <c r="B1371" s="17" t="s">
        <v>9873</v>
      </c>
      <c r="C1371" s="17" t="s">
        <v>9874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7467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9875</v>
      </c>
      <c r="B1372" s="17" t="s">
        <v>9875</v>
      </c>
      <c r="C1372" s="17" t="s">
        <v>9876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7467</v>
      </c>
      <c r="K1372" s="17"/>
      <c r="L1372" s="17"/>
      <c r="M1372" s="21">
        <v>3900000</v>
      </c>
      <c r="N1372" s="17" t="s">
        <v>13979</v>
      </c>
      <c r="O1372" s="17" t="s">
        <v>477</v>
      </c>
      <c r="P1372" s="17" t="s">
        <v>12644</v>
      </c>
      <c r="Q1372" t="s">
        <v>25</v>
      </c>
      <c r="R1372" s="17" t="s">
        <v>12645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9877</v>
      </c>
      <c r="B1373" s="17" t="s">
        <v>9877</v>
      </c>
      <c r="C1373" s="17" t="s">
        <v>9878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7467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9879</v>
      </c>
      <c r="B1374" s="17" t="s">
        <v>9879</v>
      </c>
      <c r="C1374" s="17" t="s">
        <v>9880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7467</v>
      </c>
      <c r="K1374" s="17"/>
      <c r="L1374" s="17"/>
      <c r="M1374" s="21">
        <v>4700000</v>
      </c>
      <c r="N1374" s="17" t="s">
        <v>13979</v>
      </c>
      <c r="O1374" t="s">
        <v>477</v>
      </c>
      <c r="P1374" t="s">
        <v>12646</v>
      </c>
      <c r="Q1374" t="s">
        <v>25</v>
      </c>
      <c r="R1374" t="s">
        <v>12647</v>
      </c>
      <c r="S1374" s="17" t="s">
        <v>477</v>
      </c>
      <c r="T1374" s="17" t="s">
        <v>12642</v>
      </c>
      <c r="U1374" t="s">
        <v>25</v>
      </c>
      <c r="V1374" s="17" t="s">
        <v>12643</v>
      </c>
      <c r="W1374" s="17"/>
      <c r="X1374" s="17"/>
      <c r="Y1374" s="17"/>
      <c r="Z1374" s="17"/>
      <c r="AA1374" s="17"/>
      <c r="AB1374" s="17"/>
    </row>
    <row r="1375" spans="1:28">
      <c r="A1375" s="17" t="s">
        <v>9881</v>
      </c>
      <c r="B1375" s="17" t="s">
        <v>9881</v>
      </c>
      <c r="C1375" s="17" t="s">
        <v>9882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7467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9883</v>
      </c>
      <c r="B1376" s="17" t="s">
        <v>9883</v>
      </c>
      <c r="C1376" s="17" t="s">
        <v>9884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7467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9885</v>
      </c>
      <c r="B1377" s="17" t="s">
        <v>9885</v>
      </c>
      <c r="C1377" s="17" t="s">
        <v>9886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7467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9887</v>
      </c>
      <c r="B1378" s="17" t="s">
        <v>9887</v>
      </c>
      <c r="C1378" s="17" t="s">
        <v>9888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7467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9889</v>
      </c>
      <c r="B1379" s="17" t="s">
        <v>9889</v>
      </c>
      <c r="C1379" s="17" t="s">
        <v>9890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7467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9891</v>
      </c>
      <c r="B1380" s="17" t="s">
        <v>9891</v>
      </c>
      <c r="C1380" s="17" t="s">
        <v>9892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7467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9893</v>
      </c>
      <c r="B1381" s="17" t="s">
        <v>9893</v>
      </c>
      <c r="C1381" s="17" t="s">
        <v>9894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7467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9895</v>
      </c>
      <c r="B1382" s="17" t="s">
        <v>9895</v>
      </c>
      <c r="C1382" s="17" t="s">
        <v>9896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7467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14821</v>
      </c>
      <c r="B1384" t="s">
        <v>14821</v>
      </c>
      <c r="C1384" t="s">
        <v>14822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7493</v>
      </c>
      <c r="J1384" s="17" t="s">
        <v>14826</v>
      </c>
      <c r="K1384" s="17"/>
      <c r="L1384" s="17"/>
      <c r="M1384" s="21">
        <v>10000</v>
      </c>
      <c r="N1384" s="17" t="s">
        <v>14823</v>
      </c>
      <c r="O1384" s="17" t="s">
        <v>11340</v>
      </c>
      <c r="P1384" s="17" t="s">
        <v>14824</v>
      </c>
      <c r="Q1384" t="s">
        <v>25</v>
      </c>
      <c r="R1384" s="22" t="s">
        <v>14825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13979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8100</v>
      </c>
      <c r="B1388" s="17" t="s">
        <v>8100</v>
      </c>
      <c r="C1388" s="16" t="s">
        <v>8101</v>
      </c>
      <c r="D1388" s="16" t="s">
        <v>21</v>
      </c>
      <c r="E1388" s="24" t="s">
        <v>22</v>
      </c>
      <c r="F1388" s="17" t="s">
        <v>6445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13979</v>
      </c>
      <c r="O1388" s="16" t="s">
        <v>477</v>
      </c>
      <c r="P1388" s="17" t="s">
        <v>8097</v>
      </c>
      <c r="Q1388" s="16" t="s">
        <v>25</v>
      </c>
      <c r="R1388" s="17" t="s">
        <v>8098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8099</v>
      </c>
      <c r="B1389" s="17" t="s">
        <v>8099</v>
      </c>
      <c r="C1389" s="16" t="s">
        <v>8102</v>
      </c>
      <c r="D1389" s="16" t="s">
        <v>21</v>
      </c>
      <c r="E1389" s="24" t="s">
        <v>22</v>
      </c>
      <c r="F1389" s="17" t="s">
        <v>8096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13979</v>
      </c>
      <c r="O1389" s="16" t="s">
        <v>477</v>
      </c>
      <c r="P1389" s="17" t="s">
        <v>6376</v>
      </c>
      <c r="Q1389" s="16" t="s">
        <v>25</v>
      </c>
      <c r="R1389" s="17" t="s">
        <v>6377</v>
      </c>
      <c r="S1389" s="17"/>
      <c r="T1389" s="17"/>
      <c r="U1389" s="17"/>
      <c r="V1389" s="17"/>
      <c r="W1389" s="17" t="s">
        <v>6379</v>
      </c>
      <c r="X1389" s="17" t="s">
        <v>6378</v>
      </c>
      <c r="Y1389" s="17" t="s">
        <v>4559</v>
      </c>
      <c r="Z1389" s="17" t="s">
        <v>6380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6412</v>
      </c>
      <c r="B1390" s="17" t="s">
        <v>6412</v>
      </c>
      <c r="C1390" s="16" t="s">
        <v>6411</v>
      </c>
      <c r="D1390" s="16" t="s">
        <v>21</v>
      </c>
      <c r="E1390" s="24">
        <v>1206</v>
      </c>
      <c r="F1390" s="17" t="s">
        <v>6444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6410</v>
      </c>
      <c r="K1390" s="16"/>
      <c r="L1390" s="16"/>
      <c r="M1390" s="21">
        <v>60.4</v>
      </c>
      <c r="N1390" s="17" t="s">
        <v>13979</v>
      </c>
      <c r="O1390" s="16" t="s">
        <v>477</v>
      </c>
      <c r="P1390" s="17" t="s">
        <v>6416</v>
      </c>
      <c r="Q1390" s="16" t="s">
        <v>25</v>
      </c>
      <c r="R1390" s="17" t="s">
        <v>6415</v>
      </c>
      <c r="S1390" s="17"/>
      <c r="T1390" s="17"/>
      <c r="U1390" s="17"/>
      <c r="V1390" s="17"/>
      <c r="W1390" s="17" t="s">
        <v>6379</v>
      </c>
      <c r="X1390" s="17" t="s">
        <v>6413</v>
      </c>
      <c r="Y1390" s="17" t="s">
        <v>4559</v>
      </c>
      <c r="Z1390" s="17" t="s">
        <v>6414</v>
      </c>
      <c r="AA1390" s="17"/>
      <c r="AB1390" s="17" t="str">
        <f t="shared" si="12"/>
        <v>GPR120660R4</v>
      </c>
    </row>
    <row r="1391" spans="1:28">
      <c r="A1391" s="17" t="s">
        <v>6431</v>
      </c>
      <c r="B1391" s="17" t="s">
        <v>6431</v>
      </c>
      <c r="C1391" s="16" t="s">
        <v>6432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6410</v>
      </c>
      <c r="K1391" s="16"/>
      <c r="L1391" s="16"/>
      <c r="M1391" s="21">
        <v>15</v>
      </c>
      <c r="N1391" s="17" t="s">
        <v>13979</v>
      </c>
      <c r="O1391" s="16" t="s">
        <v>477</v>
      </c>
      <c r="P1391" s="17" t="s">
        <v>6434</v>
      </c>
      <c r="Q1391" s="16" t="s">
        <v>25</v>
      </c>
      <c r="R1391" s="17" t="s">
        <v>6433</v>
      </c>
      <c r="S1391" s="17"/>
      <c r="T1391" s="17"/>
      <c r="U1391" s="17"/>
      <c r="V1391" s="17"/>
      <c r="W1391" s="17" t="s">
        <v>6379</v>
      </c>
      <c r="X1391" s="17" t="s">
        <v>6435</v>
      </c>
      <c r="Y1391" s="17" t="s">
        <v>4559</v>
      </c>
      <c r="Z1391" s="17" t="s">
        <v>6436</v>
      </c>
      <c r="AA1391" s="17"/>
      <c r="AB1391" s="17" t="str">
        <f t="shared" si="12"/>
        <v>GPR120615R</v>
      </c>
    </row>
    <row r="1392" spans="1:28">
      <c r="A1392" t="s">
        <v>6760</v>
      </c>
      <c r="B1392" t="s">
        <v>6760</v>
      </c>
      <c r="C1392" s="16" t="s">
        <v>6761</v>
      </c>
      <c r="D1392" s="16" t="s">
        <v>21</v>
      </c>
      <c r="E1392" s="14" t="s">
        <v>6762</v>
      </c>
      <c r="F1392" t="s">
        <v>6759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6410</v>
      </c>
      <c r="K1392" s="16"/>
      <c r="L1392" s="16"/>
      <c r="M1392" s="3">
        <v>0.25</v>
      </c>
      <c r="N1392" s="17" t="s">
        <v>13979</v>
      </c>
      <c r="O1392" s="16" t="s">
        <v>477</v>
      </c>
      <c r="P1392" s="17" t="s">
        <v>7804</v>
      </c>
      <c r="Q1392" s="16" t="s">
        <v>25</v>
      </c>
      <c r="R1392" s="16" t="s">
        <v>6797</v>
      </c>
      <c r="W1392" s="29" t="s">
        <v>6800</v>
      </c>
      <c r="X1392" s="5" t="s">
        <v>6799</v>
      </c>
      <c r="Y1392" s="17" t="s">
        <v>4559</v>
      </c>
      <c r="Z1392" s="5" t="s">
        <v>6798</v>
      </c>
      <c r="AB1392" s="17" t="str">
        <f t="shared" si="12"/>
        <v>GPR12060R25</v>
      </c>
    </row>
    <row r="1393" spans="1:28">
      <c r="A1393" t="s">
        <v>6765</v>
      </c>
      <c r="B1393" t="s">
        <v>6765</v>
      </c>
      <c r="C1393" s="16" t="s">
        <v>6766</v>
      </c>
      <c r="D1393" s="16" t="s">
        <v>21</v>
      </c>
      <c r="E1393" s="14" t="s">
        <v>22</v>
      </c>
      <c r="F1393" t="s">
        <v>6767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13979</v>
      </c>
      <c r="O1393" s="16" t="s">
        <v>477</v>
      </c>
      <c r="P1393" t="s">
        <v>6802</v>
      </c>
      <c r="Q1393" s="16" t="s">
        <v>25</v>
      </c>
      <c r="R1393" t="s">
        <v>6801</v>
      </c>
      <c r="W1393" s="17" t="s">
        <v>6379</v>
      </c>
      <c r="X1393" s="5" t="s">
        <v>6803</v>
      </c>
      <c r="Y1393" s="17" t="s">
        <v>4559</v>
      </c>
      <c r="Z1393" s="5" t="s">
        <v>6804</v>
      </c>
      <c r="AB1393" s="17" t="str">
        <f t="shared" si="12"/>
        <v>GPR0603191K</v>
      </c>
    </row>
    <row r="1394" spans="1:28">
      <c r="A1394" t="s">
        <v>6982</v>
      </c>
      <c r="B1394" t="s">
        <v>6983</v>
      </c>
      <c r="C1394" s="30" t="s">
        <v>6984</v>
      </c>
      <c r="D1394" s="16" t="s">
        <v>6969</v>
      </c>
      <c r="E1394" s="14" t="s">
        <v>6985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6986</v>
      </c>
      <c r="K1394" s="16"/>
      <c r="L1394" s="16"/>
      <c r="N1394" s="28" t="s">
        <v>6987</v>
      </c>
      <c r="O1394" s="16" t="s">
        <v>6969</v>
      </c>
      <c r="P1394" t="s">
        <v>6988</v>
      </c>
      <c r="Q1394" s="16" t="s">
        <v>25</v>
      </c>
      <c r="R1394" t="s">
        <v>6989</v>
      </c>
    </row>
    <row r="1395" spans="1:28" ht="16.5">
      <c r="A1395" t="s">
        <v>7006</v>
      </c>
      <c r="B1395" t="s">
        <v>7006</v>
      </c>
      <c r="C1395" s="16" t="s">
        <v>7007</v>
      </c>
      <c r="D1395" s="16" t="s">
        <v>21</v>
      </c>
      <c r="E1395" s="14" t="s">
        <v>22</v>
      </c>
      <c r="F1395" t="s">
        <v>7008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13979</v>
      </c>
      <c r="O1395" s="16" t="s">
        <v>477</v>
      </c>
      <c r="P1395" t="s">
        <v>7009</v>
      </c>
      <c r="Q1395" s="16" t="s">
        <v>25</v>
      </c>
      <c r="R1395" t="s">
        <v>7010</v>
      </c>
      <c r="S1395" s="17" t="s">
        <v>477</v>
      </c>
      <c r="T1395" t="s">
        <v>7012</v>
      </c>
      <c r="U1395" t="s">
        <v>25</v>
      </c>
      <c r="V1395" t="s">
        <v>7011</v>
      </c>
      <c r="W1395" s="9" t="s">
        <v>477</v>
      </c>
      <c r="X1395" s="9" t="s">
        <v>7009</v>
      </c>
      <c r="Y1395" s="17" t="s">
        <v>4559</v>
      </c>
      <c r="Z1395" s="9" t="s">
        <v>7014</v>
      </c>
    </row>
    <row r="1396" spans="1:28" ht="16.5">
      <c r="A1396" t="s">
        <v>7021</v>
      </c>
      <c r="B1396" t="s">
        <v>7021</v>
      </c>
      <c r="C1396" s="16" t="s">
        <v>7023</v>
      </c>
      <c r="D1396" s="16" t="s">
        <v>21</v>
      </c>
      <c r="E1396" s="14" t="s">
        <v>22</v>
      </c>
      <c r="F1396" t="s">
        <v>7017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13979</v>
      </c>
      <c r="O1396" s="16" t="s">
        <v>477</v>
      </c>
      <c r="P1396" t="s">
        <v>7026</v>
      </c>
      <c r="Q1396" s="16" t="s">
        <v>25</v>
      </c>
      <c r="R1396" t="s">
        <v>7025</v>
      </c>
      <c r="S1396" s="17" t="s">
        <v>477</v>
      </c>
      <c r="T1396" t="s">
        <v>7028</v>
      </c>
      <c r="U1396" t="s">
        <v>25</v>
      </c>
      <c r="V1396" t="s">
        <v>7027</v>
      </c>
      <c r="W1396" s="9" t="s">
        <v>477</v>
      </c>
      <c r="X1396" s="9" t="s">
        <v>7020</v>
      </c>
      <c r="Y1396" t="s">
        <v>4559</v>
      </c>
      <c r="Z1396" s="9" t="s">
        <v>7019</v>
      </c>
      <c r="AA1396" s="17" t="s">
        <v>4727</v>
      </c>
    </row>
    <row r="1397" spans="1:28" ht="16.5">
      <c r="A1397" t="s">
        <v>7022</v>
      </c>
      <c r="B1397" t="s">
        <v>7022</v>
      </c>
      <c r="C1397" s="16" t="s">
        <v>7024</v>
      </c>
      <c r="D1397" s="16" t="s">
        <v>21</v>
      </c>
      <c r="E1397" s="14" t="s">
        <v>22</v>
      </c>
      <c r="F1397" t="s">
        <v>7016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13979</v>
      </c>
      <c r="O1397" s="16" t="s">
        <v>477</v>
      </c>
      <c r="P1397" t="s">
        <v>7018</v>
      </c>
      <c r="Q1397" s="16" t="s">
        <v>25</v>
      </c>
      <c r="R1397" t="s">
        <v>7029</v>
      </c>
      <c r="W1397" s="9" t="s">
        <v>477</v>
      </c>
      <c r="X1397" t="s">
        <v>7018</v>
      </c>
      <c r="Y1397" t="s">
        <v>4559</v>
      </c>
      <c r="Z1397" t="s">
        <v>7015</v>
      </c>
      <c r="AA1397" s="17" t="s">
        <v>4727</v>
      </c>
    </row>
    <row r="1398" spans="1:28" ht="15.75">
      <c r="A1398" t="s">
        <v>7463</v>
      </c>
      <c r="B1398" t="s">
        <v>7463</v>
      </c>
      <c r="C1398" s="16" t="s">
        <v>7464</v>
      </c>
      <c r="D1398" s="16" t="s">
        <v>21</v>
      </c>
      <c r="E1398" s="14" t="s">
        <v>7465</v>
      </c>
      <c r="F1398" t="s">
        <v>7466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7467</v>
      </c>
      <c r="K1398" s="16"/>
      <c r="L1398" s="16"/>
      <c r="M1398" s="3">
        <v>5.0000000000000001E-3</v>
      </c>
      <c r="N1398" t="s">
        <v>7471</v>
      </c>
      <c r="O1398" t="s">
        <v>7469</v>
      </c>
      <c r="P1398" t="s">
        <v>7470</v>
      </c>
      <c r="Q1398" s="16" t="s">
        <v>25</v>
      </c>
      <c r="R1398" t="s">
        <v>7468</v>
      </c>
      <c r="W1398" s="8" t="s">
        <v>13467</v>
      </c>
      <c r="X1398" s="8" t="s">
        <v>13466</v>
      </c>
      <c r="Y1398" t="s">
        <v>4559</v>
      </c>
      <c r="Z1398" t="s">
        <v>13465</v>
      </c>
    </row>
    <row r="1399" spans="1:28" ht="15.75">
      <c r="A1399" t="s">
        <v>12477</v>
      </c>
      <c r="B1399" t="s">
        <v>12477</v>
      </c>
      <c r="C1399" s="16" t="s">
        <v>12478</v>
      </c>
      <c r="D1399" s="16" t="s">
        <v>21</v>
      </c>
      <c r="E1399" s="14" t="s">
        <v>7465</v>
      </c>
      <c r="F1399" t="s">
        <v>12479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7467</v>
      </c>
      <c r="K1399" s="16"/>
      <c r="L1399" s="16"/>
      <c r="M1399" s="3">
        <v>0.01</v>
      </c>
      <c r="N1399" t="s">
        <v>14466</v>
      </c>
      <c r="O1399" s="16" t="s">
        <v>477</v>
      </c>
      <c r="P1399" t="s">
        <v>12480</v>
      </c>
      <c r="Q1399" s="16" t="s">
        <v>25</v>
      </c>
      <c r="R1399" t="s">
        <v>12481</v>
      </c>
      <c r="W1399" s="8" t="s">
        <v>13467</v>
      </c>
      <c r="X1399" s="8" t="s">
        <v>13469</v>
      </c>
      <c r="Y1399" t="s">
        <v>4559</v>
      </c>
      <c r="Z1399" s="8" t="s">
        <v>13468</v>
      </c>
    </row>
    <row r="1400" spans="1:28">
      <c r="A1400" t="s">
        <v>7475</v>
      </c>
      <c r="B1400" t="s">
        <v>7475</v>
      </c>
      <c r="C1400" s="16" t="s">
        <v>7476</v>
      </c>
      <c r="D1400" s="16" t="s">
        <v>21</v>
      </c>
      <c r="E1400" s="14" t="s">
        <v>7465</v>
      </c>
      <c r="F1400" t="s">
        <v>7474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7467</v>
      </c>
      <c r="K1400" s="16"/>
      <c r="L1400" s="16"/>
      <c r="M1400" s="3">
        <v>2.5000000000000001E-2</v>
      </c>
      <c r="N1400" t="s">
        <v>7471</v>
      </c>
      <c r="O1400" t="s">
        <v>7469</v>
      </c>
      <c r="P1400" t="s">
        <v>7472</v>
      </c>
      <c r="Q1400" s="16" t="s">
        <v>25</v>
      </c>
      <c r="R1400" t="s">
        <v>7473</v>
      </c>
    </row>
    <row r="1401" spans="1:28">
      <c r="A1401" s="17" t="s">
        <v>7477</v>
      </c>
      <c r="B1401" s="17" t="s">
        <v>7477</v>
      </c>
      <c r="C1401" s="17" t="s">
        <v>7478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7479</v>
      </c>
      <c r="O1401" t="s">
        <v>6406</v>
      </c>
      <c r="P1401" t="s">
        <v>7481</v>
      </c>
      <c r="Q1401" s="16" t="s">
        <v>25</v>
      </c>
      <c r="R1401" t="s">
        <v>7480</v>
      </c>
    </row>
    <row r="1402" spans="1:28">
      <c r="A1402" t="s">
        <v>7489</v>
      </c>
      <c r="B1402" t="s">
        <v>7489</v>
      </c>
      <c r="C1402" s="16" t="s">
        <v>7490</v>
      </c>
      <c r="D1402" s="16" t="s">
        <v>21</v>
      </c>
      <c r="E1402" s="14" t="s">
        <v>7491</v>
      </c>
      <c r="F1402" t="s">
        <v>7492</v>
      </c>
      <c r="G1402" s="17" t="str">
        <f>Config!$B$3</f>
        <v>SCH/R_IEC.SchLib</v>
      </c>
      <c r="H1402" s="16" t="s">
        <v>4296</v>
      </c>
      <c r="I1402" s="18" t="s">
        <v>7493</v>
      </c>
      <c r="J1402" s="16" t="s">
        <v>7494</v>
      </c>
      <c r="K1402" s="16"/>
      <c r="L1402" s="16"/>
      <c r="M1402" s="3">
        <v>25</v>
      </c>
      <c r="N1402" s="26" t="s">
        <v>7495</v>
      </c>
      <c r="O1402" t="s">
        <v>7496</v>
      </c>
      <c r="P1402" t="s">
        <v>7498</v>
      </c>
      <c r="Q1402" s="16" t="s">
        <v>25</v>
      </c>
      <c r="R1402" t="s">
        <v>7497</v>
      </c>
    </row>
    <row r="1403" spans="1:28">
      <c r="A1403" t="s">
        <v>7499</v>
      </c>
      <c r="B1403" t="s">
        <v>7499</v>
      </c>
      <c r="C1403" s="16" t="s">
        <v>7500</v>
      </c>
      <c r="D1403" s="16" t="s">
        <v>21</v>
      </c>
      <c r="E1403" s="14" t="s">
        <v>7504</v>
      </c>
      <c r="F1403" t="s">
        <v>7501</v>
      </c>
      <c r="G1403" s="17" t="str">
        <f>Config!$B$3</f>
        <v>SCH/R_IEC.SchLib</v>
      </c>
      <c r="H1403" s="16" t="s">
        <v>7502</v>
      </c>
      <c r="I1403" s="18" t="s">
        <v>7493</v>
      </c>
      <c r="J1403" s="16" t="s">
        <v>7503</v>
      </c>
      <c r="K1403" s="16"/>
      <c r="L1403" s="16"/>
      <c r="M1403" s="3">
        <v>391</v>
      </c>
      <c r="N1403" s="26" t="s">
        <v>7505</v>
      </c>
      <c r="O1403" t="s">
        <v>6406</v>
      </c>
      <c r="P1403" t="s">
        <v>7499</v>
      </c>
      <c r="Q1403" s="16" t="s">
        <v>25</v>
      </c>
      <c r="R1403" t="s">
        <v>7506</v>
      </c>
    </row>
    <row r="1404" spans="1:28">
      <c r="A1404" t="s">
        <v>7523</v>
      </c>
      <c r="B1404" t="s">
        <v>7523</v>
      </c>
      <c r="C1404" s="16" t="s">
        <v>7544</v>
      </c>
      <c r="D1404" s="16" t="s">
        <v>6969</v>
      </c>
      <c r="E1404" s="14" t="s">
        <v>7565</v>
      </c>
      <c r="F1404" t="s">
        <v>7566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7565</v>
      </c>
      <c r="K1404" s="16"/>
      <c r="L1404" s="16"/>
      <c r="M1404">
        <v>0.08</v>
      </c>
      <c r="N1404" t="s">
        <v>7612</v>
      </c>
      <c r="O1404" s="16" t="s">
        <v>6969</v>
      </c>
      <c r="P1404" t="s">
        <v>7587</v>
      </c>
      <c r="Q1404" s="16" t="s">
        <v>25</v>
      </c>
      <c r="R1404" t="s">
        <v>7613</v>
      </c>
    </row>
    <row r="1405" spans="1:28">
      <c r="A1405" t="s">
        <v>7524</v>
      </c>
      <c r="B1405" t="s">
        <v>7524</v>
      </c>
      <c r="C1405" t="s">
        <v>7545</v>
      </c>
      <c r="D1405" s="16" t="s">
        <v>6969</v>
      </c>
      <c r="E1405" s="14" t="s">
        <v>7565</v>
      </c>
      <c r="F1405" t="s">
        <v>7567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7565</v>
      </c>
      <c r="K1405" s="16"/>
      <c r="L1405" s="16"/>
      <c r="M1405">
        <v>0.1</v>
      </c>
      <c r="N1405" t="s">
        <v>7612</v>
      </c>
      <c r="O1405" s="16" t="s">
        <v>6969</v>
      </c>
      <c r="P1405" t="s">
        <v>7588</v>
      </c>
      <c r="Q1405" s="16" t="s">
        <v>25</v>
      </c>
      <c r="R1405" t="s">
        <v>7614</v>
      </c>
    </row>
    <row r="1406" spans="1:28">
      <c r="A1406" t="s">
        <v>7525</v>
      </c>
      <c r="B1406" t="s">
        <v>7525</v>
      </c>
      <c r="C1406" t="s">
        <v>7546</v>
      </c>
      <c r="D1406" s="16" t="s">
        <v>6969</v>
      </c>
      <c r="E1406" s="14" t="s">
        <v>7565</v>
      </c>
      <c r="F1406" t="s">
        <v>7568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7565</v>
      </c>
      <c r="K1406" s="16"/>
      <c r="L1406" s="16"/>
      <c r="M1406">
        <v>0.125</v>
      </c>
      <c r="N1406" t="s">
        <v>7612</v>
      </c>
      <c r="O1406" s="16" t="s">
        <v>6969</v>
      </c>
      <c r="P1406" t="s">
        <v>7589</v>
      </c>
      <c r="Q1406" s="16" t="s">
        <v>25</v>
      </c>
      <c r="R1406" t="s">
        <v>7615</v>
      </c>
    </row>
    <row r="1407" spans="1:28">
      <c r="A1407" t="s">
        <v>7526</v>
      </c>
      <c r="B1407" t="s">
        <v>7526</v>
      </c>
      <c r="C1407" t="s">
        <v>7547</v>
      </c>
      <c r="D1407" s="16" t="s">
        <v>6969</v>
      </c>
      <c r="E1407" s="14" t="s">
        <v>7565</v>
      </c>
      <c r="F1407" t="s">
        <v>7569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7565</v>
      </c>
      <c r="K1407" s="16"/>
      <c r="L1407" s="16"/>
      <c r="M1407">
        <v>0.16</v>
      </c>
      <c r="N1407" t="s">
        <v>7612</v>
      </c>
      <c r="O1407" s="16" t="s">
        <v>6969</v>
      </c>
      <c r="P1407" t="s">
        <v>7590</v>
      </c>
      <c r="Q1407" s="16" t="s">
        <v>25</v>
      </c>
      <c r="R1407" t="s">
        <v>7616</v>
      </c>
    </row>
    <row r="1408" spans="1:28">
      <c r="A1408" t="s">
        <v>7527</v>
      </c>
      <c r="B1408" t="s">
        <v>7527</v>
      </c>
      <c r="C1408" t="s">
        <v>7548</v>
      </c>
      <c r="D1408" s="16" t="s">
        <v>6969</v>
      </c>
      <c r="E1408" s="14" t="s">
        <v>7565</v>
      </c>
      <c r="F1408" t="s">
        <v>7570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7565</v>
      </c>
      <c r="K1408" s="16"/>
      <c r="L1408" s="16"/>
      <c r="M1408">
        <v>0.2</v>
      </c>
      <c r="N1408" t="s">
        <v>7612</v>
      </c>
      <c r="O1408" s="16" t="s">
        <v>6969</v>
      </c>
      <c r="P1408" t="s">
        <v>7591</v>
      </c>
      <c r="Q1408" s="16" t="s">
        <v>25</v>
      </c>
      <c r="R1408" t="s">
        <v>7617</v>
      </c>
    </row>
    <row r="1409" spans="1:18">
      <c r="A1409" t="s">
        <v>7528</v>
      </c>
      <c r="B1409" t="s">
        <v>7528</v>
      </c>
      <c r="C1409" t="s">
        <v>7549</v>
      </c>
      <c r="D1409" s="16" t="s">
        <v>6969</v>
      </c>
      <c r="E1409" s="14" t="s">
        <v>7565</v>
      </c>
      <c r="F1409" t="s">
        <v>7571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7565</v>
      </c>
      <c r="K1409" s="16"/>
      <c r="L1409" s="16"/>
      <c r="M1409">
        <v>0.25</v>
      </c>
      <c r="N1409" t="s">
        <v>7612</v>
      </c>
      <c r="O1409" s="16" t="s">
        <v>6969</v>
      </c>
      <c r="P1409" t="s">
        <v>7592</v>
      </c>
      <c r="Q1409" s="16" t="s">
        <v>25</v>
      </c>
      <c r="R1409" t="s">
        <v>7618</v>
      </c>
    </row>
    <row r="1410" spans="1:18">
      <c r="A1410" t="s">
        <v>7529</v>
      </c>
      <c r="B1410" t="s">
        <v>7529</v>
      </c>
      <c r="C1410" t="s">
        <v>7550</v>
      </c>
      <c r="D1410" s="16" t="s">
        <v>6969</v>
      </c>
      <c r="E1410" s="14" t="s">
        <v>7565</v>
      </c>
      <c r="F1410" t="s">
        <v>7572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7565</v>
      </c>
      <c r="K1410" s="16"/>
      <c r="L1410" s="16"/>
      <c r="M1410">
        <v>0.315</v>
      </c>
      <c r="N1410" t="s">
        <v>7612</v>
      </c>
      <c r="O1410" s="16" t="s">
        <v>6969</v>
      </c>
      <c r="P1410" t="s">
        <v>7593</v>
      </c>
      <c r="Q1410" s="16" t="s">
        <v>25</v>
      </c>
      <c r="R1410" t="s">
        <v>7619</v>
      </c>
    </row>
    <row r="1411" spans="1:18">
      <c r="A1411" t="s">
        <v>7530</v>
      </c>
      <c r="B1411" t="s">
        <v>7530</v>
      </c>
      <c r="C1411" t="s">
        <v>7551</v>
      </c>
      <c r="D1411" s="16" t="s">
        <v>6969</v>
      </c>
      <c r="E1411" s="14" t="s">
        <v>7565</v>
      </c>
      <c r="F1411" t="s">
        <v>7573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7565</v>
      </c>
      <c r="K1411" s="16"/>
      <c r="L1411" s="16"/>
      <c r="M1411">
        <v>0.4</v>
      </c>
      <c r="N1411" t="s">
        <v>7612</v>
      </c>
      <c r="O1411" s="16" t="s">
        <v>6969</v>
      </c>
      <c r="P1411" t="s">
        <v>7594</v>
      </c>
      <c r="Q1411" s="16" t="s">
        <v>25</v>
      </c>
      <c r="R1411" t="s">
        <v>7620</v>
      </c>
    </row>
    <row r="1412" spans="1:18">
      <c r="A1412" t="s">
        <v>7531</v>
      </c>
      <c r="B1412" t="s">
        <v>7531</v>
      </c>
      <c r="C1412" t="s">
        <v>7552</v>
      </c>
      <c r="D1412" s="16" t="s">
        <v>6969</v>
      </c>
      <c r="E1412" s="14" t="s">
        <v>7565</v>
      </c>
      <c r="F1412" t="s">
        <v>7574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7565</v>
      </c>
      <c r="K1412" s="16"/>
      <c r="L1412" s="16"/>
      <c r="M1412">
        <v>0.5</v>
      </c>
      <c r="N1412" t="s">
        <v>7612</v>
      </c>
      <c r="O1412" s="16" t="s">
        <v>6969</v>
      </c>
      <c r="P1412" t="s">
        <v>7595</v>
      </c>
      <c r="Q1412" s="16" t="s">
        <v>25</v>
      </c>
      <c r="R1412" t="s">
        <v>7621</v>
      </c>
    </row>
    <row r="1413" spans="1:18">
      <c r="A1413" t="s">
        <v>7532</v>
      </c>
      <c r="B1413" t="s">
        <v>7532</v>
      </c>
      <c r="C1413" t="s">
        <v>7553</v>
      </c>
      <c r="D1413" s="16" t="s">
        <v>6969</v>
      </c>
      <c r="E1413" s="14" t="s">
        <v>7565</v>
      </c>
      <c r="F1413" t="s">
        <v>7575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7565</v>
      </c>
      <c r="K1413" s="16"/>
      <c r="L1413" s="16"/>
      <c r="M1413">
        <v>0.63</v>
      </c>
      <c r="N1413" t="s">
        <v>7612</v>
      </c>
      <c r="O1413" s="16" t="s">
        <v>6969</v>
      </c>
      <c r="P1413" t="s">
        <v>7596</v>
      </c>
      <c r="Q1413" s="16" t="s">
        <v>25</v>
      </c>
      <c r="R1413" t="s">
        <v>7622</v>
      </c>
    </row>
    <row r="1414" spans="1:18">
      <c r="A1414" t="s">
        <v>7609</v>
      </c>
      <c r="B1414" t="s">
        <v>7609</v>
      </c>
      <c r="C1414" t="s">
        <v>7610</v>
      </c>
      <c r="D1414" s="16" t="s">
        <v>6969</v>
      </c>
      <c r="E1414" s="14" t="s">
        <v>7565</v>
      </c>
      <c r="F1414" t="s">
        <v>7611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7565</v>
      </c>
      <c r="K1414" s="16"/>
      <c r="L1414" s="16"/>
      <c r="M1414">
        <v>0.8</v>
      </c>
      <c r="N1414" t="s">
        <v>7612</v>
      </c>
      <c r="O1414" s="16" t="s">
        <v>6969</v>
      </c>
      <c r="P1414" t="s">
        <v>7597</v>
      </c>
      <c r="Q1414" s="16" t="s">
        <v>25</v>
      </c>
      <c r="R1414" t="s">
        <v>7623</v>
      </c>
    </row>
    <row r="1415" spans="1:18">
      <c r="A1415" t="s">
        <v>7533</v>
      </c>
      <c r="B1415" t="s">
        <v>7533</v>
      </c>
      <c r="C1415" t="s">
        <v>7554</v>
      </c>
      <c r="D1415" s="16" t="s">
        <v>6969</v>
      </c>
      <c r="E1415" s="14" t="s">
        <v>7565</v>
      </c>
      <c r="F1415" t="s">
        <v>7576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7565</v>
      </c>
      <c r="K1415" s="16"/>
      <c r="L1415" s="16"/>
      <c r="M1415">
        <v>1</v>
      </c>
      <c r="N1415" t="s">
        <v>7612</v>
      </c>
      <c r="O1415" s="16" t="s">
        <v>6969</v>
      </c>
      <c r="P1415" t="s">
        <v>7598</v>
      </c>
      <c r="Q1415" s="16" t="s">
        <v>25</v>
      </c>
      <c r="R1415" t="s">
        <v>7624</v>
      </c>
    </row>
    <row r="1416" spans="1:18">
      <c r="A1416" t="s">
        <v>7534</v>
      </c>
      <c r="B1416" t="s">
        <v>7534</v>
      </c>
      <c r="C1416" t="s">
        <v>7555</v>
      </c>
      <c r="D1416" s="16" t="s">
        <v>6969</v>
      </c>
      <c r="E1416" s="14" t="s">
        <v>7565</v>
      </c>
      <c r="F1416" t="s">
        <v>7577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7565</v>
      </c>
      <c r="K1416" s="16"/>
      <c r="L1416" s="16"/>
      <c r="M1416">
        <v>1.25</v>
      </c>
      <c r="N1416" t="s">
        <v>7612</v>
      </c>
      <c r="O1416" s="16" t="s">
        <v>6969</v>
      </c>
      <c r="P1416" t="s">
        <v>7599</v>
      </c>
      <c r="Q1416" s="16" t="s">
        <v>25</v>
      </c>
      <c r="R1416" t="s">
        <v>7625</v>
      </c>
    </row>
    <row r="1417" spans="1:18">
      <c r="A1417" t="s">
        <v>7535</v>
      </c>
      <c r="B1417" t="s">
        <v>7535</v>
      </c>
      <c r="C1417" t="s">
        <v>7556</v>
      </c>
      <c r="D1417" s="16" t="s">
        <v>6969</v>
      </c>
      <c r="E1417" s="14" t="s">
        <v>7565</v>
      </c>
      <c r="F1417" t="s">
        <v>7578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7565</v>
      </c>
      <c r="K1417" s="16"/>
      <c r="L1417" s="16"/>
      <c r="M1417">
        <v>1.6</v>
      </c>
      <c r="N1417" t="s">
        <v>7612</v>
      </c>
      <c r="O1417" s="16" t="s">
        <v>6969</v>
      </c>
      <c r="P1417" t="s">
        <v>7600</v>
      </c>
      <c r="Q1417" s="16" t="s">
        <v>25</v>
      </c>
      <c r="R1417" t="s">
        <v>7626</v>
      </c>
    </row>
    <row r="1418" spans="1:18">
      <c r="A1418" t="s">
        <v>7536</v>
      </c>
      <c r="B1418" t="s">
        <v>7536</v>
      </c>
      <c r="C1418" t="s">
        <v>7557</v>
      </c>
      <c r="D1418" s="16" t="s">
        <v>6969</v>
      </c>
      <c r="E1418" s="14" t="s">
        <v>7565</v>
      </c>
      <c r="F1418" t="s">
        <v>7579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7565</v>
      </c>
      <c r="K1418" s="16"/>
      <c r="L1418" s="16"/>
      <c r="M1418">
        <v>2</v>
      </c>
      <c r="N1418" t="s">
        <v>7612</v>
      </c>
      <c r="O1418" s="16" t="s">
        <v>6969</v>
      </c>
      <c r="P1418" t="s">
        <v>7601</v>
      </c>
      <c r="Q1418" s="16" t="s">
        <v>25</v>
      </c>
      <c r="R1418" t="s">
        <v>7627</v>
      </c>
    </row>
    <row r="1419" spans="1:18">
      <c r="A1419" t="s">
        <v>7537</v>
      </c>
      <c r="B1419" t="s">
        <v>7537</v>
      </c>
      <c r="C1419" t="s">
        <v>7558</v>
      </c>
      <c r="D1419" s="16" t="s">
        <v>6969</v>
      </c>
      <c r="E1419" s="14" t="s">
        <v>7565</v>
      </c>
      <c r="F1419" t="s">
        <v>7580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7565</v>
      </c>
      <c r="K1419" s="16"/>
      <c r="L1419" s="16"/>
      <c r="M1419">
        <v>2.5</v>
      </c>
      <c r="N1419" t="s">
        <v>7612</v>
      </c>
      <c r="O1419" s="16" t="s">
        <v>6969</v>
      </c>
      <c r="P1419" t="s">
        <v>7602</v>
      </c>
      <c r="Q1419" s="16" t="s">
        <v>25</v>
      </c>
      <c r="R1419" t="s">
        <v>7628</v>
      </c>
    </row>
    <row r="1420" spans="1:18">
      <c r="A1420" t="s">
        <v>7538</v>
      </c>
      <c r="B1420" t="s">
        <v>7538</v>
      </c>
      <c r="C1420" t="s">
        <v>7559</v>
      </c>
      <c r="D1420" s="16" t="s">
        <v>6969</v>
      </c>
      <c r="E1420" s="14" t="s">
        <v>7565</v>
      </c>
      <c r="F1420" t="s">
        <v>7581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7565</v>
      </c>
      <c r="K1420" s="16"/>
      <c r="L1420" s="16"/>
      <c r="M1420">
        <v>3.15</v>
      </c>
      <c r="N1420" t="s">
        <v>7612</v>
      </c>
      <c r="O1420" s="16" t="s">
        <v>6969</v>
      </c>
      <c r="P1420" t="s">
        <v>7603</v>
      </c>
      <c r="Q1420" s="16" t="s">
        <v>25</v>
      </c>
      <c r="R1420" t="s">
        <v>7629</v>
      </c>
    </row>
    <row r="1421" spans="1:18">
      <c r="A1421" t="s">
        <v>7539</v>
      </c>
      <c r="B1421" t="s">
        <v>7539</v>
      </c>
      <c r="C1421" t="s">
        <v>7560</v>
      </c>
      <c r="D1421" s="16" t="s">
        <v>6969</v>
      </c>
      <c r="E1421" s="14" t="s">
        <v>7565</v>
      </c>
      <c r="F1421" t="s">
        <v>7582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7565</v>
      </c>
      <c r="K1421" s="16"/>
      <c r="L1421" s="16"/>
      <c r="M1421">
        <v>4</v>
      </c>
      <c r="N1421" t="s">
        <v>7612</v>
      </c>
      <c r="O1421" s="16" t="s">
        <v>6969</v>
      </c>
      <c r="P1421" t="s">
        <v>7604</v>
      </c>
      <c r="Q1421" s="16" t="s">
        <v>25</v>
      </c>
      <c r="R1421" t="s">
        <v>7630</v>
      </c>
    </row>
    <row r="1422" spans="1:18">
      <c r="A1422" t="s">
        <v>7540</v>
      </c>
      <c r="B1422" t="s">
        <v>7540</v>
      </c>
      <c r="C1422" t="s">
        <v>7561</v>
      </c>
      <c r="D1422" s="16" t="s">
        <v>6969</v>
      </c>
      <c r="E1422" s="14" t="s">
        <v>7565</v>
      </c>
      <c r="F1422" t="s">
        <v>7583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7565</v>
      </c>
      <c r="K1422" s="16"/>
      <c r="L1422" s="16"/>
      <c r="M1422">
        <v>5</v>
      </c>
      <c r="N1422" t="s">
        <v>7612</v>
      </c>
      <c r="O1422" s="16" t="s">
        <v>6969</v>
      </c>
      <c r="P1422" t="s">
        <v>7605</v>
      </c>
      <c r="Q1422" s="16" t="s">
        <v>25</v>
      </c>
      <c r="R1422" t="s">
        <v>7631</v>
      </c>
    </row>
    <row r="1423" spans="1:18">
      <c r="A1423" t="s">
        <v>7541</v>
      </c>
      <c r="B1423" t="s">
        <v>7541</v>
      </c>
      <c r="C1423" t="s">
        <v>7562</v>
      </c>
      <c r="D1423" s="16" t="s">
        <v>6969</v>
      </c>
      <c r="E1423" s="14" t="s">
        <v>7565</v>
      </c>
      <c r="F1423" t="s">
        <v>7584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7565</v>
      </c>
      <c r="K1423" s="16"/>
      <c r="L1423" s="16"/>
      <c r="M1423">
        <v>6.3</v>
      </c>
      <c r="N1423" t="s">
        <v>7612</v>
      </c>
      <c r="O1423" s="16" t="s">
        <v>6969</v>
      </c>
      <c r="P1423" t="s">
        <v>7606</v>
      </c>
      <c r="Q1423" s="16" t="s">
        <v>25</v>
      </c>
      <c r="R1423" t="s">
        <v>7632</v>
      </c>
    </row>
    <row r="1424" spans="1:18">
      <c r="A1424" t="s">
        <v>7542</v>
      </c>
      <c r="B1424" t="s">
        <v>7542</v>
      </c>
      <c r="C1424" t="s">
        <v>7563</v>
      </c>
      <c r="D1424" s="16" t="s">
        <v>6969</v>
      </c>
      <c r="E1424" s="14" t="s">
        <v>7565</v>
      </c>
      <c r="F1424" t="s">
        <v>7585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7565</v>
      </c>
      <c r="K1424" s="16"/>
      <c r="L1424" s="16"/>
      <c r="M1424">
        <v>8</v>
      </c>
      <c r="N1424" t="s">
        <v>7612</v>
      </c>
      <c r="O1424" s="16" t="s">
        <v>6969</v>
      </c>
      <c r="P1424" t="s">
        <v>7607</v>
      </c>
      <c r="Q1424" s="16" t="s">
        <v>25</v>
      </c>
      <c r="R1424" t="s">
        <v>7633</v>
      </c>
    </row>
    <row r="1425" spans="1:22">
      <c r="A1425" t="s">
        <v>7543</v>
      </c>
      <c r="B1425" t="s">
        <v>7543</v>
      </c>
      <c r="C1425" t="s">
        <v>7564</v>
      </c>
      <c r="D1425" s="16" t="s">
        <v>6969</v>
      </c>
      <c r="E1425" s="14" t="s">
        <v>7565</v>
      </c>
      <c r="F1425" t="s">
        <v>7586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7565</v>
      </c>
      <c r="K1425" s="16"/>
      <c r="L1425" s="16"/>
      <c r="M1425">
        <v>10</v>
      </c>
      <c r="N1425" t="s">
        <v>7612</v>
      </c>
      <c r="O1425" s="16" t="s">
        <v>6969</v>
      </c>
      <c r="P1425" t="s">
        <v>7608</v>
      </c>
      <c r="Q1425" s="16" t="s">
        <v>25</v>
      </c>
      <c r="R1425" t="s">
        <v>7634</v>
      </c>
    </row>
    <row r="1426" spans="1:22">
      <c r="A1426" t="s">
        <v>10755</v>
      </c>
      <c r="B1426" t="s">
        <v>10755</v>
      </c>
      <c r="C1426" t="s">
        <v>10756</v>
      </c>
      <c r="D1426" s="16" t="s">
        <v>10757</v>
      </c>
      <c r="E1426" s="14" t="s">
        <v>10758</v>
      </c>
      <c r="F1426" t="s">
        <v>7586</v>
      </c>
      <c r="G1426" s="17" t="str">
        <f>Config!$B$3</f>
        <v>SCH/R_IEC.SchLib</v>
      </c>
      <c r="H1426" s="17" t="s">
        <v>10770</v>
      </c>
      <c r="I1426" s="38"/>
      <c r="J1426" s="40"/>
      <c r="K1426" s="40"/>
      <c r="L1426" s="40"/>
      <c r="N1426" t="s">
        <v>12052</v>
      </c>
      <c r="O1426" s="16" t="s">
        <v>12053</v>
      </c>
      <c r="P1426" t="s">
        <v>12054</v>
      </c>
      <c r="Q1426" s="16" t="s">
        <v>25</v>
      </c>
      <c r="R1426" t="s">
        <v>12055</v>
      </c>
    </row>
    <row r="1427" spans="1:22">
      <c r="A1427" t="s">
        <v>10759</v>
      </c>
      <c r="B1427" t="s">
        <v>10759</v>
      </c>
      <c r="C1427" t="s">
        <v>12475</v>
      </c>
      <c r="D1427" s="16" t="s">
        <v>12476</v>
      </c>
      <c r="E1427" s="14" t="s">
        <v>10758</v>
      </c>
      <c r="G1427" s="17" t="str">
        <f>Config!$B$3</f>
        <v>SCH/R_IEC.SchLib</v>
      </c>
      <c r="H1427" t="s">
        <v>10761</v>
      </c>
      <c r="I1427" s="38" t="str">
        <f>_xlfn.CONCAT(PrivateLibraryPath,"PCB/Littelfuse.PcbLib")</f>
        <v>../altium_lib_private/PCB/Littelfuse.PcbLib</v>
      </c>
      <c r="J1427" s="16" t="s">
        <v>12056</v>
      </c>
      <c r="K1427" s="16"/>
      <c r="L1427" s="16"/>
      <c r="N1427" t="s">
        <v>12474</v>
      </c>
      <c r="O1427" s="16" t="s">
        <v>2669</v>
      </c>
      <c r="P1427" t="s">
        <v>12056</v>
      </c>
      <c r="Q1427" s="16" t="s">
        <v>25</v>
      </c>
      <c r="R1427" t="s">
        <v>12057</v>
      </c>
    </row>
    <row r="1428" spans="1:22">
      <c r="A1428" t="s">
        <v>10760</v>
      </c>
      <c r="B1428" t="s">
        <v>10760</v>
      </c>
      <c r="D1428" s="16"/>
      <c r="E1428" s="14" t="s">
        <v>10758</v>
      </c>
      <c r="G1428" s="17" t="str">
        <f>Config!$B$3</f>
        <v>SCH/R_IEC.SchLib</v>
      </c>
      <c r="H1428" t="s">
        <v>10762</v>
      </c>
      <c r="I1428" s="18"/>
      <c r="J1428" s="16"/>
      <c r="K1428" s="16"/>
      <c r="L1428" s="16"/>
      <c r="O1428" s="16"/>
      <c r="Q1428" s="16"/>
    </row>
    <row r="1429" spans="1:22">
      <c r="A1429" t="s">
        <v>13882</v>
      </c>
      <c r="B1429" t="s">
        <v>13882</v>
      </c>
      <c r="C1429" t="s">
        <v>13915</v>
      </c>
      <c r="D1429" s="16" t="s">
        <v>13896</v>
      </c>
      <c r="E1429" s="14" t="s">
        <v>13890</v>
      </c>
      <c r="F1429" t="s">
        <v>7579</v>
      </c>
      <c r="G1429" s="17" t="str">
        <f>Config!$B$3</f>
        <v>SCH/R_IEC.SchLib</v>
      </c>
      <c r="H1429" s="17" t="s">
        <v>10770</v>
      </c>
      <c r="I1429" s="18" t="s">
        <v>14654</v>
      </c>
      <c r="J1429" s="16" t="s">
        <v>13968</v>
      </c>
      <c r="K1429" s="18" t="s">
        <v>14654</v>
      </c>
      <c r="L1429" s="16" t="s">
        <v>14657</v>
      </c>
      <c r="N1429" t="s">
        <v>13897</v>
      </c>
      <c r="O1429" s="16" t="s">
        <v>13896</v>
      </c>
      <c r="P1429">
        <v>3061295</v>
      </c>
      <c r="Q1429" s="16" t="s">
        <v>25</v>
      </c>
      <c r="R1429" t="s">
        <v>13898</v>
      </c>
    </row>
    <row r="1430" spans="1:22">
      <c r="A1430" t="s">
        <v>13883</v>
      </c>
      <c r="B1430" t="s">
        <v>13883</v>
      </c>
      <c r="C1430" t="s">
        <v>13916</v>
      </c>
      <c r="D1430" s="16" t="s">
        <v>13896</v>
      </c>
      <c r="E1430" s="14" t="s">
        <v>13890</v>
      </c>
      <c r="F1430" t="s">
        <v>7582</v>
      </c>
      <c r="G1430" s="17" t="str">
        <f>Config!$B$3</f>
        <v>SCH/R_IEC.SchLib</v>
      </c>
      <c r="H1430" s="17" t="s">
        <v>10770</v>
      </c>
      <c r="I1430" s="18" t="s">
        <v>14654</v>
      </c>
      <c r="J1430" s="16" t="s">
        <v>13968</v>
      </c>
      <c r="K1430" s="18" t="s">
        <v>14654</v>
      </c>
      <c r="L1430" s="16" t="s">
        <v>14657</v>
      </c>
      <c r="N1430" t="s">
        <v>13899</v>
      </c>
      <c r="O1430" s="16" t="s">
        <v>13896</v>
      </c>
      <c r="P1430">
        <v>3061305</v>
      </c>
      <c r="Q1430" s="16" t="s">
        <v>25</v>
      </c>
      <c r="R1430" t="s">
        <v>13900</v>
      </c>
    </row>
    <row r="1431" spans="1:22">
      <c r="A1431" t="s">
        <v>13884</v>
      </c>
      <c r="B1431" t="s">
        <v>13884</v>
      </c>
      <c r="C1431" t="s">
        <v>13917</v>
      </c>
      <c r="D1431" s="16" t="s">
        <v>13896</v>
      </c>
      <c r="E1431" s="14" t="s">
        <v>13890</v>
      </c>
      <c r="F1431" t="s">
        <v>13891</v>
      </c>
      <c r="G1431" s="17" t="str">
        <f>Config!$B$3</f>
        <v>SCH/R_IEC.SchLib</v>
      </c>
      <c r="H1431" s="17" t="s">
        <v>10770</v>
      </c>
      <c r="I1431" s="18" t="s">
        <v>14654</v>
      </c>
      <c r="J1431" s="16" t="s">
        <v>13968</v>
      </c>
      <c r="K1431" s="18" t="s">
        <v>14654</v>
      </c>
      <c r="L1431" s="16" t="s">
        <v>14657</v>
      </c>
      <c r="N1431" t="s">
        <v>13901</v>
      </c>
      <c r="O1431" s="16" t="s">
        <v>13896</v>
      </c>
      <c r="P1431">
        <v>3061318</v>
      </c>
      <c r="Q1431" s="16" t="s">
        <v>25</v>
      </c>
      <c r="R1431" t="s">
        <v>13902</v>
      </c>
    </row>
    <row r="1432" spans="1:22">
      <c r="A1432" t="s">
        <v>13885</v>
      </c>
      <c r="B1432" t="s">
        <v>13885</v>
      </c>
      <c r="C1432" t="s">
        <v>13918</v>
      </c>
      <c r="D1432" s="16" t="s">
        <v>13896</v>
      </c>
      <c r="E1432" s="14" t="s">
        <v>13890</v>
      </c>
      <c r="F1432" t="s">
        <v>7585</v>
      </c>
      <c r="G1432" s="17" t="str">
        <f>Config!$B$3</f>
        <v>SCH/R_IEC.SchLib</v>
      </c>
      <c r="H1432" s="17" t="s">
        <v>10770</v>
      </c>
      <c r="I1432" s="18" t="s">
        <v>14654</v>
      </c>
      <c r="J1432" s="16" t="s">
        <v>13968</v>
      </c>
      <c r="K1432" s="18" t="s">
        <v>14654</v>
      </c>
      <c r="L1432" s="16" t="s">
        <v>14657</v>
      </c>
      <c r="N1432" t="s">
        <v>13903</v>
      </c>
      <c r="O1432" s="16" t="s">
        <v>13896</v>
      </c>
      <c r="P1432">
        <v>3061321</v>
      </c>
      <c r="Q1432" s="16" t="s">
        <v>25</v>
      </c>
      <c r="R1432" t="s">
        <v>13904</v>
      </c>
    </row>
    <row r="1433" spans="1:22">
      <c r="A1433" t="s">
        <v>13879</v>
      </c>
      <c r="B1433" t="s">
        <v>13879</v>
      </c>
      <c r="C1433" t="s">
        <v>13919</v>
      </c>
      <c r="D1433" s="16" t="s">
        <v>13896</v>
      </c>
      <c r="E1433" s="14" t="s">
        <v>13890</v>
      </c>
      <c r="F1433" t="s">
        <v>7586</v>
      </c>
      <c r="G1433" s="17" t="str">
        <f>Config!$B$3</f>
        <v>SCH/R_IEC.SchLib</v>
      </c>
      <c r="H1433" s="17" t="s">
        <v>10770</v>
      </c>
      <c r="I1433" s="18" t="s">
        <v>14654</v>
      </c>
      <c r="J1433" s="16" t="s">
        <v>13968</v>
      </c>
      <c r="K1433" s="18" t="s">
        <v>14654</v>
      </c>
      <c r="L1433" s="16" t="s">
        <v>14657</v>
      </c>
      <c r="N1433" t="s">
        <v>13905</v>
      </c>
      <c r="O1433" s="16" t="s">
        <v>13896</v>
      </c>
      <c r="P1433">
        <v>3061334</v>
      </c>
      <c r="Q1433" s="16" t="s">
        <v>25</v>
      </c>
      <c r="R1433" t="s">
        <v>13906</v>
      </c>
    </row>
    <row r="1434" spans="1:22">
      <c r="A1434" t="s">
        <v>13881</v>
      </c>
      <c r="B1434" t="s">
        <v>13881</v>
      </c>
      <c r="C1434" t="s">
        <v>13920</v>
      </c>
      <c r="D1434" s="16" t="s">
        <v>13896</v>
      </c>
      <c r="E1434" s="14" t="s">
        <v>13890</v>
      </c>
      <c r="F1434" t="s">
        <v>13892</v>
      </c>
      <c r="G1434" s="17" t="str">
        <f>Config!$B$3</f>
        <v>SCH/R_IEC.SchLib</v>
      </c>
      <c r="H1434" s="17" t="s">
        <v>10770</v>
      </c>
      <c r="I1434" s="18" t="s">
        <v>14654</v>
      </c>
      <c r="J1434" s="16" t="s">
        <v>13968</v>
      </c>
      <c r="K1434" s="18" t="s">
        <v>14654</v>
      </c>
      <c r="L1434" s="16" t="s">
        <v>14657</v>
      </c>
      <c r="N1434" t="s">
        <v>13907</v>
      </c>
      <c r="O1434" s="16" t="s">
        <v>13896</v>
      </c>
      <c r="P1434">
        <v>3061347</v>
      </c>
      <c r="Q1434" s="16" t="s">
        <v>25</v>
      </c>
      <c r="R1434" t="s">
        <v>13908</v>
      </c>
    </row>
    <row r="1435" spans="1:22">
      <c r="A1435" t="s">
        <v>13886</v>
      </c>
      <c r="B1435" t="s">
        <v>13886</v>
      </c>
      <c r="C1435" t="s">
        <v>13921</v>
      </c>
      <c r="D1435" s="16" t="s">
        <v>13896</v>
      </c>
      <c r="E1435" s="14" t="s">
        <v>13890</v>
      </c>
      <c r="F1435" t="s">
        <v>13893</v>
      </c>
      <c r="G1435" s="17" t="str">
        <f>Config!$B$3</f>
        <v>SCH/R_IEC.SchLib</v>
      </c>
      <c r="H1435" s="17" t="s">
        <v>10770</v>
      </c>
      <c r="I1435" s="18" t="s">
        <v>14654</v>
      </c>
      <c r="J1435" s="16" t="s">
        <v>13968</v>
      </c>
      <c r="K1435" s="18" t="s">
        <v>14654</v>
      </c>
      <c r="L1435" s="16" t="s">
        <v>14657</v>
      </c>
      <c r="N1435" t="s">
        <v>13909</v>
      </c>
      <c r="O1435" s="16" t="s">
        <v>13896</v>
      </c>
      <c r="P1435">
        <v>3062784</v>
      </c>
      <c r="Q1435" s="16" t="s">
        <v>25</v>
      </c>
      <c r="R1435" t="s">
        <v>13910</v>
      </c>
    </row>
    <row r="1436" spans="1:22">
      <c r="A1436" t="s">
        <v>13887</v>
      </c>
      <c r="B1436" t="s">
        <v>13887</v>
      </c>
      <c r="C1436" t="s">
        <v>13922</v>
      </c>
      <c r="D1436" s="16" t="s">
        <v>13896</v>
      </c>
      <c r="E1436" s="14" t="s">
        <v>13890</v>
      </c>
      <c r="F1436" t="s">
        <v>13894</v>
      </c>
      <c r="G1436" s="17" t="str">
        <f>Config!$B$3</f>
        <v>SCH/R_IEC.SchLib</v>
      </c>
      <c r="H1436" s="17" t="s">
        <v>10770</v>
      </c>
      <c r="I1436" s="18" t="s">
        <v>14654</v>
      </c>
      <c r="J1436" s="16" t="s">
        <v>13968</v>
      </c>
      <c r="K1436" s="18" t="s">
        <v>14654</v>
      </c>
      <c r="L1436" s="16" t="s">
        <v>14657</v>
      </c>
      <c r="N1436" t="s">
        <v>13911</v>
      </c>
      <c r="O1436" s="16" t="s">
        <v>13896</v>
      </c>
      <c r="P1436">
        <v>3061350</v>
      </c>
      <c r="Q1436" s="16" t="s">
        <v>25</v>
      </c>
      <c r="R1436" t="s">
        <v>13912</v>
      </c>
    </row>
    <row r="1437" spans="1:22">
      <c r="A1437" t="s">
        <v>13888</v>
      </c>
      <c r="B1437" t="s">
        <v>13888</v>
      </c>
      <c r="C1437" t="s">
        <v>13923</v>
      </c>
      <c r="D1437" s="16" t="s">
        <v>13896</v>
      </c>
      <c r="E1437" s="14" t="s">
        <v>13890</v>
      </c>
      <c r="F1437" t="s">
        <v>13895</v>
      </c>
      <c r="G1437" s="17" t="str">
        <f>Config!$B$3</f>
        <v>SCH/R_IEC.SchLib</v>
      </c>
      <c r="H1437" s="17" t="s">
        <v>10770</v>
      </c>
      <c r="I1437" s="18" t="s">
        <v>14654</v>
      </c>
      <c r="J1437" s="16" t="s">
        <v>13968</v>
      </c>
      <c r="K1437" s="18" t="s">
        <v>14654</v>
      </c>
      <c r="L1437" s="16" t="s">
        <v>14657</v>
      </c>
      <c r="N1437" t="s">
        <v>13913</v>
      </c>
      <c r="O1437" s="16" t="s">
        <v>13896</v>
      </c>
      <c r="P1437">
        <v>3061363</v>
      </c>
      <c r="Q1437" s="16" t="s">
        <v>25</v>
      </c>
      <c r="R1437" t="s">
        <v>13914</v>
      </c>
    </row>
    <row r="1438" spans="1:22">
      <c r="A1438" t="s">
        <v>13889</v>
      </c>
      <c r="B1438" t="s">
        <v>13889</v>
      </c>
      <c r="D1438" s="16"/>
      <c r="E1438" s="14" t="s">
        <v>13890</v>
      </c>
      <c r="G1438" s="17" t="str">
        <f>Config!$B$3</f>
        <v>SCH/R_IEC.SchLib</v>
      </c>
      <c r="H1438" t="s">
        <v>10761</v>
      </c>
      <c r="I1438" s="18" t="s">
        <v>14653</v>
      </c>
      <c r="J1438" s="16" t="s">
        <v>13967</v>
      </c>
      <c r="K1438" s="16"/>
      <c r="L1438" s="16"/>
      <c r="N1438" t="s">
        <v>13924</v>
      </c>
      <c r="O1438" s="16" t="s">
        <v>13925</v>
      </c>
      <c r="P1438">
        <v>3576</v>
      </c>
      <c r="Q1438" s="16" t="s">
        <v>25</v>
      </c>
      <c r="R1438" t="s">
        <v>13926</v>
      </c>
      <c r="S1438" s="16" t="s">
        <v>13925</v>
      </c>
      <c r="T1438">
        <v>3576</v>
      </c>
      <c r="U1438" s="16" t="s">
        <v>4349</v>
      </c>
      <c r="V1438" t="s">
        <v>13930</v>
      </c>
    </row>
    <row r="1439" spans="1:22">
      <c r="A1439" t="s">
        <v>13927</v>
      </c>
      <c r="B1439" t="s">
        <v>13927</v>
      </c>
      <c r="D1439" s="16"/>
      <c r="E1439" s="14" t="s">
        <v>13890</v>
      </c>
      <c r="G1439" s="17" t="str">
        <f>Config!$B$3</f>
        <v>SCH/R_IEC.SchLib</v>
      </c>
      <c r="H1439" t="s">
        <v>10761</v>
      </c>
      <c r="I1439" s="18" t="s">
        <v>14653</v>
      </c>
      <c r="J1439" s="16" t="s">
        <v>13966</v>
      </c>
      <c r="K1439" s="16"/>
      <c r="L1439" s="16"/>
      <c r="N1439" t="s">
        <v>13928</v>
      </c>
      <c r="O1439" s="16" t="s">
        <v>13925</v>
      </c>
      <c r="P1439">
        <v>3574</v>
      </c>
      <c r="Q1439" s="16" t="s">
        <v>25</v>
      </c>
      <c r="R1439" t="s">
        <v>13929</v>
      </c>
      <c r="S1439" s="16" t="s">
        <v>13925</v>
      </c>
      <c r="T1439">
        <v>3574</v>
      </c>
      <c r="U1439" s="16" t="s">
        <v>4349</v>
      </c>
      <c r="V1439" t="s">
        <v>13931</v>
      </c>
    </row>
    <row r="1440" spans="1:22">
      <c r="A1440" t="s">
        <v>13880</v>
      </c>
      <c r="B1440" t="s">
        <v>13880</v>
      </c>
      <c r="D1440" s="16"/>
      <c r="E1440" s="14" t="s">
        <v>13890</v>
      </c>
      <c r="G1440" s="17" t="str">
        <f>Config!$B$3</f>
        <v>SCH/R_IEC.SchLib</v>
      </c>
      <c r="H1440" t="s">
        <v>10762</v>
      </c>
      <c r="I1440" s="18"/>
      <c r="J1440" s="40"/>
      <c r="K1440" s="40"/>
      <c r="L1440" s="40"/>
      <c r="O1440" s="16"/>
      <c r="Q1440" s="16"/>
    </row>
    <row r="1441" spans="1:28">
      <c r="A1441" t="s">
        <v>8030</v>
      </c>
      <c r="B1441" t="s">
        <v>8030</v>
      </c>
      <c r="C1441" t="s">
        <v>8035</v>
      </c>
      <c r="D1441" s="16" t="s">
        <v>4368</v>
      </c>
      <c r="E1441" s="14" t="s">
        <v>8033</v>
      </c>
      <c r="F1441" t="s">
        <v>163</v>
      </c>
      <c r="G1441" s="17" t="str">
        <f>Config!$B$3</f>
        <v>SCH/R_IEC.SchLib</v>
      </c>
      <c r="H1441" t="s">
        <v>8032</v>
      </c>
      <c r="I1441" s="18" t="s">
        <v>8037</v>
      </c>
      <c r="J1441" t="s">
        <v>8033</v>
      </c>
      <c r="M1441">
        <v>1000</v>
      </c>
      <c r="N1441" t="s">
        <v>8038</v>
      </c>
      <c r="O1441" t="s">
        <v>4546</v>
      </c>
      <c r="P1441" t="s">
        <v>8039</v>
      </c>
      <c r="Q1441" s="16" t="s">
        <v>25</v>
      </c>
      <c r="R1441" t="s">
        <v>8040</v>
      </c>
    </row>
    <row r="1442" spans="1:28">
      <c r="A1442" t="s">
        <v>8031</v>
      </c>
      <c r="B1442" t="s">
        <v>8031</v>
      </c>
      <c r="C1442" t="s">
        <v>8036</v>
      </c>
      <c r="D1442" s="16" t="s">
        <v>4368</v>
      </c>
      <c r="E1442" s="14" t="s">
        <v>8034</v>
      </c>
      <c r="F1442" t="s">
        <v>163</v>
      </c>
      <c r="G1442" s="17" t="str">
        <f>Config!$B$3</f>
        <v>SCH/R_IEC.SchLib</v>
      </c>
      <c r="H1442" t="s">
        <v>8032</v>
      </c>
      <c r="I1442" s="18" t="s">
        <v>8037</v>
      </c>
      <c r="J1442" t="s">
        <v>8034</v>
      </c>
      <c r="M1442">
        <v>1000</v>
      </c>
      <c r="N1442" t="s">
        <v>8038</v>
      </c>
      <c r="O1442" s="16" t="s">
        <v>4546</v>
      </c>
      <c r="P1442" t="s">
        <v>8041</v>
      </c>
      <c r="Q1442" s="16" t="s">
        <v>25</v>
      </c>
      <c r="R1442" t="s">
        <v>8042</v>
      </c>
    </row>
    <row r="1443" spans="1:28">
      <c r="A1443" s="16" t="s">
        <v>8103</v>
      </c>
      <c r="B1443" s="16" t="s">
        <v>8103</v>
      </c>
      <c r="C1443" s="16" t="s">
        <v>8274</v>
      </c>
      <c r="D1443" s="16" t="s">
        <v>21</v>
      </c>
      <c r="E1443" s="36" t="s">
        <v>8444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7493</v>
      </c>
      <c r="J1443" s="16" t="s">
        <v>8273</v>
      </c>
      <c r="K1443" s="16"/>
      <c r="L1443" s="16"/>
      <c r="M1443" s="19">
        <v>0</v>
      </c>
      <c r="N1443" s="19" t="s">
        <v>8460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8104</v>
      </c>
      <c r="B1444" s="16" t="s">
        <v>8104</v>
      </c>
      <c r="C1444" s="16" t="s">
        <v>8275</v>
      </c>
      <c r="D1444" s="16" t="s">
        <v>21</v>
      </c>
      <c r="E1444" s="36" t="s">
        <v>8444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7493</v>
      </c>
      <c r="J1444" s="16" t="s">
        <v>8273</v>
      </c>
      <c r="K1444" s="16"/>
      <c r="L1444" s="16"/>
      <c r="M1444" s="19">
        <v>1</v>
      </c>
      <c r="N1444" s="19" t="s">
        <v>8460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8105</v>
      </c>
      <c r="B1445" s="16" t="s">
        <v>8105</v>
      </c>
      <c r="C1445" s="16" t="s">
        <v>8276</v>
      </c>
      <c r="D1445" s="16" t="s">
        <v>21</v>
      </c>
      <c r="E1445" s="36" t="s">
        <v>8444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7493</v>
      </c>
      <c r="J1445" s="16" t="s">
        <v>8273</v>
      </c>
      <c r="K1445" s="16"/>
      <c r="L1445" s="16"/>
      <c r="M1445" s="19">
        <v>1.1000000000000001</v>
      </c>
      <c r="N1445" s="19" t="s">
        <v>8460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8106</v>
      </c>
      <c r="B1446" s="16" t="s">
        <v>8106</v>
      </c>
      <c r="C1446" s="16" t="s">
        <v>8277</v>
      </c>
      <c r="D1446" s="16" t="s">
        <v>21</v>
      </c>
      <c r="E1446" s="36" t="s">
        <v>8444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7493</v>
      </c>
      <c r="J1446" s="16" t="s">
        <v>8273</v>
      </c>
      <c r="K1446" s="16"/>
      <c r="L1446" s="16"/>
      <c r="M1446" s="19">
        <v>1.2</v>
      </c>
      <c r="N1446" s="19" t="s">
        <v>8460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8107</v>
      </c>
      <c r="B1447" s="16" t="s">
        <v>8107</v>
      </c>
      <c r="C1447" s="16" t="s">
        <v>8278</v>
      </c>
      <c r="D1447" s="16" t="s">
        <v>21</v>
      </c>
      <c r="E1447" s="36" t="s">
        <v>8444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7493</v>
      </c>
      <c r="J1447" s="16" t="s">
        <v>8273</v>
      </c>
      <c r="K1447" s="16"/>
      <c r="L1447" s="16"/>
      <c r="M1447" s="19">
        <v>1.3</v>
      </c>
      <c r="N1447" s="19" t="s">
        <v>8460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8108</v>
      </c>
      <c r="B1448" s="16" t="s">
        <v>8108</v>
      </c>
      <c r="C1448" s="16" t="s">
        <v>8279</v>
      </c>
      <c r="D1448" s="16" t="s">
        <v>21</v>
      </c>
      <c r="E1448" s="36" t="s">
        <v>8444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7493</v>
      </c>
      <c r="J1448" s="16" t="s">
        <v>8273</v>
      </c>
      <c r="K1448" s="16"/>
      <c r="L1448" s="16"/>
      <c r="M1448" s="19">
        <v>1.5</v>
      </c>
      <c r="N1448" s="19" t="s">
        <v>8460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8109</v>
      </c>
      <c r="B1449" s="16" t="s">
        <v>8109</v>
      </c>
      <c r="C1449" s="16" t="s">
        <v>8280</v>
      </c>
      <c r="D1449" s="16" t="s">
        <v>21</v>
      </c>
      <c r="E1449" s="36" t="s">
        <v>8444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7493</v>
      </c>
      <c r="J1449" s="16" t="s">
        <v>8273</v>
      </c>
      <c r="K1449" s="16"/>
      <c r="L1449" s="16"/>
      <c r="M1449" s="19">
        <v>1.6</v>
      </c>
      <c r="N1449" s="19" t="s">
        <v>8460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8110</v>
      </c>
      <c r="B1450" s="16" t="s">
        <v>8110</v>
      </c>
      <c r="C1450" s="16" t="s">
        <v>8281</v>
      </c>
      <c r="D1450" s="16" t="s">
        <v>21</v>
      </c>
      <c r="E1450" s="36" t="s">
        <v>8444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7493</v>
      </c>
      <c r="J1450" s="16" t="s">
        <v>8273</v>
      </c>
      <c r="K1450" s="16"/>
      <c r="L1450" s="16"/>
      <c r="M1450" s="19">
        <v>1.8</v>
      </c>
      <c r="N1450" s="19" t="s">
        <v>8460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8111</v>
      </c>
      <c r="B1451" s="16" t="s">
        <v>8111</v>
      </c>
      <c r="C1451" s="16" t="s">
        <v>8282</v>
      </c>
      <c r="D1451" s="16" t="s">
        <v>21</v>
      </c>
      <c r="E1451" s="36" t="s">
        <v>8444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7493</v>
      </c>
      <c r="J1451" s="16" t="s">
        <v>8273</v>
      </c>
      <c r="K1451" s="16"/>
      <c r="L1451" s="16"/>
      <c r="M1451" s="19">
        <v>2</v>
      </c>
      <c r="N1451" s="19" t="s">
        <v>8460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8112</v>
      </c>
      <c r="B1452" s="16" t="s">
        <v>8112</v>
      </c>
      <c r="C1452" s="16" t="s">
        <v>8283</v>
      </c>
      <c r="D1452" s="16" t="s">
        <v>21</v>
      </c>
      <c r="E1452" s="36" t="s">
        <v>8444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7493</v>
      </c>
      <c r="J1452" s="16" t="s">
        <v>8273</v>
      </c>
      <c r="K1452" s="16"/>
      <c r="L1452" s="16"/>
      <c r="M1452" s="19">
        <v>2.2000000000000002</v>
      </c>
      <c r="N1452" s="19" t="s">
        <v>8460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8113</v>
      </c>
      <c r="B1453" s="16" t="s">
        <v>8113</v>
      </c>
      <c r="C1453" s="16" t="s">
        <v>8284</v>
      </c>
      <c r="D1453" s="16" t="s">
        <v>21</v>
      </c>
      <c r="E1453" s="36" t="s">
        <v>8444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7493</v>
      </c>
      <c r="J1453" s="16" t="s">
        <v>8273</v>
      </c>
      <c r="K1453" s="16"/>
      <c r="L1453" s="16"/>
      <c r="M1453" s="19">
        <v>2.4</v>
      </c>
      <c r="N1453" s="19" t="s">
        <v>8460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8114</v>
      </c>
      <c r="B1454" s="16" t="s">
        <v>8114</v>
      </c>
      <c r="C1454" s="16" t="s">
        <v>8285</v>
      </c>
      <c r="D1454" s="16" t="s">
        <v>21</v>
      </c>
      <c r="E1454" s="36" t="s">
        <v>8444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7493</v>
      </c>
      <c r="J1454" s="16" t="s">
        <v>8273</v>
      </c>
      <c r="K1454" s="16"/>
      <c r="L1454" s="16"/>
      <c r="M1454" s="19">
        <v>2.7</v>
      </c>
      <c r="N1454" s="19" t="s">
        <v>8460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8115</v>
      </c>
      <c r="B1455" s="16" t="s">
        <v>8115</v>
      </c>
      <c r="C1455" s="16" t="s">
        <v>8286</v>
      </c>
      <c r="D1455" s="16" t="s">
        <v>21</v>
      </c>
      <c r="E1455" s="36" t="s">
        <v>8444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7493</v>
      </c>
      <c r="J1455" s="16" t="s">
        <v>8273</v>
      </c>
      <c r="K1455" s="16"/>
      <c r="L1455" s="16"/>
      <c r="M1455" s="19">
        <v>3</v>
      </c>
      <c r="N1455" s="19" t="s">
        <v>8460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8116</v>
      </c>
      <c r="B1456" s="16" t="s">
        <v>8116</v>
      </c>
      <c r="C1456" s="16" t="s">
        <v>8287</v>
      </c>
      <c r="D1456" s="16" t="s">
        <v>21</v>
      </c>
      <c r="E1456" s="36" t="s">
        <v>8444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7493</v>
      </c>
      <c r="J1456" s="16" t="s">
        <v>8273</v>
      </c>
      <c r="K1456" s="16"/>
      <c r="L1456" s="16"/>
      <c r="M1456" s="19">
        <v>3.3</v>
      </c>
      <c r="N1456" s="19" t="s">
        <v>8460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8117</v>
      </c>
      <c r="B1457" s="16" t="s">
        <v>8117</v>
      </c>
      <c r="C1457" s="16" t="s">
        <v>8288</v>
      </c>
      <c r="D1457" s="16" t="s">
        <v>21</v>
      </c>
      <c r="E1457" s="36" t="s">
        <v>8444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7493</v>
      </c>
      <c r="J1457" s="16" t="s">
        <v>8273</v>
      </c>
      <c r="K1457" s="16"/>
      <c r="L1457" s="16"/>
      <c r="M1457" s="19">
        <v>3.6</v>
      </c>
      <c r="N1457" s="19" t="s">
        <v>8460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8118</v>
      </c>
      <c r="B1458" s="16" t="s">
        <v>8118</v>
      </c>
      <c r="C1458" s="16" t="s">
        <v>8289</v>
      </c>
      <c r="D1458" s="16" t="s">
        <v>21</v>
      </c>
      <c r="E1458" s="36" t="s">
        <v>8444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7493</v>
      </c>
      <c r="J1458" s="16" t="s">
        <v>8273</v>
      </c>
      <c r="K1458" s="16"/>
      <c r="L1458" s="16"/>
      <c r="M1458" s="19">
        <v>3.9</v>
      </c>
      <c r="N1458" s="19" t="s">
        <v>8460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8119</v>
      </c>
      <c r="B1459" s="16" t="s">
        <v>8119</v>
      </c>
      <c r="C1459" s="16" t="s">
        <v>8290</v>
      </c>
      <c r="D1459" s="16" t="s">
        <v>21</v>
      </c>
      <c r="E1459" s="36" t="s">
        <v>8444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7493</v>
      </c>
      <c r="J1459" s="16" t="s">
        <v>8273</v>
      </c>
      <c r="K1459" s="16"/>
      <c r="L1459" s="16"/>
      <c r="M1459" s="19">
        <v>4.3</v>
      </c>
      <c r="N1459" s="19" t="s">
        <v>8460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8120</v>
      </c>
      <c r="B1460" s="16" t="s">
        <v>8120</v>
      </c>
      <c r="C1460" s="16" t="s">
        <v>8291</v>
      </c>
      <c r="D1460" s="16" t="s">
        <v>21</v>
      </c>
      <c r="E1460" s="36" t="s">
        <v>8444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7493</v>
      </c>
      <c r="J1460" s="16" t="s">
        <v>8273</v>
      </c>
      <c r="K1460" s="16"/>
      <c r="L1460" s="16"/>
      <c r="M1460" s="19">
        <v>4.7</v>
      </c>
      <c r="N1460" s="19" t="s">
        <v>8460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8121</v>
      </c>
      <c r="B1461" s="16" t="s">
        <v>8121</v>
      </c>
      <c r="C1461" s="16" t="s">
        <v>8292</v>
      </c>
      <c r="D1461" s="16" t="s">
        <v>21</v>
      </c>
      <c r="E1461" s="36" t="s">
        <v>8444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7493</v>
      </c>
      <c r="J1461" s="16" t="s">
        <v>8273</v>
      </c>
      <c r="K1461" s="16"/>
      <c r="L1461" s="16"/>
      <c r="M1461" s="19">
        <v>5.0999999999999996</v>
      </c>
      <c r="N1461" s="19" t="s">
        <v>8460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8122</v>
      </c>
      <c r="B1462" s="16" t="s">
        <v>8122</v>
      </c>
      <c r="C1462" s="16" t="s">
        <v>8293</v>
      </c>
      <c r="D1462" s="16" t="s">
        <v>21</v>
      </c>
      <c r="E1462" s="36" t="s">
        <v>8444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7493</v>
      </c>
      <c r="J1462" s="16" t="s">
        <v>8273</v>
      </c>
      <c r="K1462" s="16"/>
      <c r="L1462" s="16"/>
      <c r="M1462" s="19">
        <v>5.6</v>
      </c>
      <c r="N1462" s="19" t="s">
        <v>8460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8123</v>
      </c>
      <c r="B1463" s="16" t="s">
        <v>8123</v>
      </c>
      <c r="C1463" s="16" t="s">
        <v>8294</v>
      </c>
      <c r="D1463" s="16" t="s">
        <v>21</v>
      </c>
      <c r="E1463" s="36" t="s">
        <v>8444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7493</v>
      </c>
      <c r="J1463" s="16" t="s">
        <v>8273</v>
      </c>
      <c r="K1463" s="16"/>
      <c r="L1463" s="16"/>
      <c r="M1463" s="19">
        <v>6.2</v>
      </c>
      <c r="N1463" s="19" t="s">
        <v>8460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8124</v>
      </c>
      <c r="B1464" s="16" t="s">
        <v>8124</v>
      </c>
      <c r="C1464" s="16" t="s">
        <v>8295</v>
      </c>
      <c r="D1464" s="16" t="s">
        <v>21</v>
      </c>
      <c r="E1464" s="36" t="s">
        <v>8444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7493</v>
      </c>
      <c r="J1464" s="16" t="s">
        <v>8273</v>
      </c>
      <c r="K1464" s="16"/>
      <c r="L1464" s="16"/>
      <c r="M1464" s="19">
        <v>6.8</v>
      </c>
      <c r="N1464" s="19" t="s">
        <v>8460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8125</v>
      </c>
      <c r="B1465" s="16" t="s">
        <v>8125</v>
      </c>
      <c r="C1465" s="16" t="s">
        <v>8296</v>
      </c>
      <c r="D1465" s="16" t="s">
        <v>21</v>
      </c>
      <c r="E1465" s="36" t="s">
        <v>8444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7493</v>
      </c>
      <c r="J1465" s="16" t="s">
        <v>8273</v>
      </c>
      <c r="K1465" s="16"/>
      <c r="L1465" s="16"/>
      <c r="M1465" s="19">
        <v>7.5</v>
      </c>
      <c r="N1465" s="19" t="s">
        <v>8460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8126</v>
      </c>
      <c r="B1466" s="16" t="s">
        <v>8126</v>
      </c>
      <c r="C1466" s="16" t="s">
        <v>8297</v>
      </c>
      <c r="D1466" s="16" t="s">
        <v>21</v>
      </c>
      <c r="E1466" s="36" t="s">
        <v>8444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7493</v>
      </c>
      <c r="J1466" s="16" t="s">
        <v>8273</v>
      </c>
      <c r="K1466" s="16"/>
      <c r="L1466" s="16"/>
      <c r="M1466" s="19">
        <v>8.1999999999999993</v>
      </c>
      <c r="N1466" s="19" t="s">
        <v>8460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8127</v>
      </c>
      <c r="B1467" s="16" t="s">
        <v>8127</v>
      </c>
      <c r="C1467" s="16" t="s">
        <v>8298</v>
      </c>
      <c r="D1467" s="16" t="s">
        <v>21</v>
      </c>
      <c r="E1467" s="36" t="s">
        <v>8444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7493</v>
      </c>
      <c r="J1467" s="16" t="s">
        <v>8273</v>
      </c>
      <c r="K1467" s="16"/>
      <c r="L1467" s="16"/>
      <c r="M1467" s="19">
        <v>9.1</v>
      </c>
      <c r="N1467" s="19" t="s">
        <v>8460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8128</v>
      </c>
      <c r="B1468" s="16" t="s">
        <v>8128</v>
      </c>
      <c r="C1468" s="16" t="s">
        <v>8299</v>
      </c>
      <c r="D1468" s="16" t="s">
        <v>21</v>
      </c>
      <c r="E1468" s="36" t="s">
        <v>8444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7493</v>
      </c>
      <c r="J1468" s="16" t="s">
        <v>8273</v>
      </c>
      <c r="K1468" s="16"/>
      <c r="L1468" s="16"/>
      <c r="M1468" s="20">
        <v>10</v>
      </c>
      <c r="N1468" s="19" t="s">
        <v>8460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8129</v>
      </c>
      <c r="B1469" s="16" t="s">
        <v>8129</v>
      </c>
      <c r="C1469" s="16" t="s">
        <v>8300</v>
      </c>
      <c r="D1469" s="16" t="s">
        <v>21</v>
      </c>
      <c r="E1469" s="36" t="s">
        <v>8444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7493</v>
      </c>
      <c r="J1469" s="16" t="s">
        <v>8273</v>
      </c>
      <c r="K1469" s="16"/>
      <c r="L1469" s="16"/>
      <c r="M1469" s="20">
        <v>11</v>
      </c>
      <c r="N1469" s="19" t="s">
        <v>8460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8130</v>
      </c>
      <c r="B1470" s="16" t="s">
        <v>8130</v>
      </c>
      <c r="C1470" s="16" t="s">
        <v>8301</v>
      </c>
      <c r="D1470" s="16" t="s">
        <v>21</v>
      </c>
      <c r="E1470" s="36" t="s">
        <v>8444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7493</v>
      </c>
      <c r="J1470" s="16" t="s">
        <v>8273</v>
      </c>
      <c r="K1470" s="16"/>
      <c r="L1470" s="16"/>
      <c r="M1470" s="20">
        <v>12</v>
      </c>
      <c r="N1470" s="19" t="s">
        <v>8460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8131</v>
      </c>
      <c r="B1471" s="16" t="s">
        <v>8131</v>
      </c>
      <c r="C1471" s="16" t="s">
        <v>8302</v>
      </c>
      <c r="D1471" s="16" t="s">
        <v>21</v>
      </c>
      <c r="E1471" s="36" t="s">
        <v>8444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7493</v>
      </c>
      <c r="J1471" s="16" t="s">
        <v>8273</v>
      </c>
      <c r="K1471" s="16"/>
      <c r="L1471" s="16"/>
      <c r="M1471" s="20">
        <v>13</v>
      </c>
      <c r="N1471" s="19" t="s">
        <v>8460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8132</v>
      </c>
      <c r="B1472" s="16" t="s">
        <v>8132</v>
      </c>
      <c r="C1472" s="16" t="s">
        <v>8303</v>
      </c>
      <c r="D1472" s="16" t="s">
        <v>21</v>
      </c>
      <c r="E1472" s="36" t="s">
        <v>8444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7493</v>
      </c>
      <c r="J1472" s="16" t="s">
        <v>8273</v>
      </c>
      <c r="K1472" s="16"/>
      <c r="L1472" s="16"/>
      <c r="M1472" s="20">
        <v>15</v>
      </c>
      <c r="N1472" s="19" t="s">
        <v>8460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8133</v>
      </c>
      <c r="B1473" s="16" t="s">
        <v>8133</v>
      </c>
      <c r="C1473" s="16" t="s">
        <v>8304</v>
      </c>
      <c r="D1473" s="16" t="s">
        <v>21</v>
      </c>
      <c r="E1473" s="36" t="s">
        <v>8444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7493</v>
      </c>
      <c r="J1473" s="16" t="s">
        <v>8273</v>
      </c>
      <c r="K1473" s="16"/>
      <c r="L1473" s="16"/>
      <c r="M1473" s="20">
        <v>16</v>
      </c>
      <c r="N1473" s="19" t="s">
        <v>8460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8134</v>
      </c>
      <c r="B1474" s="16" t="s">
        <v>8134</v>
      </c>
      <c r="C1474" s="16" t="s">
        <v>8305</v>
      </c>
      <c r="D1474" s="16" t="s">
        <v>21</v>
      </c>
      <c r="E1474" s="36" t="s">
        <v>8444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7493</v>
      </c>
      <c r="J1474" s="16" t="s">
        <v>8273</v>
      </c>
      <c r="K1474" s="16"/>
      <c r="L1474" s="16"/>
      <c r="M1474" s="20">
        <v>18</v>
      </c>
      <c r="N1474" s="19" t="s">
        <v>8460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8135</v>
      </c>
      <c r="B1475" s="16" t="s">
        <v>8135</v>
      </c>
      <c r="C1475" s="16" t="s">
        <v>8306</v>
      </c>
      <c r="D1475" s="16" t="s">
        <v>21</v>
      </c>
      <c r="E1475" s="36" t="s">
        <v>8444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7493</v>
      </c>
      <c r="J1475" s="16" t="s">
        <v>8273</v>
      </c>
      <c r="K1475" s="16"/>
      <c r="L1475" s="16"/>
      <c r="M1475" s="20">
        <v>20</v>
      </c>
      <c r="N1475" s="19" t="s">
        <v>8460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8136</v>
      </c>
      <c r="B1476" s="16" t="s">
        <v>8136</v>
      </c>
      <c r="C1476" s="16" t="s">
        <v>8307</v>
      </c>
      <c r="D1476" s="16" t="s">
        <v>21</v>
      </c>
      <c r="E1476" s="36" t="s">
        <v>8444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7493</v>
      </c>
      <c r="J1476" s="16" t="s">
        <v>8273</v>
      </c>
      <c r="K1476" s="16"/>
      <c r="L1476" s="16"/>
      <c r="M1476" s="20">
        <v>22</v>
      </c>
      <c r="N1476" s="19" t="s">
        <v>8460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8137</v>
      </c>
      <c r="B1477" s="16" t="s">
        <v>8137</v>
      </c>
      <c r="C1477" s="16" t="s">
        <v>8308</v>
      </c>
      <c r="D1477" s="16" t="s">
        <v>21</v>
      </c>
      <c r="E1477" s="36" t="s">
        <v>8444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7493</v>
      </c>
      <c r="J1477" s="16" t="s">
        <v>8273</v>
      </c>
      <c r="K1477" s="16"/>
      <c r="L1477" s="16"/>
      <c r="M1477" s="20">
        <v>24</v>
      </c>
      <c r="N1477" s="19" t="s">
        <v>8460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8138</v>
      </c>
      <c r="B1478" s="16" t="s">
        <v>8138</v>
      </c>
      <c r="C1478" s="16" t="s">
        <v>8309</v>
      </c>
      <c r="D1478" s="16" t="s">
        <v>21</v>
      </c>
      <c r="E1478" s="36" t="s">
        <v>8444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7493</v>
      </c>
      <c r="J1478" s="16" t="s">
        <v>8273</v>
      </c>
      <c r="K1478" s="16"/>
      <c r="L1478" s="16"/>
      <c r="M1478" s="20">
        <v>27</v>
      </c>
      <c r="N1478" s="19" t="s">
        <v>8460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8139</v>
      </c>
      <c r="B1479" s="16" t="s">
        <v>8139</v>
      </c>
      <c r="C1479" s="16" t="s">
        <v>8310</v>
      </c>
      <c r="D1479" s="16" t="s">
        <v>21</v>
      </c>
      <c r="E1479" s="36" t="s">
        <v>8444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7493</v>
      </c>
      <c r="J1479" s="16" t="s">
        <v>8273</v>
      </c>
      <c r="K1479" s="16"/>
      <c r="L1479" s="16"/>
      <c r="M1479" s="20">
        <v>30</v>
      </c>
      <c r="N1479" s="19" t="s">
        <v>8460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8140</v>
      </c>
      <c r="B1480" s="16" t="s">
        <v>8140</v>
      </c>
      <c r="C1480" s="16" t="s">
        <v>8311</v>
      </c>
      <c r="D1480" s="16" t="s">
        <v>21</v>
      </c>
      <c r="E1480" s="36" t="s">
        <v>8444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7493</v>
      </c>
      <c r="J1480" s="16" t="s">
        <v>8273</v>
      </c>
      <c r="K1480" s="16"/>
      <c r="L1480" s="16"/>
      <c r="M1480" s="20">
        <v>33</v>
      </c>
      <c r="N1480" s="19" t="s">
        <v>8460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8141</v>
      </c>
      <c r="B1481" s="16" t="s">
        <v>8141</v>
      </c>
      <c r="C1481" s="16" t="s">
        <v>8312</v>
      </c>
      <c r="D1481" s="16" t="s">
        <v>21</v>
      </c>
      <c r="E1481" s="36" t="s">
        <v>8444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7493</v>
      </c>
      <c r="J1481" s="16" t="s">
        <v>8273</v>
      </c>
      <c r="K1481" s="16"/>
      <c r="L1481" s="16"/>
      <c r="M1481" s="20">
        <v>36</v>
      </c>
      <c r="N1481" s="19" t="s">
        <v>8460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8142</v>
      </c>
      <c r="B1482" s="16" t="s">
        <v>8142</v>
      </c>
      <c r="C1482" s="16" t="s">
        <v>8313</v>
      </c>
      <c r="D1482" s="16" t="s">
        <v>21</v>
      </c>
      <c r="E1482" s="36" t="s">
        <v>8444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7493</v>
      </c>
      <c r="J1482" s="16" t="s">
        <v>8273</v>
      </c>
      <c r="K1482" s="16"/>
      <c r="L1482" s="16"/>
      <c r="M1482" s="20">
        <v>39</v>
      </c>
      <c r="N1482" s="19" t="s">
        <v>8460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8143</v>
      </c>
      <c r="B1483" s="16" t="s">
        <v>8143</v>
      </c>
      <c r="C1483" s="16" t="s">
        <v>8314</v>
      </c>
      <c r="D1483" s="16" t="s">
        <v>21</v>
      </c>
      <c r="E1483" s="36" t="s">
        <v>8444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7493</v>
      </c>
      <c r="J1483" s="16" t="s">
        <v>8273</v>
      </c>
      <c r="K1483" s="16"/>
      <c r="L1483" s="16"/>
      <c r="M1483" s="20">
        <v>43</v>
      </c>
      <c r="N1483" s="19" t="s">
        <v>8460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8144</v>
      </c>
      <c r="B1484" s="16" t="s">
        <v>8144</v>
      </c>
      <c r="C1484" s="16" t="s">
        <v>8315</v>
      </c>
      <c r="D1484" s="16" t="s">
        <v>21</v>
      </c>
      <c r="E1484" s="36" t="s">
        <v>8444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7493</v>
      </c>
      <c r="J1484" s="16" t="s">
        <v>8273</v>
      </c>
      <c r="K1484" s="16"/>
      <c r="L1484" s="16"/>
      <c r="M1484" s="20">
        <v>47</v>
      </c>
      <c r="N1484" s="19" t="s">
        <v>8460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8145</v>
      </c>
      <c r="B1485" s="16" t="s">
        <v>8145</v>
      </c>
      <c r="C1485" s="16" t="s">
        <v>8316</v>
      </c>
      <c r="D1485" s="16" t="s">
        <v>21</v>
      </c>
      <c r="E1485" s="36" t="s">
        <v>8444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7493</v>
      </c>
      <c r="J1485" s="16" t="s">
        <v>8273</v>
      </c>
      <c r="K1485" s="16"/>
      <c r="L1485" s="16"/>
      <c r="M1485" s="20">
        <v>51</v>
      </c>
      <c r="N1485" s="19" t="s">
        <v>8460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8146</v>
      </c>
      <c r="B1486" s="16" t="s">
        <v>8146</v>
      </c>
      <c r="C1486" s="16" t="s">
        <v>8317</v>
      </c>
      <c r="D1486" s="16" t="s">
        <v>21</v>
      </c>
      <c r="E1486" s="36" t="s">
        <v>8444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7493</v>
      </c>
      <c r="J1486" s="16" t="s">
        <v>8273</v>
      </c>
      <c r="K1486" s="16"/>
      <c r="L1486" s="16"/>
      <c r="M1486" s="20">
        <v>56</v>
      </c>
      <c r="N1486" s="19" t="s">
        <v>8460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8147</v>
      </c>
      <c r="B1487" s="16" t="s">
        <v>8147</v>
      </c>
      <c r="C1487" s="16" t="s">
        <v>8318</v>
      </c>
      <c r="D1487" s="16" t="s">
        <v>21</v>
      </c>
      <c r="E1487" s="36" t="s">
        <v>8444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7493</v>
      </c>
      <c r="J1487" s="16" t="s">
        <v>8273</v>
      </c>
      <c r="K1487" s="16"/>
      <c r="L1487" s="16"/>
      <c r="M1487" s="20">
        <v>62</v>
      </c>
      <c r="N1487" s="19" t="s">
        <v>8460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8148</v>
      </c>
      <c r="B1488" s="16" t="s">
        <v>8148</v>
      </c>
      <c r="C1488" s="16" t="s">
        <v>8319</v>
      </c>
      <c r="D1488" s="16" t="s">
        <v>21</v>
      </c>
      <c r="E1488" s="36" t="s">
        <v>8444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7493</v>
      </c>
      <c r="J1488" s="16" t="s">
        <v>8273</v>
      </c>
      <c r="K1488" s="16"/>
      <c r="L1488" s="16"/>
      <c r="M1488" s="20">
        <v>68</v>
      </c>
      <c r="N1488" s="19" t="s">
        <v>8460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8149</v>
      </c>
      <c r="B1489" s="16" t="s">
        <v>8149</v>
      </c>
      <c r="C1489" s="16" t="s">
        <v>8320</v>
      </c>
      <c r="D1489" s="16" t="s">
        <v>21</v>
      </c>
      <c r="E1489" s="36" t="s">
        <v>8444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7493</v>
      </c>
      <c r="J1489" s="16" t="s">
        <v>8273</v>
      </c>
      <c r="K1489" s="16"/>
      <c r="L1489" s="16"/>
      <c r="M1489" s="20">
        <v>75</v>
      </c>
      <c r="N1489" s="19" t="s">
        <v>8460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8150</v>
      </c>
      <c r="B1490" s="16" t="s">
        <v>8150</v>
      </c>
      <c r="C1490" s="16" t="s">
        <v>8321</v>
      </c>
      <c r="D1490" s="16" t="s">
        <v>21</v>
      </c>
      <c r="E1490" s="36" t="s">
        <v>8444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7493</v>
      </c>
      <c r="J1490" s="16" t="s">
        <v>8273</v>
      </c>
      <c r="K1490" s="16"/>
      <c r="L1490" s="16"/>
      <c r="M1490" s="20">
        <v>82</v>
      </c>
      <c r="N1490" s="19" t="s">
        <v>8460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8151</v>
      </c>
      <c r="B1491" s="16" t="s">
        <v>8151</v>
      </c>
      <c r="C1491" s="16" t="s">
        <v>8322</v>
      </c>
      <c r="D1491" s="16" t="s">
        <v>21</v>
      </c>
      <c r="E1491" s="36" t="s">
        <v>8444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7493</v>
      </c>
      <c r="J1491" s="16" t="s">
        <v>8273</v>
      </c>
      <c r="K1491" s="16"/>
      <c r="L1491" s="16"/>
      <c r="M1491" s="20">
        <v>91</v>
      </c>
      <c r="N1491" s="19" t="s">
        <v>8460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8152</v>
      </c>
      <c r="B1492" s="16" t="s">
        <v>8152</v>
      </c>
      <c r="C1492" s="16" t="s">
        <v>8323</v>
      </c>
      <c r="D1492" s="16" t="s">
        <v>21</v>
      </c>
      <c r="E1492" s="36" t="s">
        <v>8444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7493</v>
      </c>
      <c r="J1492" s="16" t="s">
        <v>8273</v>
      </c>
      <c r="K1492" s="16"/>
      <c r="L1492" s="16"/>
      <c r="M1492" s="20">
        <v>100</v>
      </c>
      <c r="N1492" s="19" t="s">
        <v>8460</v>
      </c>
      <c r="O1492" s="16" t="s">
        <v>4414</v>
      </c>
      <c r="P1492" s="16" t="s">
        <v>8462</v>
      </c>
      <c r="Q1492" s="16" t="s">
        <v>25</v>
      </c>
      <c r="R1492" s="16" t="s">
        <v>10578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8153</v>
      </c>
      <c r="B1493" s="16" t="s">
        <v>8153</v>
      </c>
      <c r="C1493" s="16" t="s">
        <v>8324</v>
      </c>
      <c r="D1493" s="16" t="s">
        <v>21</v>
      </c>
      <c r="E1493" s="36" t="s">
        <v>8444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7493</v>
      </c>
      <c r="J1493" s="16" t="s">
        <v>8273</v>
      </c>
      <c r="K1493" s="16"/>
      <c r="L1493" s="16"/>
      <c r="M1493" s="20">
        <v>110</v>
      </c>
      <c r="N1493" s="19" t="s">
        <v>8460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8154</v>
      </c>
      <c r="B1494" s="16" t="s">
        <v>8154</v>
      </c>
      <c r="C1494" s="16" t="s">
        <v>8325</v>
      </c>
      <c r="D1494" s="16" t="s">
        <v>21</v>
      </c>
      <c r="E1494" s="36" t="s">
        <v>8444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7493</v>
      </c>
      <c r="J1494" s="16" t="s">
        <v>8273</v>
      </c>
      <c r="K1494" s="16"/>
      <c r="L1494" s="16"/>
      <c r="M1494" s="20">
        <v>120</v>
      </c>
      <c r="N1494" s="19" t="s">
        <v>8460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8155</v>
      </c>
      <c r="B1495" s="16" t="s">
        <v>8155</v>
      </c>
      <c r="C1495" s="16" t="s">
        <v>8326</v>
      </c>
      <c r="D1495" s="16" t="s">
        <v>21</v>
      </c>
      <c r="E1495" s="36" t="s">
        <v>8444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7493</v>
      </c>
      <c r="J1495" s="16" t="s">
        <v>8273</v>
      </c>
      <c r="K1495" s="16"/>
      <c r="L1495" s="16"/>
      <c r="M1495" s="20">
        <v>130</v>
      </c>
      <c r="N1495" s="19" t="s">
        <v>8460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8156</v>
      </c>
      <c r="B1496" s="16" t="s">
        <v>8156</v>
      </c>
      <c r="C1496" s="16" t="s">
        <v>8327</v>
      </c>
      <c r="D1496" s="16" t="s">
        <v>21</v>
      </c>
      <c r="E1496" s="36" t="s">
        <v>8444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7493</v>
      </c>
      <c r="J1496" s="16" t="s">
        <v>8273</v>
      </c>
      <c r="K1496" s="16"/>
      <c r="L1496" s="16"/>
      <c r="M1496" s="20">
        <v>150</v>
      </c>
      <c r="N1496" s="19" t="s">
        <v>8460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8157</v>
      </c>
      <c r="B1497" s="16" t="s">
        <v>8157</v>
      </c>
      <c r="C1497" s="16" t="s">
        <v>8328</v>
      </c>
      <c r="D1497" s="16" t="s">
        <v>21</v>
      </c>
      <c r="E1497" s="36" t="s">
        <v>8444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7493</v>
      </c>
      <c r="J1497" s="16" t="s">
        <v>8273</v>
      </c>
      <c r="K1497" s="16"/>
      <c r="L1497" s="16"/>
      <c r="M1497" s="20">
        <v>160</v>
      </c>
      <c r="N1497" s="19" t="s">
        <v>8460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8158</v>
      </c>
      <c r="B1498" s="16" t="s">
        <v>8158</v>
      </c>
      <c r="C1498" s="16" t="s">
        <v>8329</v>
      </c>
      <c r="D1498" s="16" t="s">
        <v>21</v>
      </c>
      <c r="E1498" s="36" t="s">
        <v>8444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7493</v>
      </c>
      <c r="J1498" s="16" t="s">
        <v>8273</v>
      </c>
      <c r="K1498" s="16"/>
      <c r="L1498" s="16"/>
      <c r="M1498" s="20">
        <v>180</v>
      </c>
      <c r="N1498" s="19" t="s">
        <v>8460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8159</v>
      </c>
      <c r="B1499" s="16" t="s">
        <v>8159</v>
      </c>
      <c r="C1499" s="16" t="s">
        <v>8330</v>
      </c>
      <c r="D1499" s="16" t="s">
        <v>21</v>
      </c>
      <c r="E1499" s="36" t="s">
        <v>8444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7493</v>
      </c>
      <c r="J1499" s="16" t="s">
        <v>8273</v>
      </c>
      <c r="K1499" s="16"/>
      <c r="L1499" s="16"/>
      <c r="M1499" s="20">
        <v>200</v>
      </c>
      <c r="N1499" s="19" t="s">
        <v>8460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8160</v>
      </c>
      <c r="B1500" s="16" t="s">
        <v>8160</v>
      </c>
      <c r="C1500" s="16" t="s">
        <v>8331</v>
      </c>
      <c r="D1500" s="16" t="s">
        <v>21</v>
      </c>
      <c r="E1500" s="36" t="s">
        <v>8444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7493</v>
      </c>
      <c r="J1500" s="16" t="s">
        <v>8273</v>
      </c>
      <c r="K1500" s="16"/>
      <c r="L1500" s="16"/>
      <c r="M1500" s="20">
        <v>220</v>
      </c>
      <c r="N1500" s="19" t="s">
        <v>8460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8161</v>
      </c>
      <c r="B1501" s="16" t="s">
        <v>8161</v>
      </c>
      <c r="C1501" s="16" t="s">
        <v>8332</v>
      </c>
      <c r="D1501" s="16" t="s">
        <v>21</v>
      </c>
      <c r="E1501" s="36" t="s">
        <v>8444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7493</v>
      </c>
      <c r="J1501" s="16" t="s">
        <v>8273</v>
      </c>
      <c r="K1501" s="16"/>
      <c r="L1501" s="16"/>
      <c r="M1501" s="20">
        <v>240</v>
      </c>
      <c r="N1501" s="19" t="s">
        <v>8460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8162</v>
      </c>
      <c r="B1502" s="16" t="s">
        <v>8162</v>
      </c>
      <c r="C1502" s="16" t="s">
        <v>8333</v>
      </c>
      <c r="D1502" s="16" t="s">
        <v>21</v>
      </c>
      <c r="E1502" s="36" t="s">
        <v>8444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7493</v>
      </c>
      <c r="J1502" s="16" t="s">
        <v>8273</v>
      </c>
      <c r="K1502" s="16"/>
      <c r="L1502" s="16"/>
      <c r="M1502" s="20">
        <v>270</v>
      </c>
      <c r="N1502" s="19" t="s">
        <v>8460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8163</v>
      </c>
      <c r="B1503" s="16" t="s">
        <v>8163</v>
      </c>
      <c r="C1503" s="16" t="s">
        <v>8334</v>
      </c>
      <c r="D1503" s="16" t="s">
        <v>21</v>
      </c>
      <c r="E1503" s="36" t="s">
        <v>8444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7493</v>
      </c>
      <c r="J1503" s="16" t="s">
        <v>8273</v>
      </c>
      <c r="K1503" s="16"/>
      <c r="L1503" s="16"/>
      <c r="M1503" s="20">
        <v>300</v>
      </c>
      <c r="N1503" s="19" t="s">
        <v>8460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8164</v>
      </c>
      <c r="B1504" s="16" t="s">
        <v>8164</v>
      </c>
      <c r="C1504" s="16" t="s">
        <v>8335</v>
      </c>
      <c r="D1504" s="16" t="s">
        <v>21</v>
      </c>
      <c r="E1504" s="36" t="s">
        <v>8444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7493</v>
      </c>
      <c r="J1504" s="16" t="s">
        <v>8273</v>
      </c>
      <c r="K1504" s="16"/>
      <c r="L1504" s="16"/>
      <c r="M1504" s="20">
        <v>330</v>
      </c>
      <c r="N1504" s="19" t="s">
        <v>8460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8165</v>
      </c>
      <c r="B1505" s="16" t="s">
        <v>8165</v>
      </c>
      <c r="C1505" s="16" t="s">
        <v>8336</v>
      </c>
      <c r="D1505" s="16" t="s">
        <v>21</v>
      </c>
      <c r="E1505" s="36" t="s">
        <v>8444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7493</v>
      </c>
      <c r="J1505" s="16" t="s">
        <v>8273</v>
      </c>
      <c r="K1505" s="16"/>
      <c r="L1505" s="16"/>
      <c r="M1505" s="20">
        <v>360</v>
      </c>
      <c r="N1505" s="19" t="s">
        <v>8460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8166</v>
      </c>
      <c r="B1506" s="16" t="s">
        <v>8166</v>
      </c>
      <c r="C1506" s="16" t="s">
        <v>8337</v>
      </c>
      <c r="D1506" s="16" t="s">
        <v>21</v>
      </c>
      <c r="E1506" s="36" t="s">
        <v>8444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7493</v>
      </c>
      <c r="J1506" s="16" t="s">
        <v>8273</v>
      </c>
      <c r="K1506" s="16"/>
      <c r="L1506" s="16"/>
      <c r="M1506" s="20">
        <v>390</v>
      </c>
      <c r="N1506" s="19" t="s">
        <v>8460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8167</v>
      </c>
      <c r="B1507" s="16" t="s">
        <v>8167</v>
      </c>
      <c r="C1507" s="16" t="s">
        <v>8338</v>
      </c>
      <c r="D1507" s="16" t="s">
        <v>21</v>
      </c>
      <c r="E1507" s="36" t="s">
        <v>8444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7493</v>
      </c>
      <c r="J1507" s="16" t="s">
        <v>8273</v>
      </c>
      <c r="K1507" s="16"/>
      <c r="L1507" s="16"/>
      <c r="M1507" s="20">
        <v>430</v>
      </c>
      <c r="N1507" s="19" t="s">
        <v>8460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8168</v>
      </c>
      <c r="B1508" s="16" t="s">
        <v>8168</v>
      </c>
      <c r="C1508" s="16" t="s">
        <v>8339</v>
      </c>
      <c r="D1508" s="16" t="s">
        <v>21</v>
      </c>
      <c r="E1508" s="36" t="s">
        <v>8444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7493</v>
      </c>
      <c r="J1508" s="16" t="s">
        <v>8273</v>
      </c>
      <c r="K1508" s="16"/>
      <c r="L1508" s="16"/>
      <c r="M1508" s="20">
        <v>470</v>
      </c>
      <c r="N1508" s="19" t="s">
        <v>8460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8169</v>
      </c>
      <c r="B1509" s="16" t="s">
        <v>8169</v>
      </c>
      <c r="C1509" s="16" t="s">
        <v>8340</v>
      </c>
      <c r="D1509" s="16" t="s">
        <v>21</v>
      </c>
      <c r="E1509" s="36" t="s">
        <v>8444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7493</v>
      </c>
      <c r="J1509" s="16" t="s">
        <v>8273</v>
      </c>
      <c r="K1509" s="16"/>
      <c r="L1509" s="16"/>
      <c r="M1509" s="20">
        <v>510</v>
      </c>
      <c r="N1509" s="19" t="s">
        <v>8460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8170</v>
      </c>
      <c r="B1510" s="16" t="s">
        <v>8170</v>
      </c>
      <c r="C1510" s="16" t="s">
        <v>8341</v>
      </c>
      <c r="D1510" s="16" t="s">
        <v>21</v>
      </c>
      <c r="E1510" s="36" t="s">
        <v>8444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7493</v>
      </c>
      <c r="J1510" s="16" t="s">
        <v>8273</v>
      </c>
      <c r="K1510" s="16"/>
      <c r="L1510" s="16"/>
      <c r="M1510" s="20">
        <v>560</v>
      </c>
      <c r="N1510" s="19" t="s">
        <v>8460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8171</v>
      </c>
      <c r="B1511" s="16" t="s">
        <v>8171</v>
      </c>
      <c r="C1511" s="16" t="s">
        <v>8342</v>
      </c>
      <c r="D1511" s="16" t="s">
        <v>21</v>
      </c>
      <c r="E1511" s="36" t="s">
        <v>8444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7493</v>
      </c>
      <c r="J1511" s="16" t="s">
        <v>8273</v>
      </c>
      <c r="K1511" s="16"/>
      <c r="L1511" s="16"/>
      <c r="M1511" s="20">
        <v>620</v>
      </c>
      <c r="N1511" s="19" t="s">
        <v>8460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8172</v>
      </c>
      <c r="B1512" s="16" t="s">
        <v>8172</v>
      </c>
      <c r="C1512" s="16" t="s">
        <v>8343</v>
      </c>
      <c r="D1512" s="16" t="s">
        <v>21</v>
      </c>
      <c r="E1512" s="36" t="s">
        <v>8444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7493</v>
      </c>
      <c r="J1512" s="16" t="s">
        <v>8273</v>
      </c>
      <c r="K1512" s="16"/>
      <c r="L1512" s="16"/>
      <c r="M1512" s="20">
        <v>680</v>
      </c>
      <c r="N1512" s="19" t="s">
        <v>8460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8173</v>
      </c>
      <c r="B1513" s="16" t="s">
        <v>8173</v>
      </c>
      <c r="C1513" s="16" t="s">
        <v>8344</v>
      </c>
      <c r="D1513" s="16" t="s">
        <v>21</v>
      </c>
      <c r="E1513" s="36" t="s">
        <v>8444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7493</v>
      </c>
      <c r="J1513" s="16" t="s">
        <v>8273</v>
      </c>
      <c r="K1513" s="16"/>
      <c r="L1513" s="16"/>
      <c r="M1513" s="20">
        <v>750</v>
      </c>
      <c r="N1513" s="19" t="s">
        <v>8460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8174</v>
      </c>
      <c r="B1514" s="16" t="s">
        <v>8174</v>
      </c>
      <c r="C1514" s="16" t="s">
        <v>8345</v>
      </c>
      <c r="D1514" s="16" t="s">
        <v>21</v>
      </c>
      <c r="E1514" s="36" t="s">
        <v>8444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7493</v>
      </c>
      <c r="J1514" s="16" t="s">
        <v>8273</v>
      </c>
      <c r="K1514" s="16"/>
      <c r="L1514" s="16"/>
      <c r="M1514" s="20">
        <v>820</v>
      </c>
      <c r="N1514" s="19" t="s">
        <v>8460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8175</v>
      </c>
      <c r="B1515" s="16" t="s">
        <v>8175</v>
      </c>
      <c r="C1515" s="16" t="s">
        <v>8346</v>
      </c>
      <c r="D1515" s="16" t="s">
        <v>21</v>
      </c>
      <c r="E1515" s="36" t="s">
        <v>8444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7493</v>
      </c>
      <c r="J1515" s="16" t="s">
        <v>8273</v>
      </c>
      <c r="K1515" s="16"/>
      <c r="L1515" s="16"/>
      <c r="M1515" s="20">
        <v>910</v>
      </c>
      <c r="N1515" s="19" t="s">
        <v>8460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8176</v>
      </c>
      <c r="B1516" s="16" t="s">
        <v>8176</v>
      </c>
      <c r="C1516" s="16" t="s">
        <v>8347</v>
      </c>
      <c r="D1516" s="16" t="s">
        <v>21</v>
      </c>
      <c r="E1516" s="36" t="s">
        <v>8444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7493</v>
      </c>
      <c r="J1516" s="16" t="s">
        <v>8273</v>
      </c>
      <c r="K1516" s="16"/>
      <c r="L1516" s="16"/>
      <c r="M1516" s="20">
        <v>1000</v>
      </c>
      <c r="N1516" s="19" t="s">
        <v>8460</v>
      </c>
      <c r="O1516" s="16" t="s">
        <v>4414</v>
      </c>
      <c r="P1516" s="16" t="s">
        <v>8461</v>
      </c>
      <c r="Q1516" s="16" t="s">
        <v>25</v>
      </c>
      <c r="R1516" s="16" t="s">
        <v>10579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8177</v>
      </c>
      <c r="B1517" s="16" t="s">
        <v>8177</v>
      </c>
      <c r="C1517" s="16" t="s">
        <v>8348</v>
      </c>
      <c r="D1517" s="16" t="s">
        <v>21</v>
      </c>
      <c r="E1517" s="36" t="s">
        <v>8444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7493</v>
      </c>
      <c r="J1517" s="16" t="s">
        <v>8273</v>
      </c>
      <c r="K1517" s="16"/>
      <c r="L1517" s="16"/>
      <c r="M1517" s="20">
        <v>1100</v>
      </c>
      <c r="N1517" s="19" t="s">
        <v>8460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8178</v>
      </c>
      <c r="B1518" s="16" t="s">
        <v>8178</v>
      </c>
      <c r="C1518" s="16" t="s">
        <v>8349</v>
      </c>
      <c r="D1518" s="16" t="s">
        <v>21</v>
      </c>
      <c r="E1518" s="36" t="s">
        <v>8444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7493</v>
      </c>
      <c r="J1518" s="16" t="s">
        <v>8273</v>
      </c>
      <c r="K1518" s="16"/>
      <c r="L1518" s="16"/>
      <c r="M1518" s="20">
        <v>1200</v>
      </c>
      <c r="N1518" s="19" t="s">
        <v>8460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8179</v>
      </c>
      <c r="B1519" s="16" t="s">
        <v>8179</v>
      </c>
      <c r="C1519" s="16" t="s">
        <v>8350</v>
      </c>
      <c r="D1519" s="16" t="s">
        <v>21</v>
      </c>
      <c r="E1519" s="36" t="s">
        <v>8444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7493</v>
      </c>
      <c r="J1519" s="16" t="s">
        <v>8273</v>
      </c>
      <c r="K1519" s="16"/>
      <c r="L1519" s="16"/>
      <c r="M1519" s="20">
        <v>1300</v>
      </c>
      <c r="N1519" s="19" t="s">
        <v>8460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8180</v>
      </c>
      <c r="B1520" s="16" t="s">
        <v>8180</v>
      </c>
      <c r="C1520" s="16" t="s">
        <v>8351</v>
      </c>
      <c r="D1520" s="16" t="s">
        <v>21</v>
      </c>
      <c r="E1520" s="36" t="s">
        <v>8444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7493</v>
      </c>
      <c r="J1520" s="16" t="s">
        <v>8273</v>
      </c>
      <c r="K1520" s="16"/>
      <c r="L1520" s="16"/>
      <c r="M1520" s="20">
        <v>1500</v>
      </c>
      <c r="N1520" s="19" t="s">
        <v>8460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8181</v>
      </c>
      <c r="B1521" s="16" t="s">
        <v>8181</v>
      </c>
      <c r="C1521" s="16" t="s">
        <v>8352</v>
      </c>
      <c r="D1521" s="16" t="s">
        <v>21</v>
      </c>
      <c r="E1521" s="36" t="s">
        <v>8444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7493</v>
      </c>
      <c r="J1521" s="16" t="s">
        <v>8273</v>
      </c>
      <c r="K1521" s="16"/>
      <c r="L1521" s="16"/>
      <c r="M1521" s="20">
        <v>1600</v>
      </c>
      <c r="N1521" s="19" t="s">
        <v>8460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8182</v>
      </c>
      <c r="B1522" s="16" t="s">
        <v>8182</v>
      </c>
      <c r="C1522" s="16" t="s">
        <v>8353</v>
      </c>
      <c r="D1522" s="16" t="s">
        <v>21</v>
      </c>
      <c r="E1522" s="36" t="s">
        <v>8444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7493</v>
      </c>
      <c r="J1522" s="16" t="s">
        <v>8273</v>
      </c>
      <c r="K1522" s="16"/>
      <c r="L1522" s="16"/>
      <c r="M1522" s="20">
        <v>1800</v>
      </c>
      <c r="N1522" s="19" t="s">
        <v>8460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8183</v>
      </c>
      <c r="B1523" s="16" t="s">
        <v>8183</v>
      </c>
      <c r="C1523" s="16" t="s">
        <v>8354</v>
      </c>
      <c r="D1523" s="16" t="s">
        <v>21</v>
      </c>
      <c r="E1523" s="36" t="s">
        <v>8444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7493</v>
      </c>
      <c r="J1523" s="16" t="s">
        <v>8273</v>
      </c>
      <c r="K1523" s="16"/>
      <c r="L1523" s="16"/>
      <c r="M1523" s="20">
        <v>2000</v>
      </c>
      <c r="N1523" s="19" t="s">
        <v>8460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8184</v>
      </c>
      <c r="B1524" s="16" t="s">
        <v>8184</v>
      </c>
      <c r="C1524" s="16" t="s">
        <v>8355</v>
      </c>
      <c r="D1524" s="16" t="s">
        <v>21</v>
      </c>
      <c r="E1524" s="36" t="s">
        <v>8444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7493</v>
      </c>
      <c r="J1524" s="16" t="s">
        <v>8273</v>
      </c>
      <c r="K1524" s="16"/>
      <c r="L1524" s="16"/>
      <c r="M1524" s="20">
        <v>2200</v>
      </c>
      <c r="N1524" s="19" t="s">
        <v>8460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8185</v>
      </c>
      <c r="B1525" s="16" t="s">
        <v>8185</v>
      </c>
      <c r="C1525" s="16" t="s">
        <v>8356</v>
      </c>
      <c r="D1525" s="16" t="s">
        <v>21</v>
      </c>
      <c r="E1525" s="36" t="s">
        <v>8444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7493</v>
      </c>
      <c r="J1525" s="16" t="s">
        <v>8273</v>
      </c>
      <c r="K1525" s="16"/>
      <c r="L1525" s="16"/>
      <c r="M1525" s="20">
        <v>2400</v>
      </c>
      <c r="N1525" s="19" t="s">
        <v>8460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8186</v>
      </c>
      <c r="B1526" s="16" t="s">
        <v>8186</v>
      </c>
      <c r="C1526" s="16" t="s">
        <v>8357</v>
      </c>
      <c r="D1526" s="16" t="s">
        <v>21</v>
      </c>
      <c r="E1526" s="36" t="s">
        <v>8444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7493</v>
      </c>
      <c r="J1526" s="16" t="s">
        <v>8273</v>
      </c>
      <c r="K1526" s="16"/>
      <c r="L1526" s="16"/>
      <c r="M1526" s="20">
        <v>2700</v>
      </c>
      <c r="N1526" s="19" t="s">
        <v>8460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8187</v>
      </c>
      <c r="B1527" s="16" t="s">
        <v>8187</v>
      </c>
      <c r="C1527" s="16" t="s">
        <v>8358</v>
      </c>
      <c r="D1527" s="16" t="s">
        <v>21</v>
      </c>
      <c r="E1527" s="36" t="s">
        <v>8444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7493</v>
      </c>
      <c r="J1527" s="16" t="s">
        <v>8273</v>
      </c>
      <c r="K1527" s="16"/>
      <c r="L1527" s="16"/>
      <c r="M1527" s="20">
        <v>3000</v>
      </c>
      <c r="N1527" s="19" t="s">
        <v>8460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8188</v>
      </c>
      <c r="B1528" s="16" t="s">
        <v>8188</v>
      </c>
      <c r="C1528" s="16" t="s">
        <v>8359</v>
      </c>
      <c r="D1528" s="16" t="s">
        <v>21</v>
      </c>
      <c r="E1528" s="36" t="s">
        <v>8444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7493</v>
      </c>
      <c r="J1528" s="16" t="s">
        <v>8273</v>
      </c>
      <c r="K1528" s="16"/>
      <c r="L1528" s="16"/>
      <c r="M1528" s="20">
        <v>3300</v>
      </c>
      <c r="N1528" s="19" t="s">
        <v>8460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8189</v>
      </c>
      <c r="B1529" s="16" t="s">
        <v>8189</v>
      </c>
      <c r="C1529" s="16" t="s">
        <v>8360</v>
      </c>
      <c r="D1529" s="16" t="s">
        <v>21</v>
      </c>
      <c r="E1529" s="36" t="s">
        <v>8444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7493</v>
      </c>
      <c r="J1529" s="16" t="s">
        <v>8273</v>
      </c>
      <c r="K1529" s="16"/>
      <c r="L1529" s="16"/>
      <c r="M1529" s="20">
        <v>3600</v>
      </c>
      <c r="N1529" s="19" t="s">
        <v>8460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8190</v>
      </c>
      <c r="B1530" s="16" t="s">
        <v>8190</v>
      </c>
      <c r="C1530" s="16" t="s">
        <v>8361</v>
      </c>
      <c r="D1530" s="16" t="s">
        <v>21</v>
      </c>
      <c r="E1530" s="36" t="s">
        <v>8444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7493</v>
      </c>
      <c r="J1530" s="16" t="s">
        <v>8273</v>
      </c>
      <c r="K1530" s="16"/>
      <c r="L1530" s="16"/>
      <c r="M1530" s="20">
        <v>3900</v>
      </c>
      <c r="N1530" s="19" t="s">
        <v>8460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8191</v>
      </c>
      <c r="B1531" s="16" t="s">
        <v>8191</v>
      </c>
      <c r="C1531" s="16" t="s">
        <v>8362</v>
      </c>
      <c r="D1531" s="16" t="s">
        <v>21</v>
      </c>
      <c r="E1531" s="36" t="s">
        <v>8444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7493</v>
      </c>
      <c r="J1531" s="16" t="s">
        <v>8273</v>
      </c>
      <c r="K1531" s="16"/>
      <c r="L1531" s="16"/>
      <c r="M1531" s="20">
        <v>4300</v>
      </c>
      <c r="N1531" s="19" t="s">
        <v>8460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8192</v>
      </c>
      <c r="B1532" s="16" t="s">
        <v>8192</v>
      </c>
      <c r="C1532" s="16" t="s">
        <v>8363</v>
      </c>
      <c r="D1532" s="16" t="s">
        <v>21</v>
      </c>
      <c r="E1532" s="36" t="s">
        <v>8444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7493</v>
      </c>
      <c r="J1532" s="16" t="s">
        <v>8273</v>
      </c>
      <c r="K1532" s="16"/>
      <c r="L1532" s="16"/>
      <c r="M1532" s="20">
        <v>4700</v>
      </c>
      <c r="N1532" s="19" t="s">
        <v>8460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8193</v>
      </c>
      <c r="B1533" s="16" t="s">
        <v>8193</v>
      </c>
      <c r="C1533" s="16" t="s">
        <v>8364</v>
      </c>
      <c r="D1533" s="16" t="s">
        <v>21</v>
      </c>
      <c r="E1533" s="36" t="s">
        <v>8444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7493</v>
      </c>
      <c r="J1533" s="16" t="s">
        <v>8273</v>
      </c>
      <c r="K1533" s="16"/>
      <c r="L1533" s="16"/>
      <c r="M1533" s="20">
        <v>5100</v>
      </c>
      <c r="N1533" s="19" t="s">
        <v>8460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8194</v>
      </c>
      <c r="B1534" s="16" t="s">
        <v>8194</v>
      </c>
      <c r="C1534" s="16" t="s">
        <v>8365</v>
      </c>
      <c r="D1534" s="16" t="s">
        <v>21</v>
      </c>
      <c r="E1534" s="36" t="s">
        <v>8444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7493</v>
      </c>
      <c r="J1534" s="16" t="s">
        <v>8273</v>
      </c>
      <c r="K1534" s="16"/>
      <c r="L1534" s="16"/>
      <c r="M1534" s="20">
        <v>5600</v>
      </c>
      <c r="N1534" s="19" t="s">
        <v>8460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8195</v>
      </c>
      <c r="B1535" s="16" t="s">
        <v>8195</v>
      </c>
      <c r="C1535" s="16" t="s">
        <v>8366</v>
      </c>
      <c r="D1535" s="16" t="s">
        <v>21</v>
      </c>
      <c r="E1535" s="36" t="s">
        <v>8444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7493</v>
      </c>
      <c r="J1535" s="16" t="s">
        <v>8273</v>
      </c>
      <c r="K1535" s="16"/>
      <c r="L1535" s="16"/>
      <c r="M1535" s="20">
        <v>6200</v>
      </c>
      <c r="N1535" s="19" t="s">
        <v>8460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8196</v>
      </c>
      <c r="B1536" s="16" t="s">
        <v>8196</v>
      </c>
      <c r="C1536" s="16" t="s">
        <v>8367</v>
      </c>
      <c r="D1536" s="16" t="s">
        <v>21</v>
      </c>
      <c r="E1536" s="36" t="s">
        <v>8444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7493</v>
      </c>
      <c r="J1536" s="16" t="s">
        <v>8273</v>
      </c>
      <c r="K1536" s="16"/>
      <c r="L1536" s="16"/>
      <c r="M1536" s="20">
        <v>6800</v>
      </c>
      <c r="N1536" s="19" t="s">
        <v>8460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8197</v>
      </c>
      <c r="B1537" s="16" t="s">
        <v>8197</v>
      </c>
      <c r="C1537" s="16" t="s">
        <v>8368</v>
      </c>
      <c r="D1537" s="16" t="s">
        <v>21</v>
      </c>
      <c r="E1537" s="36" t="s">
        <v>8444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7493</v>
      </c>
      <c r="J1537" s="16" t="s">
        <v>8273</v>
      </c>
      <c r="K1537" s="16"/>
      <c r="L1537" s="16"/>
      <c r="M1537" s="20">
        <v>7500</v>
      </c>
      <c r="N1537" s="19" t="s">
        <v>8460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8198</v>
      </c>
      <c r="B1538" s="16" t="s">
        <v>8198</v>
      </c>
      <c r="C1538" s="16" t="s">
        <v>8369</v>
      </c>
      <c r="D1538" s="16" t="s">
        <v>21</v>
      </c>
      <c r="E1538" s="36" t="s">
        <v>8444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7493</v>
      </c>
      <c r="J1538" s="16" t="s">
        <v>8273</v>
      </c>
      <c r="K1538" s="16"/>
      <c r="L1538" s="16"/>
      <c r="M1538" s="20">
        <v>8200</v>
      </c>
      <c r="N1538" s="19" t="s">
        <v>8460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8199</v>
      </c>
      <c r="B1539" s="16" t="s">
        <v>8199</v>
      </c>
      <c r="C1539" s="16" t="s">
        <v>8370</v>
      </c>
      <c r="D1539" s="16" t="s">
        <v>21</v>
      </c>
      <c r="E1539" s="36" t="s">
        <v>8444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7493</v>
      </c>
      <c r="J1539" s="16" t="s">
        <v>8273</v>
      </c>
      <c r="K1539" s="16"/>
      <c r="L1539" s="16"/>
      <c r="M1539" s="20">
        <v>9100</v>
      </c>
      <c r="N1539" s="19" t="s">
        <v>8460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8200</v>
      </c>
      <c r="B1540" s="16" t="s">
        <v>8200</v>
      </c>
      <c r="C1540" s="16" t="s">
        <v>8371</v>
      </c>
      <c r="D1540" s="16" t="s">
        <v>21</v>
      </c>
      <c r="E1540" s="36" t="s">
        <v>8444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7493</v>
      </c>
      <c r="J1540" s="16" t="s">
        <v>8273</v>
      </c>
      <c r="K1540" s="16"/>
      <c r="L1540" s="16"/>
      <c r="M1540" s="20">
        <v>10000</v>
      </c>
      <c r="N1540" s="19" t="s">
        <v>8460</v>
      </c>
      <c r="O1540" s="16" t="s">
        <v>4414</v>
      </c>
      <c r="P1540" s="16" t="s">
        <v>8445</v>
      </c>
      <c r="Q1540" s="16" t="s">
        <v>25</v>
      </c>
      <c r="R1540" s="16" t="s">
        <v>10579</v>
      </c>
      <c r="S1540" s="16" t="s">
        <v>4414</v>
      </c>
      <c r="T1540" s="16" t="s">
        <v>8445</v>
      </c>
      <c r="U1540" s="16" t="s">
        <v>8447</v>
      </c>
      <c r="V1540" s="16" t="s">
        <v>8448</v>
      </c>
      <c r="W1540" s="17"/>
      <c r="X1540" s="17"/>
      <c r="Y1540" s="16"/>
      <c r="Z1540" s="17"/>
      <c r="AA1540" s="17"/>
      <c r="AB1540" s="17"/>
    </row>
    <row r="1541" spans="1:28">
      <c r="A1541" s="16" t="s">
        <v>8201</v>
      </c>
      <c r="B1541" s="16" t="s">
        <v>8201</v>
      </c>
      <c r="C1541" s="16" t="s">
        <v>8372</v>
      </c>
      <c r="D1541" s="16" t="s">
        <v>21</v>
      </c>
      <c r="E1541" s="36" t="s">
        <v>8444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7493</v>
      </c>
      <c r="J1541" s="16" t="s">
        <v>8273</v>
      </c>
      <c r="K1541" s="16"/>
      <c r="L1541" s="16"/>
      <c r="M1541" s="20">
        <v>11000</v>
      </c>
      <c r="N1541" s="19" t="s">
        <v>8460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8202</v>
      </c>
      <c r="B1542" s="16" t="s">
        <v>8202</v>
      </c>
      <c r="C1542" s="16" t="s">
        <v>8373</v>
      </c>
      <c r="D1542" s="16" t="s">
        <v>21</v>
      </c>
      <c r="E1542" s="36" t="s">
        <v>8444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7493</v>
      </c>
      <c r="J1542" s="16" t="s">
        <v>8273</v>
      </c>
      <c r="K1542" s="16"/>
      <c r="L1542" s="16"/>
      <c r="M1542" s="20">
        <v>12000</v>
      </c>
      <c r="N1542" s="19" t="s">
        <v>8460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8203</v>
      </c>
      <c r="B1543" s="16" t="s">
        <v>8203</v>
      </c>
      <c r="C1543" s="16" t="s">
        <v>8374</v>
      </c>
      <c r="D1543" s="16" t="s">
        <v>21</v>
      </c>
      <c r="E1543" s="36" t="s">
        <v>8444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7493</v>
      </c>
      <c r="J1543" s="16" t="s">
        <v>8273</v>
      </c>
      <c r="K1543" s="16"/>
      <c r="L1543" s="16"/>
      <c r="M1543" s="20">
        <v>13000</v>
      </c>
      <c r="N1543" s="19" t="s">
        <v>8460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8204</v>
      </c>
      <c r="B1544" s="16" t="s">
        <v>8204</v>
      </c>
      <c r="C1544" s="16" t="s">
        <v>8375</v>
      </c>
      <c r="D1544" s="16" t="s">
        <v>21</v>
      </c>
      <c r="E1544" s="36" t="s">
        <v>8444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7493</v>
      </c>
      <c r="J1544" s="16" t="s">
        <v>8273</v>
      </c>
      <c r="K1544" s="16"/>
      <c r="L1544" s="16"/>
      <c r="M1544" s="20">
        <v>15000</v>
      </c>
      <c r="N1544" s="19" t="s">
        <v>8460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8205</v>
      </c>
      <c r="B1545" s="16" t="s">
        <v>8205</v>
      </c>
      <c r="C1545" s="16" t="s">
        <v>8376</v>
      </c>
      <c r="D1545" s="16" t="s">
        <v>21</v>
      </c>
      <c r="E1545" s="36" t="s">
        <v>8444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7493</v>
      </c>
      <c r="J1545" s="16" t="s">
        <v>8273</v>
      </c>
      <c r="K1545" s="16"/>
      <c r="L1545" s="16"/>
      <c r="M1545" s="20">
        <v>16000</v>
      </c>
      <c r="N1545" s="19" t="s">
        <v>8460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8206</v>
      </c>
      <c r="B1546" s="16" t="s">
        <v>8206</v>
      </c>
      <c r="C1546" s="16" t="s">
        <v>8377</v>
      </c>
      <c r="D1546" s="16" t="s">
        <v>21</v>
      </c>
      <c r="E1546" s="36" t="s">
        <v>8444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7493</v>
      </c>
      <c r="J1546" s="16" t="s">
        <v>8273</v>
      </c>
      <c r="K1546" s="16"/>
      <c r="L1546" s="16"/>
      <c r="M1546" s="20">
        <v>18000</v>
      </c>
      <c r="N1546" s="19" t="s">
        <v>8460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8207</v>
      </c>
      <c r="B1547" s="16" t="s">
        <v>8207</v>
      </c>
      <c r="C1547" s="16" t="s">
        <v>8378</v>
      </c>
      <c r="D1547" s="16" t="s">
        <v>21</v>
      </c>
      <c r="E1547" s="36" t="s">
        <v>8444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7493</v>
      </c>
      <c r="J1547" s="16" t="s">
        <v>8273</v>
      </c>
      <c r="K1547" s="16"/>
      <c r="L1547" s="16"/>
      <c r="M1547" s="20">
        <v>20000</v>
      </c>
      <c r="N1547" s="19" t="s">
        <v>8460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8208</v>
      </c>
      <c r="B1548" s="16" t="s">
        <v>8208</v>
      </c>
      <c r="C1548" s="16" t="s">
        <v>8379</v>
      </c>
      <c r="D1548" s="16" t="s">
        <v>21</v>
      </c>
      <c r="E1548" s="36" t="s">
        <v>8444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7493</v>
      </c>
      <c r="J1548" s="16" t="s">
        <v>8273</v>
      </c>
      <c r="K1548" s="16"/>
      <c r="L1548" s="16"/>
      <c r="M1548" s="20">
        <v>22000</v>
      </c>
      <c r="N1548" s="19" t="s">
        <v>8460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8209</v>
      </c>
      <c r="B1549" s="16" t="s">
        <v>8209</v>
      </c>
      <c r="C1549" s="16" t="s">
        <v>8380</v>
      </c>
      <c r="D1549" s="16" t="s">
        <v>21</v>
      </c>
      <c r="E1549" s="36" t="s">
        <v>8444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7493</v>
      </c>
      <c r="J1549" s="16" t="s">
        <v>8273</v>
      </c>
      <c r="K1549" s="16"/>
      <c r="L1549" s="16"/>
      <c r="M1549" s="20">
        <v>24000</v>
      </c>
      <c r="N1549" s="19" t="s">
        <v>8460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8210</v>
      </c>
      <c r="B1550" s="16" t="s">
        <v>8210</v>
      </c>
      <c r="C1550" s="16" t="s">
        <v>8381</v>
      </c>
      <c r="D1550" s="16" t="s">
        <v>21</v>
      </c>
      <c r="E1550" s="36" t="s">
        <v>8444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7493</v>
      </c>
      <c r="J1550" s="16" t="s">
        <v>8273</v>
      </c>
      <c r="K1550" s="16"/>
      <c r="L1550" s="16"/>
      <c r="M1550" s="20">
        <v>27000</v>
      </c>
      <c r="N1550" s="19" t="s">
        <v>8460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8211</v>
      </c>
      <c r="B1551" s="16" t="s">
        <v>8211</v>
      </c>
      <c r="C1551" s="16" t="s">
        <v>8382</v>
      </c>
      <c r="D1551" s="16" t="s">
        <v>21</v>
      </c>
      <c r="E1551" s="36" t="s">
        <v>8444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7493</v>
      </c>
      <c r="J1551" s="16" t="s">
        <v>8273</v>
      </c>
      <c r="K1551" s="16"/>
      <c r="L1551" s="16"/>
      <c r="M1551" s="20">
        <v>30000</v>
      </c>
      <c r="N1551" s="19" t="s">
        <v>8460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8212</v>
      </c>
      <c r="B1552" s="16" t="s">
        <v>8212</v>
      </c>
      <c r="C1552" s="16" t="s">
        <v>8383</v>
      </c>
      <c r="D1552" s="16" t="s">
        <v>21</v>
      </c>
      <c r="E1552" s="36" t="s">
        <v>8444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7493</v>
      </c>
      <c r="J1552" s="16" t="s">
        <v>8273</v>
      </c>
      <c r="K1552" s="16"/>
      <c r="L1552" s="16"/>
      <c r="M1552" s="20">
        <v>33000</v>
      </c>
      <c r="N1552" s="19" t="s">
        <v>8460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8213</v>
      </c>
      <c r="B1553" s="16" t="s">
        <v>8213</v>
      </c>
      <c r="C1553" s="16" t="s">
        <v>8384</v>
      </c>
      <c r="D1553" s="16" t="s">
        <v>21</v>
      </c>
      <c r="E1553" s="36" t="s">
        <v>8444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7493</v>
      </c>
      <c r="J1553" s="16" t="s">
        <v>8273</v>
      </c>
      <c r="K1553" s="16"/>
      <c r="L1553" s="16"/>
      <c r="M1553" s="20">
        <v>36000</v>
      </c>
      <c r="N1553" s="19" t="s">
        <v>8460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8214</v>
      </c>
      <c r="B1554" s="16" t="s">
        <v>8214</v>
      </c>
      <c r="C1554" s="16" t="s">
        <v>8385</v>
      </c>
      <c r="D1554" s="16" t="s">
        <v>21</v>
      </c>
      <c r="E1554" s="36" t="s">
        <v>8444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7493</v>
      </c>
      <c r="J1554" s="16" t="s">
        <v>8273</v>
      </c>
      <c r="K1554" s="16"/>
      <c r="L1554" s="16"/>
      <c r="M1554" s="20">
        <v>39000</v>
      </c>
      <c r="N1554" s="19" t="s">
        <v>8460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8215</v>
      </c>
      <c r="B1555" s="16" t="s">
        <v>8215</v>
      </c>
      <c r="C1555" s="16" t="s">
        <v>8386</v>
      </c>
      <c r="D1555" s="16" t="s">
        <v>21</v>
      </c>
      <c r="E1555" s="36" t="s">
        <v>8444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7493</v>
      </c>
      <c r="J1555" s="16" t="s">
        <v>8273</v>
      </c>
      <c r="K1555" s="16"/>
      <c r="L1555" s="16"/>
      <c r="M1555" s="20">
        <v>43000</v>
      </c>
      <c r="N1555" s="19" t="s">
        <v>8460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8216</v>
      </c>
      <c r="B1556" s="16" t="s">
        <v>8216</v>
      </c>
      <c r="C1556" s="16" t="s">
        <v>8387</v>
      </c>
      <c r="D1556" s="16" t="s">
        <v>21</v>
      </c>
      <c r="E1556" s="36" t="s">
        <v>8444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7493</v>
      </c>
      <c r="J1556" s="16" t="s">
        <v>8273</v>
      </c>
      <c r="K1556" s="16"/>
      <c r="L1556" s="16"/>
      <c r="M1556" s="20">
        <v>47000</v>
      </c>
      <c r="N1556" s="19" t="s">
        <v>8460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8217</v>
      </c>
      <c r="B1557" s="16" t="s">
        <v>8217</v>
      </c>
      <c r="C1557" s="16" t="s">
        <v>8388</v>
      </c>
      <c r="D1557" s="16" t="s">
        <v>21</v>
      </c>
      <c r="E1557" s="36" t="s">
        <v>8444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7493</v>
      </c>
      <c r="J1557" s="16" t="s">
        <v>8273</v>
      </c>
      <c r="K1557" s="16"/>
      <c r="L1557" s="16"/>
      <c r="M1557" s="20">
        <v>51000</v>
      </c>
      <c r="N1557" s="19" t="s">
        <v>8460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8218</v>
      </c>
      <c r="B1558" s="16" t="s">
        <v>8218</v>
      </c>
      <c r="C1558" s="16" t="s">
        <v>8389</v>
      </c>
      <c r="D1558" s="16" t="s">
        <v>21</v>
      </c>
      <c r="E1558" s="36" t="s">
        <v>8444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7493</v>
      </c>
      <c r="J1558" s="16" t="s">
        <v>8273</v>
      </c>
      <c r="K1558" s="16"/>
      <c r="L1558" s="16"/>
      <c r="M1558" s="20">
        <v>56000</v>
      </c>
      <c r="N1558" s="19" t="s">
        <v>8460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8219</v>
      </c>
      <c r="B1559" s="16" t="s">
        <v>8219</v>
      </c>
      <c r="C1559" s="16" t="s">
        <v>8390</v>
      </c>
      <c r="D1559" s="16" t="s">
        <v>21</v>
      </c>
      <c r="E1559" s="36" t="s">
        <v>8444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7493</v>
      </c>
      <c r="J1559" s="16" t="s">
        <v>8273</v>
      </c>
      <c r="K1559" s="16"/>
      <c r="L1559" s="16"/>
      <c r="M1559" s="20">
        <v>62000</v>
      </c>
      <c r="N1559" s="19" t="s">
        <v>8460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8220</v>
      </c>
      <c r="B1560" s="16" t="s">
        <v>8220</v>
      </c>
      <c r="C1560" s="16" t="s">
        <v>8391</v>
      </c>
      <c r="D1560" s="16" t="s">
        <v>21</v>
      </c>
      <c r="E1560" s="36" t="s">
        <v>8444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7493</v>
      </c>
      <c r="J1560" s="16" t="s">
        <v>8273</v>
      </c>
      <c r="K1560" s="16"/>
      <c r="L1560" s="16"/>
      <c r="M1560" s="20">
        <v>68000</v>
      </c>
      <c r="N1560" s="19" t="s">
        <v>8460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8221</v>
      </c>
      <c r="B1561" s="16" t="s">
        <v>8221</v>
      </c>
      <c r="C1561" s="16" t="s">
        <v>8392</v>
      </c>
      <c r="D1561" s="16" t="s">
        <v>21</v>
      </c>
      <c r="E1561" s="36" t="s">
        <v>8444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7493</v>
      </c>
      <c r="J1561" s="16" t="s">
        <v>8273</v>
      </c>
      <c r="K1561" s="16"/>
      <c r="L1561" s="16"/>
      <c r="M1561" s="20">
        <v>75000</v>
      </c>
      <c r="N1561" s="19" t="s">
        <v>8460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8222</v>
      </c>
      <c r="B1562" s="16" t="s">
        <v>8222</v>
      </c>
      <c r="C1562" s="16" t="s">
        <v>8393</v>
      </c>
      <c r="D1562" s="16" t="s">
        <v>21</v>
      </c>
      <c r="E1562" s="36" t="s">
        <v>8444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7493</v>
      </c>
      <c r="J1562" s="16" t="s">
        <v>8273</v>
      </c>
      <c r="K1562" s="16"/>
      <c r="L1562" s="16"/>
      <c r="M1562" s="20">
        <v>82000</v>
      </c>
      <c r="N1562" s="19" t="s">
        <v>8460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8223</v>
      </c>
      <c r="B1563" s="16" t="s">
        <v>8223</v>
      </c>
      <c r="C1563" s="16" t="s">
        <v>8394</v>
      </c>
      <c r="D1563" s="16" t="s">
        <v>21</v>
      </c>
      <c r="E1563" s="36" t="s">
        <v>8444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7493</v>
      </c>
      <c r="J1563" s="16" t="s">
        <v>8273</v>
      </c>
      <c r="K1563" s="16"/>
      <c r="L1563" s="16"/>
      <c r="M1563" s="20">
        <v>91000</v>
      </c>
      <c r="N1563" s="19" t="s">
        <v>8460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8224</v>
      </c>
      <c r="B1564" s="16" t="s">
        <v>8224</v>
      </c>
      <c r="C1564" s="16" t="s">
        <v>8395</v>
      </c>
      <c r="D1564" s="16" t="s">
        <v>21</v>
      </c>
      <c r="E1564" s="36" t="s">
        <v>8444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7493</v>
      </c>
      <c r="J1564" s="16" t="s">
        <v>8273</v>
      </c>
      <c r="K1564" s="16"/>
      <c r="L1564" s="16"/>
      <c r="M1564" s="20">
        <v>100000</v>
      </c>
      <c r="N1564" s="19" t="s">
        <v>8460</v>
      </c>
      <c r="O1564" s="16" t="s">
        <v>4414</v>
      </c>
      <c r="P1564" s="16" t="s">
        <v>8446</v>
      </c>
      <c r="Q1564" s="16" t="s">
        <v>25</v>
      </c>
      <c r="R1564" t="s">
        <v>10579</v>
      </c>
      <c r="S1564" s="16" t="s">
        <v>4414</v>
      </c>
      <c r="T1564" s="16" t="s">
        <v>8446</v>
      </c>
      <c r="U1564" s="16" t="s">
        <v>8447</v>
      </c>
      <c r="V1564" s="16" t="s">
        <v>8448</v>
      </c>
      <c r="W1564" s="16"/>
      <c r="X1564" s="17"/>
      <c r="Y1564" s="16"/>
      <c r="Z1564" s="17"/>
      <c r="AA1564" s="16"/>
      <c r="AB1564" s="17"/>
    </row>
    <row r="1565" spans="1:28">
      <c r="A1565" s="16" t="s">
        <v>8225</v>
      </c>
      <c r="B1565" s="16" t="s">
        <v>8225</v>
      </c>
      <c r="C1565" s="16" t="s">
        <v>8396</v>
      </c>
      <c r="D1565" s="16" t="s">
        <v>21</v>
      </c>
      <c r="E1565" s="36" t="s">
        <v>8444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7493</v>
      </c>
      <c r="J1565" s="16" t="s">
        <v>8273</v>
      </c>
      <c r="K1565" s="16"/>
      <c r="L1565" s="16"/>
      <c r="M1565" s="20">
        <v>110000</v>
      </c>
      <c r="N1565" s="19" t="s">
        <v>8460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8226</v>
      </c>
      <c r="B1566" s="16" t="s">
        <v>8226</v>
      </c>
      <c r="C1566" s="16" t="s">
        <v>8397</v>
      </c>
      <c r="D1566" s="16" t="s">
        <v>21</v>
      </c>
      <c r="E1566" s="36" t="s">
        <v>8444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7493</v>
      </c>
      <c r="J1566" s="16" t="s">
        <v>8273</v>
      </c>
      <c r="K1566" s="16"/>
      <c r="L1566" s="16"/>
      <c r="M1566" s="20">
        <v>120000</v>
      </c>
      <c r="N1566" s="19" t="s">
        <v>8460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8227</v>
      </c>
      <c r="B1567" s="16" t="s">
        <v>8227</v>
      </c>
      <c r="C1567" s="16" t="s">
        <v>8398</v>
      </c>
      <c r="D1567" s="16" t="s">
        <v>21</v>
      </c>
      <c r="E1567" s="36" t="s">
        <v>8444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7493</v>
      </c>
      <c r="J1567" s="16" t="s">
        <v>8273</v>
      </c>
      <c r="K1567" s="16"/>
      <c r="L1567" s="16"/>
      <c r="M1567" s="20">
        <v>130000</v>
      </c>
      <c r="N1567" s="19" t="s">
        <v>8460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8228</v>
      </c>
      <c r="B1568" s="16" t="s">
        <v>8228</v>
      </c>
      <c r="C1568" s="16" t="s">
        <v>8399</v>
      </c>
      <c r="D1568" s="16" t="s">
        <v>21</v>
      </c>
      <c r="E1568" s="36" t="s">
        <v>8444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7493</v>
      </c>
      <c r="J1568" s="16" t="s">
        <v>8273</v>
      </c>
      <c r="K1568" s="16"/>
      <c r="L1568" s="16"/>
      <c r="M1568" s="20">
        <v>150000</v>
      </c>
      <c r="N1568" s="19" t="s">
        <v>8460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8229</v>
      </c>
      <c r="B1569" s="16" t="s">
        <v>8229</v>
      </c>
      <c r="C1569" s="16" t="s">
        <v>8400</v>
      </c>
      <c r="D1569" s="16" t="s">
        <v>21</v>
      </c>
      <c r="E1569" s="36" t="s">
        <v>8444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7493</v>
      </c>
      <c r="J1569" s="16" t="s">
        <v>8273</v>
      </c>
      <c r="K1569" s="16"/>
      <c r="L1569" s="16"/>
      <c r="M1569" s="20">
        <v>160000</v>
      </c>
      <c r="N1569" s="19" t="s">
        <v>8460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8230</v>
      </c>
      <c r="B1570" s="16" t="s">
        <v>8230</v>
      </c>
      <c r="C1570" s="16" t="s">
        <v>8401</v>
      </c>
      <c r="D1570" s="16" t="s">
        <v>21</v>
      </c>
      <c r="E1570" s="36" t="s">
        <v>8444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7493</v>
      </c>
      <c r="J1570" s="16" t="s">
        <v>8273</v>
      </c>
      <c r="K1570" s="16"/>
      <c r="L1570" s="16"/>
      <c r="M1570" s="20">
        <v>180000</v>
      </c>
      <c r="N1570" s="19" t="s">
        <v>8460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8231</v>
      </c>
      <c r="B1571" s="16" t="s">
        <v>8231</v>
      </c>
      <c r="C1571" s="16" t="s">
        <v>8402</v>
      </c>
      <c r="D1571" s="16" t="s">
        <v>21</v>
      </c>
      <c r="E1571" s="36" t="s">
        <v>8444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7493</v>
      </c>
      <c r="J1571" s="16" t="s">
        <v>8273</v>
      </c>
      <c r="K1571" s="16"/>
      <c r="L1571" s="16"/>
      <c r="M1571" s="20">
        <v>200000</v>
      </c>
      <c r="N1571" s="19" t="s">
        <v>8460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8232</v>
      </c>
      <c r="B1572" s="16" t="s">
        <v>8232</v>
      </c>
      <c r="C1572" s="16" t="s">
        <v>8403</v>
      </c>
      <c r="D1572" s="16" t="s">
        <v>21</v>
      </c>
      <c r="E1572" s="36" t="s">
        <v>8444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7493</v>
      </c>
      <c r="J1572" s="16" t="s">
        <v>8273</v>
      </c>
      <c r="K1572" s="16"/>
      <c r="L1572" s="16"/>
      <c r="M1572" s="20">
        <v>220000</v>
      </c>
      <c r="N1572" s="19" t="s">
        <v>8460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8233</v>
      </c>
      <c r="B1573" s="16" t="s">
        <v>8233</v>
      </c>
      <c r="C1573" s="16" t="s">
        <v>8404</v>
      </c>
      <c r="D1573" s="16" t="s">
        <v>21</v>
      </c>
      <c r="E1573" s="36" t="s">
        <v>8444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7493</v>
      </c>
      <c r="J1573" s="16" t="s">
        <v>8273</v>
      </c>
      <c r="K1573" s="16"/>
      <c r="L1573" s="16"/>
      <c r="M1573" s="20">
        <v>240000</v>
      </c>
      <c r="N1573" s="19" t="s">
        <v>8460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8234</v>
      </c>
      <c r="B1574" s="16" t="s">
        <v>8234</v>
      </c>
      <c r="C1574" s="16" t="s">
        <v>8405</v>
      </c>
      <c r="D1574" s="16" t="s">
        <v>21</v>
      </c>
      <c r="E1574" s="36" t="s">
        <v>8444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7493</v>
      </c>
      <c r="J1574" s="16" t="s">
        <v>8273</v>
      </c>
      <c r="K1574" s="16"/>
      <c r="L1574" s="16"/>
      <c r="M1574" s="20">
        <v>270000</v>
      </c>
      <c r="N1574" s="19" t="s">
        <v>8460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8235</v>
      </c>
      <c r="B1575" s="16" t="s">
        <v>8235</v>
      </c>
      <c r="C1575" s="16" t="s">
        <v>8406</v>
      </c>
      <c r="D1575" s="16" t="s">
        <v>21</v>
      </c>
      <c r="E1575" s="36" t="s">
        <v>8444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7493</v>
      </c>
      <c r="J1575" s="16" t="s">
        <v>8273</v>
      </c>
      <c r="K1575" s="16"/>
      <c r="L1575" s="16"/>
      <c r="M1575" s="20">
        <v>300000</v>
      </c>
      <c r="N1575" s="19" t="s">
        <v>8460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8236</v>
      </c>
      <c r="B1576" s="16" t="s">
        <v>8236</v>
      </c>
      <c r="C1576" s="16" t="s">
        <v>8407</v>
      </c>
      <c r="D1576" s="16" t="s">
        <v>21</v>
      </c>
      <c r="E1576" s="36" t="s">
        <v>8444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7493</v>
      </c>
      <c r="J1576" s="16" t="s">
        <v>8273</v>
      </c>
      <c r="K1576" s="16"/>
      <c r="L1576" s="16"/>
      <c r="M1576" s="20">
        <v>330000</v>
      </c>
      <c r="N1576" s="19" t="s">
        <v>8460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8237</v>
      </c>
      <c r="B1577" s="16" t="s">
        <v>8237</v>
      </c>
      <c r="C1577" s="16" t="s">
        <v>8408</v>
      </c>
      <c r="D1577" s="16" t="s">
        <v>21</v>
      </c>
      <c r="E1577" s="36" t="s">
        <v>8444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7493</v>
      </c>
      <c r="J1577" s="16" t="s">
        <v>8273</v>
      </c>
      <c r="K1577" s="16"/>
      <c r="L1577" s="16"/>
      <c r="M1577" s="20">
        <v>360000</v>
      </c>
      <c r="N1577" s="19" t="s">
        <v>8460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8238</v>
      </c>
      <c r="B1578" s="16" t="s">
        <v>8238</v>
      </c>
      <c r="C1578" s="16" t="s">
        <v>8409</v>
      </c>
      <c r="D1578" s="16" t="s">
        <v>21</v>
      </c>
      <c r="E1578" s="36" t="s">
        <v>8444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7493</v>
      </c>
      <c r="J1578" s="16" t="s">
        <v>8273</v>
      </c>
      <c r="K1578" s="16"/>
      <c r="L1578" s="16"/>
      <c r="M1578" s="20">
        <v>390000</v>
      </c>
      <c r="N1578" s="19" t="s">
        <v>8460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8239</v>
      </c>
      <c r="B1579" s="16" t="s">
        <v>8239</v>
      </c>
      <c r="C1579" s="16" t="s">
        <v>8410</v>
      </c>
      <c r="D1579" s="16" t="s">
        <v>21</v>
      </c>
      <c r="E1579" s="36" t="s">
        <v>8444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7493</v>
      </c>
      <c r="J1579" s="16" t="s">
        <v>8273</v>
      </c>
      <c r="K1579" s="16"/>
      <c r="L1579" s="16"/>
      <c r="M1579" s="20">
        <v>430000</v>
      </c>
      <c r="N1579" s="19" t="s">
        <v>8460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8240</v>
      </c>
      <c r="B1580" s="16" t="s">
        <v>8240</v>
      </c>
      <c r="C1580" s="16" t="s">
        <v>8411</v>
      </c>
      <c r="D1580" s="16" t="s">
        <v>21</v>
      </c>
      <c r="E1580" s="36" t="s">
        <v>8444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7493</v>
      </c>
      <c r="J1580" s="16" t="s">
        <v>8273</v>
      </c>
      <c r="K1580" s="16"/>
      <c r="L1580" s="16"/>
      <c r="M1580" s="20">
        <v>470000</v>
      </c>
      <c r="N1580" s="19" t="s">
        <v>8460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8241</v>
      </c>
      <c r="B1581" s="16" t="s">
        <v>8241</v>
      </c>
      <c r="C1581" s="16" t="s">
        <v>8412</v>
      </c>
      <c r="D1581" s="16" t="s">
        <v>21</v>
      </c>
      <c r="E1581" s="36" t="s">
        <v>8444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7493</v>
      </c>
      <c r="J1581" s="16" t="s">
        <v>8273</v>
      </c>
      <c r="K1581" s="16"/>
      <c r="L1581" s="16"/>
      <c r="M1581" s="20">
        <v>510000</v>
      </c>
      <c r="N1581" s="19" t="s">
        <v>8460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8242</v>
      </c>
      <c r="B1582" s="16" t="s">
        <v>8242</v>
      </c>
      <c r="C1582" s="16" t="s">
        <v>8413</v>
      </c>
      <c r="D1582" s="16" t="s">
        <v>21</v>
      </c>
      <c r="E1582" s="36" t="s">
        <v>8444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7493</v>
      </c>
      <c r="J1582" s="16" t="s">
        <v>8273</v>
      </c>
      <c r="K1582" s="16"/>
      <c r="L1582" s="16"/>
      <c r="M1582" s="20">
        <v>560000</v>
      </c>
      <c r="N1582" s="19" t="s">
        <v>8460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8243</v>
      </c>
      <c r="B1583" s="16" t="s">
        <v>8243</v>
      </c>
      <c r="C1583" s="16" t="s">
        <v>8414</v>
      </c>
      <c r="D1583" s="16" t="s">
        <v>21</v>
      </c>
      <c r="E1583" s="36" t="s">
        <v>8444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7493</v>
      </c>
      <c r="J1583" s="16" t="s">
        <v>8273</v>
      </c>
      <c r="K1583" s="16"/>
      <c r="L1583" s="16"/>
      <c r="M1583" s="20">
        <v>620000</v>
      </c>
      <c r="N1583" s="19" t="s">
        <v>8460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8244</v>
      </c>
      <c r="B1584" s="16" t="s">
        <v>8244</v>
      </c>
      <c r="C1584" s="16" t="s">
        <v>8415</v>
      </c>
      <c r="D1584" s="16" t="s">
        <v>21</v>
      </c>
      <c r="E1584" s="36" t="s">
        <v>8444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7493</v>
      </c>
      <c r="J1584" s="16" t="s">
        <v>8273</v>
      </c>
      <c r="K1584" s="16"/>
      <c r="L1584" s="16"/>
      <c r="M1584" s="20">
        <v>680000</v>
      </c>
      <c r="N1584" s="19" t="s">
        <v>8460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8245</v>
      </c>
      <c r="B1585" s="16" t="s">
        <v>8245</v>
      </c>
      <c r="C1585" s="16" t="s">
        <v>8416</v>
      </c>
      <c r="D1585" s="16" t="s">
        <v>21</v>
      </c>
      <c r="E1585" s="36" t="s">
        <v>8444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7493</v>
      </c>
      <c r="J1585" s="16" t="s">
        <v>8273</v>
      </c>
      <c r="K1585" s="16"/>
      <c r="L1585" s="16"/>
      <c r="M1585" s="20">
        <v>750000</v>
      </c>
      <c r="N1585" s="19" t="s">
        <v>8460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8246</v>
      </c>
      <c r="B1586" s="16" t="s">
        <v>8246</v>
      </c>
      <c r="C1586" s="16" t="s">
        <v>8417</v>
      </c>
      <c r="D1586" s="16" t="s">
        <v>21</v>
      </c>
      <c r="E1586" s="36" t="s">
        <v>8444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7493</v>
      </c>
      <c r="J1586" s="16" t="s">
        <v>8273</v>
      </c>
      <c r="K1586" s="16"/>
      <c r="L1586" s="16"/>
      <c r="M1586" s="20">
        <v>820000</v>
      </c>
      <c r="N1586" s="19" t="s">
        <v>8460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8247</v>
      </c>
      <c r="B1587" s="16" t="s">
        <v>8247</v>
      </c>
      <c r="C1587" s="16" t="s">
        <v>8418</v>
      </c>
      <c r="D1587" s="16" t="s">
        <v>21</v>
      </c>
      <c r="E1587" s="36" t="s">
        <v>8444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7493</v>
      </c>
      <c r="J1587" s="16" t="s">
        <v>8273</v>
      </c>
      <c r="K1587" s="16"/>
      <c r="L1587" s="16"/>
      <c r="M1587" s="20">
        <v>910000</v>
      </c>
      <c r="N1587" s="19" t="s">
        <v>8460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8248</v>
      </c>
      <c r="B1588" s="16" t="s">
        <v>8248</v>
      </c>
      <c r="C1588" s="16" t="s">
        <v>8419</v>
      </c>
      <c r="D1588" s="16" t="s">
        <v>21</v>
      </c>
      <c r="E1588" s="36" t="s">
        <v>8444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7493</v>
      </c>
      <c r="J1588" s="16" t="s">
        <v>8273</v>
      </c>
      <c r="K1588" s="16"/>
      <c r="L1588" s="16"/>
      <c r="M1588" s="20">
        <v>1000000</v>
      </c>
      <c r="N1588" s="19" t="s">
        <v>8460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8249</v>
      </c>
      <c r="B1589" s="16" t="s">
        <v>8249</v>
      </c>
      <c r="C1589" s="16" t="s">
        <v>8420</v>
      </c>
      <c r="D1589" s="16" t="s">
        <v>21</v>
      </c>
      <c r="E1589" s="36" t="s">
        <v>8444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7493</v>
      </c>
      <c r="J1589" s="16" t="s">
        <v>8273</v>
      </c>
      <c r="K1589" s="16"/>
      <c r="L1589" s="16"/>
      <c r="M1589" s="20">
        <v>1100000</v>
      </c>
      <c r="N1589" s="19" t="s">
        <v>8460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8250</v>
      </c>
      <c r="B1590" s="16" t="s">
        <v>8250</v>
      </c>
      <c r="C1590" s="16" t="s">
        <v>8421</v>
      </c>
      <c r="D1590" s="16" t="s">
        <v>21</v>
      </c>
      <c r="E1590" s="36" t="s">
        <v>8444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7493</v>
      </c>
      <c r="J1590" s="16" t="s">
        <v>8273</v>
      </c>
      <c r="K1590" s="16"/>
      <c r="L1590" s="16"/>
      <c r="M1590" s="20">
        <v>1200000</v>
      </c>
      <c r="N1590" s="19" t="s">
        <v>8460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8251</v>
      </c>
      <c r="B1591" s="16" t="s">
        <v>8251</v>
      </c>
      <c r="C1591" s="16" t="s">
        <v>8422</v>
      </c>
      <c r="D1591" s="16" t="s">
        <v>21</v>
      </c>
      <c r="E1591" s="36" t="s">
        <v>8444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7493</v>
      </c>
      <c r="J1591" s="16" t="s">
        <v>8273</v>
      </c>
      <c r="K1591" s="16"/>
      <c r="L1591" s="16"/>
      <c r="M1591" s="20">
        <v>1300000</v>
      </c>
      <c r="N1591" s="19" t="s">
        <v>8460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8252</v>
      </c>
      <c r="B1592" s="16" t="s">
        <v>8252</v>
      </c>
      <c r="C1592" s="16" t="s">
        <v>8423</v>
      </c>
      <c r="D1592" s="16" t="s">
        <v>21</v>
      </c>
      <c r="E1592" s="36" t="s">
        <v>8444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7493</v>
      </c>
      <c r="J1592" s="16" t="s">
        <v>8273</v>
      </c>
      <c r="K1592" s="16"/>
      <c r="L1592" s="16"/>
      <c r="M1592" s="20">
        <v>1500000</v>
      </c>
      <c r="N1592" s="19" t="s">
        <v>8460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8253</v>
      </c>
      <c r="B1593" s="16" t="s">
        <v>8253</v>
      </c>
      <c r="C1593" s="16" t="s">
        <v>8424</v>
      </c>
      <c r="D1593" s="16" t="s">
        <v>21</v>
      </c>
      <c r="E1593" s="36" t="s">
        <v>8444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7493</v>
      </c>
      <c r="J1593" s="16" t="s">
        <v>8273</v>
      </c>
      <c r="K1593" s="16"/>
      <c r="L1593" s="16"/>
      <c r="M1593" s="20">
        <v>1600000</v>
      </c>
      <c r="N1593" s="19" t="s">
        <v>8460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8254</v>
      </c>
      <c r="B1594" s="16" t="s">
        <v>8254</v>
      </c>
      <c r="C1594" s="16" t="s">
        <v>8425</v>
      </c>
      <c r="D1594" s="16" t="s">
        <v>21</v>
      </c>
      <c r="E1594" s="36" t="s">
        <v>8444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7493</v>
      </c>
      <c r="J1594" s="16" t="s">
        <v>8273</v>
      </c>
      <c r="K1594" s="16"/>
      <c r="L1594" s="16"/>
      <c r="M1594" s="20">
        <v>1800000</v>
      </c>
      <c r="N1594" s="19" t="s">
        <v>8460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8255</v>
      </c>
      <c r="B1595" s="16" t="s">
        <v>8255</v>
      </c>
      <c r="C1595" s="16" t="s">
        <v>8426</v>
      </c>
      <c r="D1595" s="16" t="s">
        <v>21</v>
      </c>
      <c r="E1595" s="36" t="s">
        <v>8444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7493</v>
      </c>
      <c r="J1595" s="16" t="s">
        <v>8273</v>
      </c>
      <c r="K1595" s="16"/>
      <c r="L1595" s="16"/>
      <c r="M1595" s="20">
        <v>2000000</v>
      </c>
      <c r="N1595" s="19" t="s">
        <v>8460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8256</v>
      </c>
      <c r="B1596" s="16" t="s">
        <v>8256</v>
      </c>
      <c r="C1596" s="16" t="s">
        <v>8427</v>
      </c>
      <c r="D1596" s="16" t="s">
        <v>21</v>
      </c>
      <c r="E1596" s="36" t="s">
        <v>8444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7493</v>
      </c>
      <c r="J1596" s="16" t="s">
        <v>8273</v>
      </c>
      <c r="K1596" s="16"/>
      <c r="L1596" s="16"/>
      <c r="M1596" s="20">
        <v>2200000</v>
      </c>
      <c r="N1596" s="19" t="s">
        <v>8460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8257</v>
      </c>
      <c r="B1597" s="16" t="s">
        <v>8257</v>
      </c>
      <c r="C1597" s="16" t="s">
        <v>8428</v>
      </c>
      <c r="D1597" s="16" t="s">
        <v>21</v>
      </c>
      <c r="E1597" s="36" t="s">
        <v>8444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7493</v>
      </c>
      <c r="J1597" s="16" t="s">
        <v>8273</v>
      </c>
      <c r="K1597" s="16"/>
      <c r="L1597" s="16"/>
      <c r="M1597" s="20">
        <v>2400000</v>
      </c>
      <c r="N1597" s="19" t="s">
        <v>8460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8258</v>
      </c>
      <c r="B1598" s="16" t="s">
        <v>8258</v>
      </c>
      <c r="C1598" s="16" t="s">
        <v>8429</v>
      </c>
      <c r="D1598" s="16" t="s">
        <v>21</v>
      </c>
      <c r="E1598" s="36" t="s">
        <v>8444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7493</v>
      </c>
      <c r="J1598" s="16" t="s">
        <v>8273</v>
      </c>
      <c r="K1598" s="16"/>
      <c r="L1598" s="16"/>
      <c r="M1598" s="20">
        <v>2700000</v>
      </c>
      <c r="N1598" s="19" t="s">
        <v>8460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8259</v>
      </c>
      <c r="B1599" s="16" t="s">
        <v>8259</v>
      </c>
      <c r="C1599" s="16" t="s">
        <v>8430</v>
      </c>
      <c r="D1599" s="16" t="s">
        <v>21</v>
      </c>
      <c r="E1599" s="36" t="s">
        <v>8444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7493</v>
      </c>
      <c r="J1599" s="16" t="s">
        <v>8273</v>
      </c>
      <c r="K1599" s="16"/>
      <c r="L1599" s="16"/>
      <c r="M1599" s="20">
        <v>3000000</v>
      </c>
      <c r="N1599" s="19" t="s">
        <v>8460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8260</v>
      </c>
      <c r="B1600" s="16" t="s">
        <v>8260</v>
      </c>
      <c r="C1600" s="16" t="s">
        <v>8431</v>
      </c>
      <c r="D1600" s="16" t="s">
        <v>21</v>
      </c>
      <c r="E1600" s="36" t="s">
        <v>8444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7493</v>
      </c>
      <c r="J1600" s="16" t="s">
        <v>8273</v>
      </c>
      <c r="K1600" s="16"/>
      <c r="L1600" s="16"/>
      <c r="M1600" s="20">
        <v>3300000</v>
      </c>
      <c r="N1600" s="19" t="s">
        <v>8460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8261</v>
      </c>
      <c r="B1601" s="16" t="s">
        <v>8261</v>
      </c>
      <c r="C1601" s="16" t="s">
        <v>8432</v>
      </c>
      <c r="D1601" s="16" t="s">
        <v>21</v>
      </c>
      <c r="E1601" s="36" t="s">
        <v>8444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7493</v>
      </c>
      <c r="J1601" s="16" t="s">
        <v>8273</v>
      </c>
      <c r="K1601" s="16"/>
      <c r="L1601" s="16"/>
      <c r="M1601" s="20">
        <v>3600000</v>
      </c>
      <c r="N1601" s="19" t="s">
        <v>8460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8262</v>
      </c>
      <c r="B1602" s="16" t="s">
        <v>8262</v>
      </c>
      <c r="C1602" s="16" t="s">
        <v>8433</v>
      </c>
      <c r="D1602" s="16" t="s">
        <v>21</v>
      </c>
      <c r="E1602" s="36" t="s">
        <v>8444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7493</v>
      </c>
      <c r="J1602" s="16" t="s">
        <v>8273</v>
      </c>
      <c r="K1602" s="16"/>
      <c r="L1602" s="16"/>
      <c r="M1602" s="20">
        <v>3900000</v>
      </c>
      <c r="N1602" s="19" t="s">
        <v>8460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8263</v>
      </c>
      <c r="B1603" s="16" t="s">
        <v>8263</v>
      </c>
      <c r="C1603" s="16" t="s">
        <v>8434</v>
      </c>
      <c r="D1603" s="16" t="s">
        <v>21</v>
      </c>
      <c r="E1603" s="36" t="s">
        <v>8444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7493</v>
      </c>
      <c r="J1603" s="16" t="s">
        <v>8273</v>
      </c>
      <c r="K1603" s="16"/>
      <c r="L1603" s="16"/>
      <c r="M1603" s="20">
        <v>4300000</v>
      </c>
      <c r="N1603" s="19" t="s">
        <v>8460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8264</v>
      </c>
      <c r="B1604" s="16" t="s">
        <v>8264</v>
      </c>
      <c r="C1604" s="16" t="s">
        <v>8435</v>
      </c>
      <c r="D1604" s="16" t="s">
        <v>21</v>
      </c>
      <c r="E1604" s="36" t="s">
        <v>8444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7493</v>
      </c>
      <c r="J1604" s="16" t="s">
        <v>8273</v>
      </c>
      <c r="K1604" s="16"/>
      <c r="L1604" s="16"/>
      <c r="M1604" s="20">
        <v>4700000</v>
      </c>
      <c r="N1604" s="19" t="s">
        <v>8460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8265</v>
      </c>
      <c r="B1605" s="16" t="s">
        <v>8265</v>
      </c>
      <c r="C1605" s="16" t="s">
        <v>8436</v>
      </c>
      <c r="D1605" s="16" t="s">
        <v>21</v>
      </c>
      <c r="E1605" s="36" t="s">
        <v>8444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7493</v>
      </c>
      <c r="J1605" s="16" t="s">
        <v>8273</v>
      </c>
      <c r="K1605" s="16"/>
      <c r="L1605" s="16"/>
      <c r="M1605" s="20">
        <v>5100000</v>
      </c>
      <c r="N1605" s="19" t="s">
        <v>8460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8266</v>
      </c>
      <c r="B1606" s="16" t="s">
        <v>8266</v>
      </c>
      <c r="C1606" s="16" t="s">
        <v>8437</v>
      </c>
      <c r="D1606" s="16" t="s">
        <v>21</v>
      </c>
      <c r="E1606" s="36" t="s">
        <v>8444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7493</v>
      </c>
      <c r="J1606" s="16" t="s">
        <v>8273</v>
      </c>
      <c r="K1606" s="16"/>
      <c r="L1606" s="16"/>
      <c r="M1606" s="20">
        <v>5600000</v>
      </c>
      <c r="N1606" s="19" t="s">
        <v>8460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8267</v>
      </c>
      <c r="B1607" s="16" t="s">
        <v>8267</v>
      </c>
      <c r="C1607" s="16" t="s">
        <v>8438</v>
      </c>
      <c r="D1607" s="16" t="s">
        <v>21</v>
      </c>
      <c r="E1607" s="36" t="s">
        <v>8444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7493</v>
      </c>
      <c r="J1607" s="16" t="s">
        <v>8273</v>
      </c>
      <c r="K1607" s="16"/>
      <c r="L1607" s="16"/>
      <c r="M1607" s="20">
        <v>6200000</v>
      </c>
      <c r="N1607" s="19" t="s">
        <v>8460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8268</v>
      </c>
      <c r="B1608" s="16" t="s">
        <v>8268</v>
      </c>
      <c r="C1608" s="16" t="s">
        <v>8439</v>
      </c>
      <c r="D1608" s="16" t="s">
        <v>21</v>
      </c>
      <c r="E1608" s="36" t="s">
        <v>8444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7493</v>
      </c>
      <c r="J1608" s="16" t="s">
        <v>8273</v>
      </c>
      <c r="K1608" s="16"/>
      <c r="L1608" s="16"/>
      <c r="M1608" s="20">
        <v>6800000</v>
      </c>
      <c r="N1608" s="19" t="s">
        <v>8460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8269</v>
      </c>
      <c r="B1609" s="16" t="s">
        <v>8269</v>
      </c>
      <c r="C1609" s="16" t="s">
        <v>8440</v>
      </c>
      <c r="D1609" s="16" t="s">
        <v>21</v>
      </c>
      <c r="E1609" s="36" t="s">
        <v>8444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7493</v>
      </c>
      <c r="J1609" s="16" t="s">
        <v>8273</v>
      </c>
      <c r="K1609" s="16"/>
      <c r="L1609" s="16"/>
      <c r="M1609" s="20">
        <v>7500000</v>
      </c>
      <c r="N1609" s="19" t="s">
        <v>8460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8270</v>
      </c>
      <c r="B1610" s="17" t="s">
        <v>8270</v>
      </c>
      <c r="C1610" s="17" t="s">
        <v>8441</v>
      </c>
      <c r="D1610" s="17" t="s">
        <v>21</v>
      </c>
      <c r="E1610" s="37" t="s">
        <v>8444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7493</v>
      </c>
      <c r="J1610" s="16" t="s">
        <v>8273</v>
      </c>
      <c r="K1610" s="16"/>
      <c r="L1610" s="16"/>
      <c r="M1610" s="21">
        <v>8200000</v>
      </c>
      <c r="N1610" s="19" t="s">
        <v>8460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8271</v>
      </c>
      <c r="B1611" s="17" t="s">
        <v>8271</v>
      </c>
      <c r="C1611" s="17" t="s">
        <v>8442</v>
      </c>
      <c r="D1611" s="17" t="s">
        <v>21</v>
      </c>
      <c r="E1611" s="37" t="s">
        <v>8444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7493</v>
      </c>
      <c r="J1611" s="16" t="s">
        <v>8273</v>
      </c>
      <c r="K1611" s="16"/>
      <c r="L1611" s="16"/>
      <c r="M1611" s="21">
        <v>9100000</v>
      </c>
      <c r="N1611" s="19" t="s">
        <v>8460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8272</v>
      </c>
      <c r="B1612" s="17" t="s">
        <v>8272</v>
      </c>
      <c r="C1612" s="17" t="s">
        <v>8443</v>
      </c>
      <c r="D1612" s="17" t="s">
        <v>21</v>
      </c>
      <c r="E1612" s="37" t="s">
        <v>8444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7493</v>
      </c>
      <c r="J1612" s="16" t="s">
        <v>8273</v>
      </c>
      <c r="K1612" s="16"/>
      <c r="L1612" s="16"/>
      <c r="M1612" s="21">
        <v>10000000</v>
      </c>
      <c r="N1612" s="19" t="s">
        <v>8460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8523</v>
      </c>
      <c r="B1613" s="16" t="s">
        <v>8103</v>
      </c>
      <c r="C1613" s="16" t="s">
        <v>8693</v>
      </c>
      <c r="D1613" s="16" t="s">
        <v>21</v>
      </c>
      <c r="E1613" s="36" t="s">
        <v>8444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7493</v>
      </c>
      <c r="J1613" s="16" t="s">
        <v>8863</v>
      </c>
      <c r="K1613" s="16"/>
      <c r="L1613" s="16"/>
      <c r="M1613" s="19">
        <v>0</v>
      </c>
      <c r="N1613" s="19" t="s">
        <v>8460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8524</v>
      </c>
      <c r="B1614" s="16" t="s">
        <v>8104</v>
      </c>
      <c r="C1614" s="16" t="s">
        <v>8694</v>
      </c>
      <c r="D1614" s="16" t="s">
        <v>21</v>
      </c>
      <c r="E1614" s="36" t="s">
        <v>8444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7493</v>
      </c>
      <c r="J1614" s="16" t="s">
        <v>8863</v>
      </c>
      <c r="K1614" s="16"/>
      <c r="L1614" s="16"/>
      <c r="M1614" s="19">
        <v>1</v>
      </c>
      <c r="N1614" s="19" t="s">
        <v>8460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8525</v>
      </c>
      <c r="B1615" s="16" t="s">
        <v>8105</v>
      </c>
      <c r="C1615" s="16" t="s">
        <v>8695</v>
      </c>
      <c r="D1615" s="16" t="s">
        <v>21</v>
      </c>
      <c r="E1615" s="36" t="s">
        <v>8444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7493</v>
      </c>
      <c r="J1615" s="16" t="s">
        <v>8863</v>
      </c>
      <c r="K1615" s="16"/>
      <c r="L1615" s="16"/>
      <c r="M1615" s="19">
        <v>1.1000000000000001</v>
      </c>
      <c r="N1615" s="19" t="s">
        <v>8460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8526</v>
      </c>
      <c r="B1616" s="16" t="s">
        <v>8106</v>
      </c>
      <c r="C1616" s="16" t="s">
        <v>8696</v>
      </c>
      <c r="D1616" s="16" t="s">
        <v>21</v>
      </c>
      <c r="E1616" s="36" t="s">
        <v>8444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7493</v>
      </c>
      <c r="J1616" s="16" t="s">
        <v>8863</v>
      </c>
      <c r="K1616" s="16"/>
      <c r="L1616" s="16"/>
      <c r="M1616" s="19">
        <v>1.2</v>
      </c>
      <c r="N1616" s="19" t="s">
        <v>8460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8527</v>
      </c>
      <c r="B1617" s="16" t="s">
        <v>8107</v>
      </c>
      <c r="C1617" s="16" t="s">
        <v>8697</v>
      </c>
      <c r="D1617" s="16" t="s">
        <v>21</v>
      </c>
      <c r="E1617" s="36" t="s">
        <v>8444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7493</v>
      </c>
      <c r="J1617" s="16" t="s">
        <v>8863</v>
      </c>
      <c r="K1617" s="16"/>
      <c r="L1617" s="16"/>
      <c r="M1617" s="19">
        <v>1.3</v>
      </c>
      <c r="N1617" s="19" t="s">
        <v>8460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8528</v>
      </c>
      <c r="B1618" s="16" t="s">
        <v>8108</v>
      </c>
      <c r="C1618" s="16" t="s">
        <v>8698</v>
      </c>
      <c r="D1618" s="16" t="s">
        <v>21</v>
      </c>
      <c r="E1618" s="36" t="s">
        <v>8444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7493</v>
      </c>
      <c r="J1618" s="16" t="s">
        <v>8863</v>
      </c>
      <c r="K1618" s="16"/>
      <c r="L1618" s="16"/>
      <c r="M1618" s="19">
        <v>1.5</v>
      </c>
      <c r="N1618" s="19" t="s">
        <v>8460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8529</v>
      </c>
      <c r="B1619" s="16" t="s">
        <v>8109</v>
      </c>
      <c r="C1619" s="16" t="s">
        <v>8699</v>
      </c>
      <c r="D1619" s="16" t="s">
        <v>21</v>
      </c>
      <c r="E1619" s="36" t="s">
        <v>8444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7493</v>
      </c>
      <c r="J1619" s="16" t="s">
        <v>8863</v>
      </c>
      <c r="K1619" s="16"/>
      <c r="L1619" s="16"/>
      <c r="M1619" s="19">
        <v>1.6</v>
      </c>
      <c r="N1619" s="19" t="s">
        <v>8460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8530</v>
      </c>
      <c r="B1620" s="16" t="s">
        <v>8110</v>
      </c>
      <c r="C1620" s="16" t="s">
        <v>8700</v>
      </c>
      <c r="D1620" s="16" t="s">
        <v>21</v>
      </c>
      <c r="E1620" s="36" t="s">
        <v>8444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7493</v>
      </c>
      <c r="J1620" s="16" t="s">
        <v>8863</v>
      </c>
      <c r="K1620" s="16"/>
      <c r="L1620" s="16"/>
      <c r="M1620" s="19">
        <v>1.8</v>
      </c>
      <c r="N1620" s="19" t="s">
        <v>8460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8531</v>
      </c>
      <c r="B1621" s="16" t="s">
        <v>8111</v>
      </c>
      <c r="C1621" s="16" t="s">
        <v>8701</v>
      </c>
      <c r="D1621" s="16" t="s">
        <v>21</v>
      </c>
      <c r="E1621" s="36" t="s">
        <v>8444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7493</v>
      </c>
      <c r="J1621" s="16" t="s">
        <v>8863</v>
      </c>
      <c r="K1621" s="16"/>
      <c r="L1621" s="16"/>
      <c r="M1621" s="19">
        <v>2</v>
      </c>
      <c r="N1621" s="19" t="s">
        <v>8460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8532</v>
      </c>
      <c r="B1622" s="16" t="s">
        <v>8112</v>
      </c>
      <c r="C1622" s="16" t="s">
        <v>8702</v>
      </c>
      <c r="D1622" s="16" t="s">
        <v>21</v>
      </c>
      <c r="E1622" s="36" t="s">
        <v>8444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7493</v>
      </c>
      <c r="J1622" s="16" t="s">
        <v>8863</v>
      </c>
      <c r="K1622" s="16"/>
      <c r="L1622" s="16"/>
      <c r="M1622" s="19">
        <v>2.2000000000000002</v>
      </c>
      <c r="N1622" s="19" t="s">
        <v>8460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8533</v>
      </c>
      <c r="B1623" s="16" t="s">
        <v>8113</v>
      </c>
      <c r="C1623" s="16" t="s">
        <v>8703</v>
      </c>
      <c r="D1623" s="16" t="s">
        <v>21</v>
      </c>
      <c r="E1623" s="36" t="s">
        <v>8444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7493</v>
      </c>
      <c r="J1623" s="16" t="s">
        <v>8863</v>
      </c>
      <c r="K1623" s="16"/>
      <c r="L1623" s="16"/>
      <c r="M1623" s="19">
        <v>2.4</v>
      </c>
      <c r="N1623" s="19" t="s">
        <v>8460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8534</v>
      </c>
      <c r="B1624" s="16" t="s">
        <v>8114</v>
      </c>
      <c r="C1624" s="16" t="s">
        <v>8704</v>
      </c>
      <c r="D1624" s="16" t="s">
        <v>21</v>
      </c>
      <c r="E1624" s="36" t="s">
        <v>8444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7493</v>
      </c>
      <c r="J1624" s="16" t="s">
        <v>8863</v>
      </c>
      <c r="K1624" s="16"/>
      <c r="L1624" s="16"/>
      <c r="M1624" s="19">
        <v>2.7</v>
      </c>
      <c r="N1624" s="19" t="s">
        <v>8460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8535</v>
      </c>
      <c r="B1625" s="16" t="s">
        <v>8115</v>
      </c>
      <c r="C1625" s="16" t="s">
        <v>8705</v>
      </c>
      <c r="D1625" s="16" t="s">
        <v>21</v>
      </c>
      <c r="E1625" s="36" t="s">
        <v>8444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7493</v>
      </c>
      <c r="J1625" s="16" t="s">
        <v>8863</v>
      </c>
      <c r="K1625" s="16"/>
      <c r="L1625" s="16"/>
      <c r="M1625" s="19">
        <v>3</v>
      </c>
      <c r="N1625" s="19" t="s">
        <v>8460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8536</v>
      </c>
      <c r="B1626" s="16" t="s">
        <v>8116</v>
      </c>
      <c r="C1626" s="16" t="s">
        <v>8706</v>
      </c>
      <c r="D1626" s="16" t="s">
        <v>21</v>
      </c>
      <c r="E1626" s="36" t="s">
        <v>8444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7493</v>
      </c>
      <c r="J1626" s="16" t="s">
        <v>8863</v>
      </c>
      <c r="K1626" s="16"/>
      <c r="L1626" s="16"/>
      <c r="M1626" s="19">
        <v>3.3</v>
      </c>
      <c r="N1626" s="19" t="s">
        <v>8460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8537</v>
      </c>
      <c r="B1627" s="16" t="s">
        <v>8117</v>
      </c>
      <c r="C1627" s="16" t="s">
        <v>8707</v>
      </c>
      <c r="D1627" s="16" t="s">
        <v>21</v>
      </c>
      <c r="E1627" s="36" t="s">
        <v>8444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7493</v>
      </c>
      <c r="J1627" s="16" t="s">
        <v>8863</v>
      </c>
      <c r="K1627" s="16"/>
      <c r="L1627" s="16"/>
      <c r="M1627" s="19">
        <v>3.6</v>
      </c>
      <c r="N1627" s="19" t="s">
        <v>8460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8538</v>
      </c>
      <c r="B1628" s="16" t="s">
        <v>8118</v>
      </c>
      <c r="C1628" s="16" t="s">
        <v>8708</v>
      </c>
      <c r="D1628" s="16" t="s">
        <v>21</v>
      </c>
      <c r="E1628" s="36" t="s">
        <v>8444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7493</v>
      </c>
      <c r="J1628" s="16" t="s">
        <v>8863</v>
      </c>
      <c r="K1628" s="16"/>
      <c r="L1628" s="16"/>
      <c r="M1628" s="19">
        <v>3.9</v>
      </c>
      <c r="N1628" s="19" t="s">
        <v>8460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8539</v>
      </c>
      <c r="B1629" s="16" t="s">
        <v>8119</v>
      </c>
      <c r="C1629" s="16" t="s">
        <v>8709</v>
      </c>
      <c r="D1629" s="16" t="s">
        <v>21</v>
      </c>
      <c r="E1629" s="36" t="s">
        <v>8444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7493</v>
      </c>
      <c r="J1629" s="16" t="s">
        <v>8863</v>
      </c>
      <c r="K1629" s="16"/>
      <c r="L1629" s="16"/>
      <c r="M1629" s="19">
        <v>4.3</v>
      </c>
      <c r="N1629" s="19" t="s">
        <v>8460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8540</v>
      </c>
      <c r="B1630" s="16" t="s">
        <v>8120</v>
      </c>
      <c r="C1630" s="16" t="s">
        <v>8710</v>
      </c>
      <c r="D1630" s="16" t="s">
        <v>21</v>
      </c>
      <c r="E1630" s="36" t="s">
        <v>8444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7493</v>
      </c>
      <c r="J1630" s="16" t="s">
        <v>8863</v>
      </c>
      <c r="K1630" s="16"/>
      <c r="L1630" s="16"/>
      <c r="M1630" s="19">
        <v>4.7</v>
      </c>
      <c r="N1630" s="19" t="s">
        <v>8460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8541</v>
      </c>
      <c r="B1631" s="16" t="s">
        <v>8121</v>
      </c>
      <c r="C1631" s="16" t="s">
        <v>8711</v>
      </c>
      <c r="D1631" s="16" t="s">
        <v>21</v>
      </c>
      <c r="E1631" s="36" t="s">
        <v>8444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7493</v>
      </c>
      <c r="J1631" s="16" t="s">
        <v>8863</v>
      </c>
      <c r="K1631" s="16"/>
      <c r="L1631" s="16"/>
      <c r="M1631" s="19">
        <v>5.0999999999999996</v>
      </c>
      <c r="N1631" s="19" t="s">
        <v>8460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8542</v>
      </c>
      <c r="B1632" s="16" t="s">
        <v>8122</v>
      </c>
      <c r="C1632" s="16" t="s">
        <v>8712</v>
      </c>
      <c r="D1632" s="16" t="s">
        <v>21</v>
      </c>
      <c r="E1632" s="36" t="s">
        <v>8444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7493</v>
      </c>
      <c r="J1632" s="16" t="s">
        <v>8863</v>
      </c>
      <c r="K1632" s="16"/>
      <c r="L1632" s="16"/>
      <c r="M1632" s="19">
        <v>5.6</v>
      </c>
      <c r="N1632" s="19" t="s">
        <v>8460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8543</v>
      </c>
      <c r="B1633" s="16" t="s">
        <v>8123</v>
      </c>
      <c r="C1633" s="16" t="s">
        <v>8713</v>
      </c>
      <c r="D1633" s="16" t="s">
        <v>21</v>
      </c>
      <c r="E1633" s="36" t="s">
        <v>8444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7493</v>
      </c>
      <c r="J1633" s="16" t="s">
        <v>8863</v>
      </c>
      <c r="K1633" s="16"/>
      <c r="L1633" s="16"/>
      <c r="M1633" s="19">
        <v>6.2</v>
      </c>
      <c r="N1633" s="19" t="s">
        <v>8460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8544</v>
      </c>
      <c r="B1634" s="16" t="s">
        <v>8124</v>
      </c>
      <c r="C1634" s="16" t="s">
        <v>8714</v>
      </c>
      <c r="D1634" s="16" t="s">
        <v>21</v>
      </c>
      <c r="E1634" s="36" t="s">
        <v>8444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7493</v>
      </c>
      <c r="J1634" s="16" t="s">
        <v>8863</v>
      </c>
      <c r="K1634" s="16"/>
      <c r="L1634" s="16"/>
      <c r="M1634" s="19">
        <v>6.8</v>
      </c>
      <c r="N1634" s="19" t="s">
        <v>8460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8545</v>
      </c>
      <c r="B1635" s="16" t="s">
        <v>8125</v>
      </c>
      <c r="C1635" s="16" t="s">
        <v>8715</v>
      </c>
      <c r="D1635" s="16" t="s">
        <v>21</v>
      </c>
      <c r="E1635" s="36" t="s">
        <v>8444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7493</v>
      </c>
      <c r="J1635" s="16" t="s">
        <v>8863</v>
      </c>
      <c r="K1635" s="16"/>
      <c r="L1635" s="16"/>
      <c r="M1635" s="19">
        <v>7.5</v>
      </c>
      <c r="N1635" s="19" t="s">
        <v>8460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8546</v>
      </c>
      <c r="B1636" s="16" t="s">
        <v>8126</v>
      </c>
      <c r="C1636" s="16" t="s">
        <v>8716</v>
      </c>
      <c r="D1636" s="16" t="s">
        <v>21</v>
      </c>
      <c r="E1636" s="36" t="s">
        <v>8444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7493</v>
      </c>
      <c r="J1636" s="16" t="s">
        <v>8863</v>
      </c>
      <c r="K1636" s="16"/>
      <c r="L1636" s="16"/>
      <c r="M1636" s="19">
        <v>8.1999999999999993</v>
      </c>
      <c r="N1636" s="19" t="s">
        <v>8460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8547</v>
      </c>
      <c r="B1637" s="16" t="s">
        <v>8127</v>
      </c>
      <c r="C1637" s="16" t="s">
        <v>8717</v>
      </c>
      <c r="D1637" s="16" t="s">
        <v>21</v>
      </c>
      <c r="E1637" s="36" t="s">
        <v>8444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7493</v>
      </c>
      <c r="J1637" s="16" t="s">
        <v>8863</v>
      </c>
      <c r="K1637" s="16"/>
      <c r="L1637" s="16"/>
      <c r="M1637" s="19">
        <v>9.1</v>
      </c>
      <c r="N1637" s="19" t="s">
        <v>8460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8548</v>
      </c>
      <c r="B1638" s="16" t="s">
        <v>8128</v>
      </c>
      <c r="C1638" s="16" t="s">
        <v>8718</v>
      </c>
      <c r="D1638" s="16" t="s">
        <v>21</v>
      </c>
      <c r="E1638" s="36" t="s">
        <v>8444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7493</v>
      </c>
      <c r="J1638" s="16" t="s">
        <v>8863</v>
      </c>
      <c r="K1638" s="16"/>
      <c r="L1638" s="16"/>
      <c r="M1638" s="20">
        <v>10</v>
      </c>
      <c r="N1638" s="19" t="s">
        <v>8460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8549</v>
      </c>
      <c r="B1639" s="16" t="s">
        <v>8129</v>
      </c>
      <c r="C1639" s="16" t="s">
        <v>8719</v>
      </c>
      <c r="D1639" s="16" t="s">
        <v>21</v>
      </c>
      <c r="E1639" s="36" t="s">
        <v>8444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7493</v>
      </c>
      <c r="J1639" s="16" t="s">
        <v>8863</v>
      </c>
      <c r="K1639" s="16"/>
      <c r="L1639" s="16"/>
      <c r="M1639" s="20">
        <v>11</v>
      </c>
      <c r="N1639" s="19" t="s">
        <v>8460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8550</v>
      </c>
      <c r="B1640" s="16" t="s">
        <v>8130</v>
      </c>
      <c r="C1640" s="16" t="s">
        <v>8720</v>
      </c>
      <c r="D1640" s="16" t="s">
        <v>21</v>
      </c>
      <c r="E1640" s="36" t="s">
        <v>8444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7493</v>
      </c>
      <c r="J1640" s="16" t="s">
        <v>8863</v>
      </c>
      <c r="K1640" s="16"/>
      <c r="L1640" s="16"/>
      <c r="M1640" s="20">
        <v>12</v>
      </c>
      <c r="N1640" s="19" t="s">
        <v>8460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8551</v>
      </c>
      <c r="B1641" s="16" t="s">
        <v>8131</v>
      </c>
      <c r="C1641" s="16" t="s">
        <v>8721</v>
      </c>
      <c r="D1641" s="16" t="s">
        <v>21</v>
      </c>
      <c r="E1641" s="36" t="s">
        <v>8444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7493</v>
      </c>
      <c r="J1641" s="16" t="s">
        <v>8863</v>
      </c>
      <c r="K1641" s="16"/>
      <c r="L1641" s="16"/>
      <c r="M1641" s="20">
        <v>13</v>
      </c>
      <c r="N1641" s="19" t="s">
        <v>8460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8552</v>
      </c>
      <c r="B1642" s="16" t="s">
        <v>8132</v>
      </c>
      <c r="C1642" s="16" t="s">
        <v>8722</v>
      </c>
      <c r="D1642" s="16" t="s">
        <v>21</v>
      </c>
      <c r="E1642" s="36" t="s">
        <v>8444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7493</v>
      </c>
      <c r="J1642" s="16" t="s">
        <v>8863</v>
      </c>
      <c r="K1642" s="16"/>
      <c r="L1642" s="16"/>
      <c r="M1642" s="20">
        <v>15</v>
      </c>
      <c r="N1642" s="19" t="s">
        <v>8460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8553</v>
      </c>
      <c r="B1643" s="16" t="s">
        <v>8133</v>
      </c>
      <c r="C1643" s="16" t="s">
        <v>8723</v>
      </c>
      <c r="D1643" s="16" t="s">
        <v>21</v>
      </c>
      <c r="E1643" s="36" t="s">
        <v>8444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7493</v>
      </c>
      <c r="J1643" s="16" t="s">
        <v>8863</v>
      </c>
      <c r="K1643" s="16"/>
      <c r="L1643" s="16"/>
      <c r="M1643" s="20">
        <v>16</v>
      </c>
      <c r="N1643" s="19" t="s">
        <v>8460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8554</v>
      </c>
      <c r="B1644" s="16" t="s">
        <v>8134</v>
      </c>
      <c r="C1644" s="16" t="s">
        <v>8724</v>
      </c>
      <c r="D1644" s="16" t="s">
        <v>21</v>
      </c>
      <c r="E1644" s="36" t="s">
        <v>8444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7493</v>
      </c>
      <c r="J1644" s="16" t="s">
        <v>8863</v>
      </c>
      <c r="K1644" s="16"/>
      <c r="L1644" s="16"/>
      <c r="M1644" s="20">
        <v>18</v>
      </c>
      <c r="N1644" s="19" t="s">
        <v>8460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8555</v>
      </c>
      <c r="B1645" s="16" t="s">
        <v>8135</v>
      </c>
      <c r="C1645" s="16" t="s">
        <v>8725</v>
      </c>
      <c r="D1645" s="16" t="s">
        <v>21</v>
      </c>
      <c r="E1645" s="36" t="s">
        <v>8444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7493</v>
      </c>
      <c r="J1645" s="16" t="s">
        <v>8863</v>
      </c>
      <c r="K1645" s="16"/>
      <c r="L1645" s="16"/>
      <c r="M1645" s="20">
        <v>20</v>
      </c>
      <c r="N1645" s="19" t="s">
        <v>8460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8556</v>
      </c>
      <c r="B1646" s="16" t="s">
        <v>8136</v>
      </c>
      <c r="C1646" s="16" t="s">
        <v>8726</v>
      </c>
      <c r="D1646" s="16" t="s">
        <v>21</v>
      </c>
      <c r="E1646" s="36" t="s">
        <v>8444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7493</v>
      </c>
      <c r="J1646" s="16" t="s">
        <v>8863</v>
      </c>
      <c r="K1646" s="16"/>
      <c r="L1646" s="16"/>
      <c r="M1646" s="20">
        <v>22</v>
      </c>
      <c r="N1646" s="19" t="s">
        <v>8460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8557</v>
      </c>
      <c r="B1647" s="16" t="s">
        <v>8137</v>
      </c>
      <c r="C1647" s="16" t="s">
        <v>8727</v>
      </c>
      <c r="D1647" s="16" t="s">
        <v>21</v>
      </c>
      <c r="E1647" s="36" t="s">
        <v>8444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7493</v>
      </c>
      <c r="J1647" s="16" t="s">
        <v>8863</v>
      </c>
      <c r="K1647" s="16"/>
      <c r="L1647" s="16"/>
      <c r="M1647" s="20">
        <v>24</v>
      </c>
      <c r="N1647" s="19" t="s">
        <v>8460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8558</v>
      </c>
      <c r="B1648" s="16" t="s">
        <v>8138</v>
      </c>
      <c r="C1648" s="16" t="s">
        <v>8728</v>
      </c>
      <c r="D1648" s="16" t="s">
        <v>21</v>
      </c>
      <c r="E1648" s="36" t="s">
        <v>8444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7493</v>
      </c>
      <c r="J1648" s="16" t="s">
        <v>8863</v>
      </c>
      <c r="K1648" s="16"/>
      <c r="L1648" s="16"/>
      <c r="M1648" s="20">
        <v>27</v>
      </c>
      <c r="N1648" s="19" t="s">
        <v>8460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8559</v>
      </c>
      <c r="B1649" s="16" t="s">
        <v>8139</v>
      </c>
      <c r="C1649" s="16" t="s">
        <v>8729</v>
      </c>
      <c r="D1649" s="16" t="s">
        <v>21</v>
      </c>
      <c r="E1649" s="36" t="s">
        <v>8444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7493</v>
      </c>
      <c r="J1649" s="16" t="s">
        <v>8863</v>
      </c>
      <c r="K1649" s="16"/>
      <c r="L1649" s="16"/>
      <c r="M1649" s="20">
        <v>30</v>
      </c>
      <c r="N1649" s="19" t="s">
        <v>8460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8560</v>
      </c>
      <c r="B1650" s="16" t="s">
        <v>8140</v>
      </c>
      <c r="C1650" s="16" t="s">
        <v>8730</v>
      </c>
      <c r="D1650" s="16" t="s">
        <v>21</v>
      </c>
      <c r="E1650" s="36" t="s">
        <v>8444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7493</v>
      </c>
      <c r="J1650" s="16" t="s">
        <v>8863</v>
      </c>
      <c r="K1650" s="16"/>
      <c r="L1650" s="16"/>
      <c r="M1650" s="20">
        <v>33</v>
      </c>
      <c r="N1650" s="19" t="s">
        <v>8460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8561</v>
      </c>
      <c r="B1651" s="16" t="s">
        <v>8141</v>
      </c>
      <c r="C1651" s="16" t="s">
        <v>8731</v>
      </c>
      <c r="D1651" s="16" t="s">
        <v>21</v>
      </c>
      <c r="E1651" s="36" t="s">
        <v>8444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7493</v>
      </c>
      <c r="J1651" s="16" t="s">
        <v>8863</v>
      </c>
      <c r="K1651" s="16"/>
      <c r="L1651" s="16"/>
      <c r="M1651" s="20">
        <v>36</v>
      </c>
      <c r="N1651" s="19" t="s">
        <v>8460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8562</v>
      </c>
      <c r="B1652" s="16" t="s">
        <v>8142</v>
      </c>
      <c r="C1652" s="16" t="s">
        <v>8732</v>
      </c>
      <c r="D1652" s="16" t="s">
        <v>21</v>
      </c>
      <c r="E1652" s="36" t="s">
        <v>8444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7493</v>
      </c>
      <c r="J1652" s="16" t="s">
        <v>8863</v>
      </c>
      <c r="K1652" s="16"/>
      <c r="L1652" s="16"/>
      <c r="M1652" s="20">
        <v>39</v>
      </c>
      <c r="N1652" s="19" t="s">
        <v>8460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8563</v>
      </c>
      <c r="B1653" s="16" t="s">
        <v>8143</v>
      </c>
      <c r="C1653" s="16" t="s">
        <v>8733</v>
      </c>
      <c r="D1653" s="16" t="s">
        <v>21</v>
      </c>
      <c r="E1653" s="36" t="s">
        <v>8444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7493</v>
      </c>
      <c r="J1653" s="16" t="s">
        <v>8863</v>
      </c>
      <c r="K1653" s="16"/>
      <c r="L1653" s="16"/>
      <c r="M1653" s="20">
        <v>43</v>
      </c>
      <c r="N1653" s="19" t="s">
        <v>8460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8564</v>
      </c>
      <c r="B1654" s="16" t="s">
        <v>8144</v>
      </c>
      <c r="C1654" s="16" t="s">
        <v>8734</v>
      </c>
      <c r="D1654" s="16" t="s">
        <v>21</v>
      </c>
      <c r="E1654" s="36" t="s">
        <v>8444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7493</v>
      </c>
      <c r="J1654" s="16" t="s">
        <v>8863</v>
      </c>
      <c r="K1654" s="16"/>
      <c r="L1654" s="16"/>
      <c r="M1654" s="20">
        <v>47</v>
      </c>
      <c r="N1654" s="19" t="s">
        <v>8460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8565</v>
      </c>
      <c r="B1655" s="16" t="s">
        <v>8145</v>
      </c>
      <c r="C1655" s="16" t="s">
        <v>8735</v>
      </c>
      <c r="D1655" s="16" t="s">
        <v>21</v>
      </c>
      <c r="E1655" s="36" t="s">
        <v>8444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7493</v>
      </c>
      <c r="J1655" s="16" t="s">
        <v>8863</v>
      </c>
      <c r="K1655" s="16"/>
      <c r="L1655" s="16"/>
      <c r="M1655" s="20">
        <v>51</v>
      </c>
      <c r="N1655" s="19" t="s">
        <v>8460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8566</v>
      </c>
      <c r="B1656" s="16" t="s">
        <v>8146</v>
      </c>
      <c r="C1656" s="16" t="s">
        <v>8736</v>
      </c>
      <c r="D1656" s="16" t="s">
        <v>21</v>
      </c>
      <c r="E1656" s="36" t="s">
        <v>8444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7493</v>
      </c>
      <c r="J1656" s="16" t="s">
        <v>8863</v>
      </c>
      <c r="K1656" s="16"/>
      <c r="L1656" s="16"/>
      <c r="M1656" s="20">
        <v>56</v>
      </c>
      <c r="N1656" s="19" t="s">
        <v>8460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8567</v>
      </c>
      <c r="B1657" s="16" t="s">
        <v>8147</v>
      </c>
      <c r="C1657" s="16" t="s">
        <v>8737</v>
      </c>
      <c r="D1657" s="16" t="s">
        <v>21</v>
      </c>
      <c r="E1657" s="36" t="s">
        <v>8444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7493</v>
      </c>
      <c r="J1657" s="16" t="s">
        <v>8863</v>
      </c>
      <c r="K1657" s="16"/>
      <c r="L1657" s="16"/>
      <c r="M1657" s="20">
        <v>62</v>
      </c>
      <c r="N1657" s="19" t="s">
        <v>8460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8568</v>
      </c>
      <c r="B1658" s="16" t="s">
        <v>8148</v>
      </c>
      <c r="C1658" s="16" t="s">
        <v>8738</v>
      </c>
      <c r="D1658" s="16" t="s">
        <v>21</v>
      </c>
      <c r="E1658" s="36" t="s">
        <v>8444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7493</v>
      </c>
      <c r="J1658" s="16" t="s">
        <v>8863</v>
      </c>
      <c r="K1658" s="16"/>
      <c r="L1658" s="16"/>
      <c r="M1658" s="20">
        <v>68</v>
      </c>
      <c r="N1658" s="19" t="s">
        <v>8460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8569</v>
      </c>
      <c r="B1659" s="16" t="s">
        <v>8149</v>
      </c>
      <c r="C1659" s="16" t="s">
        <v>8739</v>
      </c>
      <c r="D1659" s="16" t="s">
        <v>21</v>
      </c>
      <c r="E1659" s="36" t="s">
        <v>8444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7493</v>
      </c>
      <c r="J1659" s="16" t="s">
        <v>8863</v>
      </c>
      <c r="K1659" s="16"/>
      <c r="L1659" s="16"/>
      <c r="M1659" s="20">
        <v>75</v>
      </c>
      <c r="N1659" s="19" t="s">
        <v>8460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8570</v>
      </c>
      <c r="B1660" s="16" t="s">
        <v>8150</v>
      </c>
      <c r="C1660" s="16" t="s">
        <v>8740</v>
      </c>
      <c r="D1660" s="16" t="s">
        <v>21</v>
      </c>
      <c r="E1660" s="36" t="s">
        <v>8444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7493</v>
      </c>
      <c r="J1660" s="16" t="s">
        <v>8863</v>
      </c>
      <c r="K1660" s="16"/>
      <c r="L1660" s="16"/>
      <c r="M1660" s="20">
        <v>82</v>
      </c>
      <c r="N1660" s="19" t="s">
        <v>8460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8571</v>
      </c>
      <c r="B1661" s="16" t="s">
        <v>8151</v>
      </c>
      <c r="C1661" s="16" t="s">
        <v>8741</v>
      </c>
      <c r="D1661" s="16" t="s">
        <v>21</v>
      </c>
      <c r="E1661" s="36" t="s">
        <v>8444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7493</v>
      </c>
      <c r="J1661" s="16" t="s">
        <v>8863</v>
      </c>
      <c r="K1661" s="16"/>
      <c r="L1661" s="16"/>
      <c r="M1661" s="20">
        <v>91</v>
      </c>
      <c r="N1661" s="19" t="s">
        <v>8460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8572</v>
      </c>
      <c r="B1662" s="16" t="s">
        <v>8152</v>
      </c>
      <c r="C1662" s="16" t="s">
        <v>8742</v>
      </c>
      <c r="D1662" s="16" t="s">
        <v>21</v>
      </c>
      <c r="E1662" s="36" t="s">
        <v>8444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7493</v>
      </c>
      <c r="J1662" s="16" t="s">
        <v>8863</v>
      </c>
      <c r="K1662" s="16"/>
      <c r="L1662" s="16"/>
      <c r="M1662" s="20">
        <v>100</v>
      </c>
      <c r="N1662" s="19" t="s">
        <v>8460</v>
      </c>
      <c r="O1662" s="16" t="s">
        <v>4414</v>
      </c>
      <c r="P1662" s="16" t="s">
        <v>8462</v>
      </c>
      <c r="Q1662" s="16" t="s">
        <v>25</v>
      </c>
      <c r="R1662" s="16" t="s">
        <v>10578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8573</v>
      </c>
      <c r="B1663" s="16" t="s">
        <v>8153</v>
      </c>
      <c r="C1663" s="16" t="s">
        <v>8743</v>
      </c>
      <c r="D1663" s="16" t="s">
        <v>21</v>
      </c>
      <c r="E1663" s="36" t="s">
        <v>8444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7493</v>
      </c>
      <c r="J1663" s="16" t="s">
        <v>8863</v>
      </c>
      <c r="K1663" s="16"/>
      <c r="L1663" s="16"/>
      <c r="M1663" s="20">
        <v>110</v>
      </c>
      <c r="N1663" s="19" t="s">
        <v>8460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8574</v>
      </c>
      <c r="B1664" s="16" t="s">
        <v>8154</v>
      </c>
      <c r="C1664" s="16" t="s">
        <v>8744</v>
      </c>
      <c r="D1664" s="16" t="s">
        <v>21</v>
      </c>
      <c r="E1664" s="36" t="s">
        <v>8444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7493</v>
      </c>
      <c r="J1664" s="16" t="s">
        <v>8863</v>
      </c>
      <c r="K1664" s="16"/>
      <c r="L1664" s="16"/>
      <c r="M1664" s="20">
        <v>120</v>
      </c>
      <c r="N1664" s="19" t="s">
        <v>8460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8575</v>
      </c>
      <c r="B1665" s="16" t="s">
        <v>8155</v>
      </c>
      <c r="C1665" s="16" t="s">
        <v>8745</v>
      </c>
      <c r="D1665" s="16" t="s">
        <v>21</v>
      </c>
      <c r="E1665" s="36" t="s">
        <v>8444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7493</v>
      </c>
      <c r="J1665" s="16" t="s">
        <v>8863</v>
      </c>
      <c r="K1665" s="16"/>
      <c r="L1665" s="16"/>
      <c r="M1665" s="20">
        <v>130</v>
      </c>
      <c r="N1665" s="19" t="s">
        <v>8460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8576</v>
      </c>
      <c r="B1666" s="16" t="s">
        <v>8156</v>
      </c>
      <c r="C1666" s="16" t="s">
        <v>8746</v>
      </c>
      <c r="D1666" s="16" t="s">
        <v>21</v>
      </c>
      <c r="E1666" s="36" t="s">
        <v>8444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7493</v>
      </c>
      <c r="J1666" s="16" t="s">
        <v>8863</v>
      </c>
      <c r="K1666" s="16"/>
      <c r="L1666" s="16"/>
      <c r="M1666" s="20">
        <v>150</v>
      </c>
      <c r="N1666" s="19" t="s">
        <v>8460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8577</v>
      </c>
      <c r="B1667" s="16" t="s">
        <v>8157</v>
      </c>
      <c r="C1667" s="16" t="s">
        <v>8747</v>
      </c>
      <c r="D1667" s="16" t="s">
        <v>21</v>
      </c>
      <c r="E1667" s="36" t="s">
        <v>8444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7493</v>
      </c>
      <c r="J1667" s="16" t="s">
        <v>8863</v>
      </c>
      <c r="K1667" s="16"/>
      <c r="L1667" s="16"/>
      <c r="M1667" s="20">
        <v>160</v>
      </c>
      <c r="N1667" s="19" t="s">
        <v>8460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8578</v>
      </c>
      <c r="B1668" s="16" t="s">
        <v>8158</v>
      </c>
      <c r="C1668" s="16" t="s">
        <v>8748</v>
      </c>
      <c r="D1668" s="16" t="s">
        <v>21</v>
      </c>
      <c r="E1668" s="36" t="s">
        <v>8444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7493</v>
      </c>
      <c r="J1668" s="16" t="s">
        <v>8863</v>
      </c>
      <c r="K1668" s="16"/>
      <c r="L1668" s="16"/>
      <c r="M1668" s="20">
        <v>180</v>
      </c>
      <c r="N1668" s="19" t="s">
        <v>8460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8579</v>
      </c>
      <c r="B1669" s="16" t="s">
        <v>8159</v>
      </c>
      <c r="C1669" s="16" t="s">
        <v>8749</v>
      </c>
      <c r="D1669" s="16" t="s">
        <v>21</v>
      </c>
      <c r="E1669" s="36" t="s">
        <v>8444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7493</v>
      </c>
      <c r="J1669" s="16" t="s">
        <v>8863</v>
      </c>
      <c r="K1669" s="16"/>
      <c r="L1669" s="16"/>
      <c r="M1669" s="20">
        <v>200</v>
      </c>
      <c r="N1669" s="19" t="s">
        <v>8460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8580</v>
      </c>
      <c r="B1670" s="16" t="s">
        <v>8160</v>
      </c>
      <c r="C1670" s="16" t="s">
        <v>8750</v>
      </c>
      <c r="D1670" s="16" t="s">
        <v>21</v>
      </c>
      <c r="E1670" s="36" t="s">
        <v>8444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7493</v>
      </c>
      <c r="J1670" s="16" t="s">
        <v>8863</v>
      </c>
      <c r="K1670" s="16"/>
      <c r="L1670" s="16"/>
      <c r="M1670" s="20">
        <v>220</v>
      </c>
      <c r="N1670" s="19" t="s">
        <v>8460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8581</v>
      </c>
      <c r="B1671" s="16" t="s">
        <v>8161</v>
      </c>
      <c r="C1671" s="16" t="s">
        <v>8751</v>
      </c>
      <c r="D1671" s="16" t="s">
        <v>21</v>
      </c>
      <c r="E1671" s="36" t="s">
        <v>8444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7493</v>
      </c>
      <c r="J1671" s="16" t="s">
        <v>8863</v>
      </c>
      <c r="K1671" s="16"/>
      <c r="L1671" s="16"/>
      <c r="M1671" s="20">
        <v>240</v>
      </c>
      <c r="N1671" s="19" t="s">
        <v>8460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8582</v>
      </c>
      <c r="B1672" s="16" t="s">
        <v>8162</v>
      </c>
      <c r="C1672" s="16" t="s">
        <v>8752</v>
      </c>
      <c r="D1672" s="16" t="s">
        <v>21</v>
      </c>
      <c r="E1672" s="36" t="s">
        <v>8444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7493</v>
      </c>
      <c r="J1672" s="16" t="s">
        <v>8863</v>
      </c>
      <c r="K1672" s="16"/>
      <c r="L1672" s="16"/>
      <c r="M1672" s="20">
        <v>270</v>
      </c>
      <c r="N1672" s="19" t="s">
        <v>8460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8583</v>
      </c>
      <c r="B1673" s="16" t="s">
        <v>8163</v>
      </c>
      <c r="C1673" s="16" t="s">
        <v>8753</v>
      </c>
      <c r="D1673" s="16" t="s">
        <v>21</v>
      </c>
      <c r="E1673" s="36" t="s">
        <v>8444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7493</v>
      </c>
      <c r="J1673" s="16" t="s">
        <v>8863</v>
      </c>
      <c r="K1673" s="16"/>
      <c r="L1673" s="16"/>
      <c r="M1673" s="20">
        <v>300</v>
      </c>
      <c r="N1673" s="19" t="s">
        <v>8460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8584</v>
      </c>
      <c r="B1674" s="16" t="s">
        <v>8164</v>
      </c>
      <c r="C1674" s="16" t="s">
        <v>8754</v>
      </c>
      <c r="D1674" s="16" t="s">
        <v>21</v>
      </c>
      <c r="E1674" s="36" t="s">
        <v>8444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7493</v>
      </c>
      <c r="J1674" s="16" t="s">
        <v>8863</v>
      </c>
      <c r="K1674" s="16"/>
      <c r="L1674" s="16"/>
      <c r="M1674" s="20">
        <v>330</v>
      </c>
      <c r="N1674" s="19" t="s">
        <v>8460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8585</v>
      </c>
      <c r="B1675" s="16" t="s">
        <v>8165</v>
      </c>
      <c r="C1675" s="16" t="s">
        <v>8755</v>
      </c>
      <c r="D1675" s="16" t="s">
        <v>21</v>
      </c>
      <c r="E1675" s="36" t="s">
        <v>8444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7493</v>
      </c>
      <c r="J1675" s="16" t="s">
        <v>8863</v>
      </c>
      <c r="K1675" s="16"/>
      <c r="L1675" s="16"/>
      <c r="M1675" s="20">
        <v>360</v>
      </c>
      <c r="N1675" s="19" t="s">
        <v>8460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8586</v>
      </c>
      <c r="B1676" s="16" t="s">
        <v>8166</v>
      </c>
      <c r="C1676" s="16" t="s">
        <v>8756</v>
      </c>
      <c r="D1676" s="16" t="s">
        <v>21</v>
      </c>
      <c r="E1676" s="36" t="s">
        <v>8444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7493</v>
      </c>
      <c r="J1676" s="16" t="s">
        <v>8863</v>
      </c>
      <c r="K1676" s="16"/>
      <c r="L1676" s="16"/>
      <c r="M1676" s="20">
        <v>390</v>
      </c>
      <c r="N1676" s="19" t="s">
        <v>8460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8587</v>
      </c>
      <c r="B1677" s="16" t="s">
        <v>8167</v>
      </c>
      <c r="C1677" s="16" t="s">
        <v>8757</v>
      </c>
      <c r="D1677" s="16" t="s">
        <v>21</v>
      </c>
      <c r="E1677" s="36" t="s">
        <v>8444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7493</v>
      </c>
      <c r="J1677" s="16" t="s">
        <v>8863</v>
      </c>
      <c r="K1677" s="16"/>
      <c r="L1677" s="16"/>
      <c r="M1677" s="20">
        <v>430</v>
      </c>
      <c r="N1677" s="19" t="s">
        <v>8460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8588</v>
      </c>
      <c r="B1678" s="16" t="s">
        <v>8168</v>
      </c>
      <c r="C1678" s="16" t="s">
        <v>8758</v>
      </c>
      <c r="D1678" s="16" t="s">
        <v>21</v>
      </c>
      <c r="E1678" s="36" t="s">
        <v>8444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7493</v>
      </c>
      <c r="J1678" s="16" t="s">
        <v>8863</v>
      </c>
      <c r="K1678" s="16"/>
      <c r="L1678" s="16"/>
      <c r="M1678" s="20">
        <v>470</v>
      </c>
      <c r="N1678" s="19" t="s">
        <v>8460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8589</v>
      </c>
      <c r="B1679" s="16" t="s">
        <v>8169</v>
      </c>
      <c r="C1679" s="16" t="s">
        <v>8759</v>
      </c>
      <c r="D1679" s="16" t="s">
        <v>21</v>
      </c>
      <c r="E1679" s="36" t="s">
        <v>8444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7493</v>
      </c>
      <c r="J1679" s="16" t="s">
        <v>8863</v>
      </c>
      <c r="K1679" s="16"/>
      <c r="L1679" s="16"/>
      <c r="M1679" s="20">
        <v>510</v>
      </c>
      <c r="N1679" s="19" t="s">
        <v>8460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8590</v>
      </c>
      <c r="B1680" s="16" t="s">
        <v>8170</v>
      </c>
      <c r="C1680" s="16" t="s">
        <v>8760</v>
      </c>
      <c r="D1680" s="16" t="s">
        <v>21</v>
      </c>
      <c r="E1680" s="36" t="s">
        <v>8444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7493</v>
      </c>
      <c r="J1680" s="16" t="s">
        <v>8863</v>
      </c>
      <c r="K1680" s="16"/>
      <c r="L1680" s="16"/>
      <c r="M1680" s="20">
        <v>560</v>
      </c>
      <c r="N1680" s="19" t="s">
        <v>8460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8591</v>
      </c>
      <c r="B1681" s="16" t="s">
        <v>8171</v>
      </c>
      <c r="C1681" s="16" t="s">
        <v>8761</v>
      </c>
      <c r="D1681" s="16" t="s">
        <v>21</v>
      </c>
      <c r="E1681" s="36" t="s">
        <v>8444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7493</v>
      </c>
      <c r="J1681" s="16" t="s">
        <v>8863</v>
      </c>
      <c r="K1681" s="16"/>
      <c r="L1681" s="16"/>
      <c r="M1681" s="20">
        <v>620</v>
      </c>
      <c r="N1681" s="19" t="s">
        <v>8460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8592</v>
      </c>
      <c r="B1682" s="16" t="s">
        <v>8172</v>
      </c>
      <c r="C1682" s="16" t="s">
        <v>8762</v>
      </c>
      <c r="D1682" s="16" t="s">
        <v>21</v>
      </c>
      <c r="E1682" s="36" t="s">
        <v>8444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7493</v>
      </c>
      <c r="J1682" s="16" t="s">
        <v>8863</v>
      </c>
      <c r="K1682" s="16"/>
      <c r="L1682" s="16"/>
      <c r="M1682" s="20">
        <v>680</v>
      </c>
      <c r="N1682" s="19" t="s">
        <v>8460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8593</v>
      </c>
      <c r="B1683" s="16" t="s">
        <v>8173</v>
      </c>
      <c r="C1683" s="16" t="s">
        <v>8763</v>
      </c>
      <c r="D1683" s="16" t="s">
        <v>21</v>
      </c>
      <c r="E1683" s="36" t="s">
        <v>8444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7493</v>
      </c>
      <c r="J1683" s="16" t="s">
        <v>8863</v>
      </c>
      <c r="K1683" s="16"/>
      <c r="L1683" s="16"/>
      <c r="M1683" s="20">
        <v>750</v>
      </c>
      <c r="N1683" s="19" t="s">
        <v>8460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8594</v>
      </c>
      <c r="B1684" s="16" t="s">
        <v>8174</v>
      </c>
      <c r="C1684" s="16" t="s">
        <v>8764</v>
      </c>
      <c r="D1684" s="16" t="s">
        <v>21</v>
      </c>
      <c r="E1684" s="36" t="s">
        <v>8444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7493</v>
      </c>
      <c r="J1684" s="16" t="s">
        <v>8863</v>
      </c>
      <c r="K1684" s="16"/>
      <c r="L1684" s="16"/>
      <c r="M1684" s="20">
        <v>820</v>
      </c>
      <c r="N1684" s="19" t="s">
        <v>8460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8595</v>
      </c>
      <c r="B1685" s="16" t="s">
        <v>8175</v>
      </c>
      <c r="C1685" s="16" t="s">
        <v>8765</v>
      </c>
      <c r="D1685" s="16" t="s">
        <v>21</v>
      </c>
      <c r="E1685" s="36" t="s">
        <v>8444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7493</v>
      </c>
      <c r="J1685" s="16" t="s">
        <v>8863</v>
      </c>
      <c r="K1685" s="16"/>
      <c r="L1685" s="16"/>
      <c r="M1685" s="20">
        <v>910</v>
      </c>
      <c r="N1685" s="19" t="s">
        <v>8460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8596</v>
      </c>
      <c r="B1686" s="16" t="s">
        <v>8176</v>
      </c>
      <c r="C1686" s="16" t="s">
        <v>8766</v>
      </c>
      <c r="D1686" s="16" t="s">
        <v>21</v>
      </c>
      <c r="E1686" s="36" t="s">
        <v>8444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7493</v>
      </c>
      <c r="J1686" s="16" t="s">
        <v>8863</v>
      </c>
      <c r="K1686" s="16"/>
      <c r="L1686" s="16"/>
      <c r="M1686" s="20">
        <v>1000</v>
      </c>
      <c r="N1686" s="19" t="s">
        <v>8460</v>
      </c>
      <c r="O1686" s="16" t="s">
        <v>4414</v>
      </c>
      <c r="P1686" s="16" t="s">
        <v>8461</v>
      </c>
      <c r="Q1686" s="16" t="s">
        <v>25</v>
      </c>
      <c r="R1686" s="16" t="s">
        <v>10579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8597</v>
      </c>
      <c r="B1687" s="16" t="s">
        <v>8177</v>
      </c>
      <c r="C1687" s="16" t="s">
        <v>8767</v>
      </c>
      <c r="D1687" s="16" t="s">
        <v>21</v>
      </c>
      <c r="E1687" s="36" t="s">
        <v>8444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7493</v>
      </c>
      <c r="J1687" s="16" t="s">
        <v>8863</v>
      </c>
      <c r="K1687" s="16"/>
      <c r="L1687" s="16"/>
      <c r="M1687" s="20">
        <v>1100</v>
      </c>
      <c r="N1687" s="19" t="s">
        <v>8460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8598</v>
      </c>
      <c r="B1688" s="16" t="s">
        <v>8178</v>
      </c>
      <c r="C1688" s="16" t="s">
        <v>8768</v>
      </c>
      <c r="D1688" s="16" t="s">
        <v>21</v>
      </c>
      <c r="E1688" s="36" t="s">
        <v>8444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7493</v>
      </c>
      <c r="J1688" s="16" t="s">
        <v>8863</v>
      </c>
      <c r="K1688" s="16"/>
      <c r="L1688" s="16"/>
      <c r="M1688" s="20">
        <v>1200</v>
      </c>
      <c r="N1688" s="19" t="s">
        <v>8460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8599</v>
      </c>
      <c r="B1689" s="16" t="s">
        <v>8179</v>
      </c>
      <c r="C1689" s="16" t="s">
        <v>8769</v>
      </c>
      <c r="D1689" s="16" t="s">
        <v>21</v>
      </c>
      <c r="E1689" s="36" t="s">
        <v>8444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7493</v>
      </c>
      <c r="J1689" s="16" t="s">
        <v>8863</v>
      </c>
      <c r="K1689" s="16"/>
      <c r="L1689" s="16"/>
      <c r="M1689" s="20">
        <v>1300</v>
      </c>
      <c r="N1689" s="19" t="s">
        <v>8460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8600</v>
      </c>
      <c r="B1690" s="16" t="s">
        <v>8180</v>
      </c>
      <c r="C1690" s="16" t="s">
        <v>8770</v>
      </c>
      <c r="D1690" s="16" t="s">
        <v>21</v>
      </c>
      <c r="E1690" s="36" t="s">
        <v>8444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7493</v>
      </c>
      <c r="J1690" s="16" t="s">
        <v>8863</v>
      </c>
      <c r="K1690" s="16"/>
      <c r="L1690" s="16"/>
      <c r="M1690" s="20">
        <v>1500</v>
      </c>
      <c r="N1690" s="19" t="s">
        <v>8460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8601</v>
      </c>
      <c r="B1691" s="16" t="s">
        <v>8181</v>
      </c>
      <c r="C1691" s="16" t="s">
        <v>8771</v>
      </c>
      <c r="D1691" s="16" t="s">
        <v>21</v>
      </c>
      <c r="E1691" s="36" t="s">
        <v>8444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7493</v>
      </c>
      <c r="J1691" s="16" t="s">
        <v>8863</v>
      </c>
      <c r="K1691" s="16"/>
      <c r="L1691" s="16"/>
      <c r="M1691" s="20">
        <v>1600</v>
      </c>
      <c r="N1691" s="19" t="s">
        <v>8460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8602</v>
      </c>
      <c r="B1692" s="16" t="s">
        <v>8182</v>
      </c>
      <c r="C1692" s="16" t="s">
        <v>8772</v>
      </c>
      <c r="D1692" s="16" t="s">
        <v>21</v>
      </c>
      <c r="E1692" s="36" t="s">
        <v>8444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7493</v>
      </c>
      <c r="J1692" s="16" t="s">
        <v>8863</v>
      </c>
      <c r="K1692" s="16"/>
      <c r="L1692" s="16"/>
      <c r="M1692" s="20">
        <v>1800</v>
      </c>
      <c r="N1692" s="19" t="s">
        <v>8460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8603</v>
      </c>
      <c r="B1693" s="16" t="s">
        <v>8183</v>
      </c>
      <c r="C1693" s="16" t="s">
        <v>8773</v>
      </c>
      <c r="D1693" s="16" t="s">
        <v>21</v>
      </c>
      <c r="E1693" s="36" t="s">
        <v>8444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7493</v>
      </c>
      <c r="J1693" s="16" t="s">
        <v>8863</v>
      </c>
      <c r="K1693" s="16"/>
      <c r="L1693" s="16"/>
      <c r="M1693" s="20">
        <v>2000</v>
      </c>
      <c r="N1693" s="19" t="s">
        <v>8460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8604</v>
      </c>
      <c r="B1694" s="16" t="s">
        <v>8184</v>
      </c>
      <c r="C1694" s="16" t="s">
        <v>8774</v>
      </c>
      <c r="D1694" s="16" t="s">
        <v>21</v>
      </c>
      <c r="E1694" s="36" t="s">
        <v>8444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7493</v>
      </c>
      <c r="J1694" s="16" t="s">
        <v>8863</v>
      </c>
      <c r="K1694" s="16"/>
      <c r="L1694" s="16"/>
      <c r="M1694" s="20">
        <v>2200</v>
      </c>
      <c r="N1694" s="19" t="s">
        <v>8460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8605</v>
      </c>
      <c r="B1695" s="16" t="s">
        <v>8185</v>
      </c>
      <c r="C1695" s="16" t="s">
        <v>8775</v>
      </c>
      <c r="D1695" s="16" t="s">
        <v>21</v>
      </c>
      <c r="E1695" s="36" t="s">
        <v>8444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7493</v>
      </c>
      <c r="J1695" s="16" t="s">
        <v>8863</v>
      </c>
      <c r="K1695" s="16"/>
      <c r="L1695" s="16"/>
      <c r="M1695" s="20">
        <v>2400</v>
      </c>
      <c r="N1695" s="19" t="s">
        <v>8460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8606</v>
      </c>
      <c r="B1696" s="16" t="s">
        <v>8186</v>
      </c>
      <c r="C1696" s="16" t="s">
        <v>8776</v>
      </c>
      <c r="D1696" s="16" t="s">
        <v>21</v>
      </c>
      <c r="E1696" s="36" t="s">
        <v>8444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7493</v>
      </c>
      <c r="J1696" s="16" t="s">
        <v>8863</v>
      </c>
      <c r="K1696" s="16"/>
      <c r="L1696" s="16"/>
      <c r="M1696" s="20">
        <v>2700</v>
      </c>
      <c r="N1696" s="19" t="s">
        <v>8460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8607</v>
      </c>
      <c r="B1697" s="16" t="s">
        <v>8187</v>
      </c>
      <c r="C1697" s="16" t="s">
        <v>8777</v>
      </c>
      <c r="D1697" s="16" t="s">
        <v>21</v>
      </c>
      <c r="E1697" s="36" t="s">
        <v>8444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7493</v>
      </c>
      <c r="J1697" s="16" t="s">
        <v>8863</v>
      </c>
      <c r="K1697" s="16"/>
      <c r="L1697" s="16"/>
      <c r="M1697" s="20">
        <v>3000</v>
      </c>
      <c r="N1697" s="19" t="s">
        <v>8460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8608</v>
      </c>
      <c r="B1698" s="16" t="s">
        <v>8188</v>
      </c>
      <c r="C1698" s="16" t="s">
        <v>8778</v>
      </c>
      <c r="D1698" s="16" t="s">
        <v>21</v>
      </c>
      <c r="E1698" s="36" t="s">
        <v>8444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7493</v>
      </c>
      <c r="J1698" s="16" t="s">
        <v>8863</v>
      </c>
      <c r="K1698" s="16"/>
      <c r="L1698" s="16"/>
      <c r="M1698" s="20">
        <v>3300</v>
      </c>
      <c r="N1698" s="19" t="s">
        <v>8460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8609</v>
      </c>
      <c r="B1699" s="16" t="s">
        <v>8189</v>
      </c>
      <c r="C1699" s="16" t="s">
        <v>8779</v>
      </c>
      <c r="D1699" s="16" t="s">
        <v>21</v>
      </c>
      <c r="E1699" s="36" t="s">
        <v>8444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7493</v>
      </c>
      <c r="J1699" s="16" t="s">
        <v>8863</v>
      </c>
      <c r="K1699" s="16"/>
      <c r="L1699" s="16"/>
      <c r="M1699" s="20">
        <v>3600</v>
      </c>
      <c r="N1699" s="19" t="s">
        <v>8460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8610</v>
      </c>
      <c r="B1700" s="16" t="s">
        <v>8190</v>
      </c>
      <c r="C1700" s="16" t="s">
        <v>8780</v>
      </c>
      <c r="D1700" s="16" t="s">
        <v>21</v>
      </c>
      <c r="E1700" s="36" t="s">
        <v>8444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7493</v>
      </c>
      <c r="J1700" s="16" t="s">
        <v>8863</v>
      </c>
      <c r="K1700" s="16"/>
      <c r="L1700" s="16"/>
      <c r="M1700" s="20">
        <v>3900</v>
      </c>
      <c r="N1700" s="19" t="s">
        <v>8460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8611</v>
      </c>
      <c r="B1701" s="16" t="s">
        <v>8191</v>
      </c>
      <c r="C1701" s="16" t="s">
        <v>8781</v>
      </c>
      <c r="D1701" s="16" t="s">
        <v>21</v>
      </c>
      <c r="E1701" s="36" t="s">
        <v>8444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7493</v>
      </c>
      <c r="J1701" s="16" t="s">
        <v>8863</v>
      </c>
      <c r="K1701" s="16"/>
      <c r="L1701" s="16"/>
      <c r="M1701" s="20">
        <v>4300</v>
      </c>
      <c r="N1701" s="19" t="s">
        <v>8460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8612</v>
      </c>
      <c r="B1702" s="16" t="s">
        <v>8192</v>
      </c>
      <c r="C1702" s="16" t="s">
        <v>8782</v>
      </c>
      <c r="D1702" s="16" t="s">
        <v>21</v>
      </c>
      <c r="E1702" s="36" t="s">
        <v>8444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7493</v>
      </c>
      <c r="J1702" s="16" t="s">
        <v>8863</v>
      </c>
      <c r="K1702" s="16"/>
      <c r="L1702" s="16"/>
      <c r="M1702" s="20">
        <v>4700</v>
      </c>
      <c r="N1702" s="19" t="s">
        <v>8460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8613</v>
      </c>
      <c r="B1703" s="16" t="s">
        <v>8193</v>
      </c>
      <c r="C1703" s="16" t="s">
        <v>8783</v>
      </c>
      <c r="D1703" s="16" t="s">
        <v>21</v>
      </c>
      <c r="E1703" s="36" t="s">
        <v>8444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7493</v>
      </c>
      <c r="J1703" s="16" t="s">
        <v>8863</v>
      </c>
      <c r="K1703" s="16"/>
      <c r="L1703" s="16"/>
      <c r="M1703" s="20">
        <v>5100</v>
      </c>
      <c r="N1703" s="19" t="s">
        <v>8460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8614</v>
      </c>
      <c r="B1704" s="16" t="s">
        <v>8194</v>
      </c>
      <c r="C1704" s="16" t="s">
        <v>8784</v>
      </c>
      <c r="D1704" s="16" t="s">
        <v>21</v>
      </c>
      <c r="E1704" s="36" t="s">
        <v>8444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7493</v>
      </c>
      <c r="J1704" s="16" t="s">
        <v>8863</v>
      </c>
      <c r="K1704" s="16"/>
      <c r="L1704" s="16"/>
      <c r="M1704" s="20">
        <v>5600</v>
      </c>
      <c r="N1704" s="19" t="s">
        <v>8460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8615</v>
      </c>
      <c r="B1705" s="16" t="s">
        <v>8195</v>
      </c>
      <c r="C1705" s="16" t="s">
        <v>8785</v>
      </c>
      <c r="D1705" s="16" t="s">
        <v>21</v>
      </c>
      <c r="E1705" s="36" t="s">
        <v>8444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7493</v>
      </c>
      <c r="J1705" s="16" t="s">
        <v>8863</v>
      </c>
      <c r="K1705" s="16"/>
      <c r="L1705" s="16"/>
      <c r="M1705" s="20">
        <v>6200</v>
      </c>
      <c r="N1705" s="19" t="s">
        <v>8460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8616</v>
      </c>
      <c r="B1706" s="16" t="s">
        <v>8196</v>
      </c>
      <c r="C1706" s="16" t="s">
        <v>8786</v>
      </c>
      <c r="D1706" s="16" t="s">
        <v>21</v>
      </c>
      <c r="E1706" s="36" t="s">
        <v>8444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7493</v>
      </c>
      <c r="J1706" s="16" t="s">
        <v>8863</v>
      </c>
      <c r="K1706" s="16"/>
      <c r="L1706" s="16"/>
      <c r="M1706" s="20">
        <v>6800</v>
      </c>
      <c r="N1706" s="19" t="s">
        <v>8460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8617</v>
      </c>
      <c r="B1707" s="16" t="s">
        <v>8197</v>
      </c>
      <c r="C1707" s="16" t="s">
        <v>8787</v>
      </c>
      <c r="D1707" s="16" t="s">
        <v>21</v>
      </c>
      <c r="E1707" s="36" t="s">
        <v>8444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7493</v>
      </c>
      <c r="J1707" s="16" t="s">
        <v>8863</v>
      </c>
      <c r="K1707" s="16"/>
      <c r="L1707" s="16"/>
      <c r="M1707" s="20">
        <v>7500</v>
      </c>
      <c r="N1707" s="19" t="s">
        <v>8460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8618</v>
      </c>
      <c r="B1708" s="16" t="s">
        <v>8198</v>
      </c>
      <c r="C1708" s="16" t="s">
        <v>8788</v>
      </c>
      <c r="D1708" s="16" t="s">
        <v>21</v>
      </c>
      <c r="E1708" s="36" t="s">
        <v>8444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7493</v>
      </c>
      <c r="J1708" s="16" t="s">
        <v>8863</v>
      </c>
      <c r="K1708" s="16"/>
      <c r="L1708" s="16"/>
      <c r="M1708" s="20">
        <v>8200</v>
      </c>
      <c r="N1708" s="19" t="s">
        <v>8460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8619</v>
      </c>
      <c r="B1709" s="16" t="s">
        <v>8199</v>
      </c>
      <c r="C1709" s="16" t="s">
        <v>8789</v>
      </c>
      <c r="D1709" s="16" t="s">
        <v>21</v>
      </c>
      <c r="E1709" s="36" t="s">
        <v>8444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7493</v>
      </c>
      <c r="J1709" s="16" t="s">
        <v>8863</v>
      </c>
      <c r="K1709" s="16"/>
      <c r="L1709" s="16"/>
      <c r="M1709" s="20">
        <v>9100</v>
      </c>
      <c r="N1709" s="19" t="s">
        <v>8460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8620</v>
      </c>
      <c r="B1710" s="16" t="s">
        <v>8200</v>
      </c>
      <c r="C1710" s="16" t="s">
        <v>8790</v>
      </c>
      <c r="D1710" s="16" t="s">
        <v>21</v>
      </c>
      <c r="E1710" s="36" t="s">
        <v>8444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7493</v>
      </c>
      <c r="J1710" s="16" t="s">
        <v>8863</v>
      </c>
      <c r="K1710" s="16"/>
      <c r="L1710" s="16"/>
      <c r="M1710" s="20">
        <v>10000</v>
      </c>
      <c r="N1710" s="19" t="s">
        <v>8460</v>
      </c>
      <c r="O1710" s="16" t="s">
        <v>4414</v>
      </c>
      <c r="P1710" s="16" t="s">
        <v>8445</v>
      </c>
      <c r="Q1710" s="16" t="s">
        <v>25</v>
      </c>
      <c r="R1710" s="16" t="s">
        <v>10580</v>
      </c>
      <c r="S1710" s="16" t="s">
        <v>4414</v>
      </c>
      <c r="T1710" s="16" t="s">
        <v>8445</v>
      </c>
      <c r="U1710" s="16" t="s">
        <v>8447</v>
      </c>
      <c r="V1710" s="16" t="s">
        <v>8448</v>
      </c>
      <c r="W1710" s="17"/>
      <c r="X1710" s="17"/>
      <c r="Y1710" s="16"/>
      <c r="Z1710" s="17"/>
      <c r="AA1710" s="17"/>
      <c r="AB1710" s="17"/>
    </row>
    <row r="1711" spans="1:28">
      <c r="A1711" s="16" t="s">
        <v>8621</v>
      </c>
      <c r="B1711" s="16" t="s">
        <v>8201</v>
      </c>
      <c r="C1711" s="16" t="s">
        <v>8791</v>
      </c>
      <c r="D1711" s="16" t="s">
        <v>21</v>
      </c>
      <c r="E1711" s="36" t="s">
        <v>8444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7493</v>
      </c>
      <c r="J1711" s="16" t="s">
        <v>8863</v>
      </c>
      <c r="K1711" s="16"/>
      <c r="L1711" s="16"/>
      <c r="M1711" s="20">
        <v>11000</v>
      </c>
      <c r="N1711" s="19" t="s">
        <v>8460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8622</v>
      </c>
      <c r="B1712" s="16" t="s">
        <v>8202</v>
      </c>
      <c r="C1712" s="16" t="s">
        <v>8792</v>
      </c>
      <c r="D1712" s="16" t="s">
        <v>21</v>
      </c>
      <c r="E1712" s="36" t="s">
        <v>8444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7493</v>
      </c>
      <c r="J1712" s="16" t="s">
        <v>8863</v>
      </c>
      <c r="K1712" s="16"/>
      <c r="L1712" s="16"/>
      <c r="M1712" s="20">
        <v>12000</v>
      </c>
      <c r="N1712" s="19" t="s">
        <v>8460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8623</v>
      </c>
      <c r="B1713" s="16" t="s">
        <v>8203</v>
      </c>
      <c r="C1713" s="16" t="s">
        <v>8793</v>
      </c>
      <c r="D1713" s="16" t="s">
        <v>21</v>
      </c>
      <c r="E1713" s="36" t="s">
        <v>8444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7493</v>
      </c>
      <c r="J1713" s="16" t="s">
        <v>8863</v>
      </c>
      <c r="K1713" s="16"/>
      <c r="L1713" s="16"/>
      <c r="M1713" s="20">
        <v>13000</v>
      </c>
      <c r="N1713" s="19" t="s">
        <v>8460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8624</v>
      </c>
      <c r="B1714" s="16" t="s">
        <v>8204</v>
      </c>
      <c r="C1714" s="16" t="s">
        <v>8794</v>
      </c>
      <c r="D1714" s="16" t="s">
        <v>21</v>
      </c>
      <c r="E1714" s="36" t="s">
        <v>8444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7493</v>
      </c>
      <c r="J1714" s="16" t="s">
        <v>8863</v>
      </c>
      <c r="K1714" s="16"/>
      <c r="L1714" s="16"/>
      <c r="M1714" s="20">
        <v>15000</v>
      </c>
      <c r="N1714" s="19" t="s">
        <v>8460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8625</v>
      </c>
      <c r="B1715" s="16" t="s">
        <v>8205</v>
      </c>
      <c r="C1715" s="16" t="s">
        <v>8795</v>
      </c>
      <c r="D1715" s="16" t="s">
        <v>21</v>
      </c>
      <c r="E1715" s="36" t="s">
        <v>8444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7493</v>
      </c>
      <c r="J1715" s="16" t="s">
        <v>8863</v>
      </c>
      <c r="K1715" s="16"/>
      <c r="L1715" s="16"/>
      <c r="M1715" s="20">
        <v>16000</v>
      </c>
      <c r="N1715" s="19" t="s">
        <v>8460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8626</v>
      </c>
      <c r="B1716" s="16" t="s">
        <v>8206</v>
      </c>
      <c r="C1716" s="16" t="s">
        <v>8796</v>
      </c>
      <c r="D1716" s="16" t="s">
        <v>21</v>
      </c>
      <c r="E1716" s="36" t="s">
        <v>8444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7493</v>
      </c>
      <c r="J1716" s="16" t="s">
        <v>8863</v>
      </c>
      <c r="K1716" s="16"/>
      <c r="L1716" s="16"/>
      <c r="M1716" s="20">
        <v>18000</v>
      </c>
      <c r="N1716" s="19" t="s">
        <v>8460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8627</v>
      </c>
      <c r="B1717" s="16" t="s">
        <v>8207</v>
      </c>
      <c r="C1717" s="16" t="s">
        <v>8797</v>
      </c>
      <c r="D1717" s="16" t="s">
        <v>21</v>
      </c>
      <c r="E1717" s="36" t="s">
        <v>8444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7493</v>
      </c>
      <c r="J1717" s="16" t="s">
        <v>8863</v>
      </c>
      <c r="K1717" s="16"/>
      <c r="L1717" s="16"/>
      <c r="M1717" s="20">
        <v>20000</v>
      </c>
      <c r="N1717" s="19" t="s">
        <v>8460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8628</v>
      </c>
      <c r="B1718" s="16" t="s">
        <v>8208</v>
      </c>
      <c r="C1718" s="16" t="s">
        <v>8798</v>
      </c>
      <c r="D1718" s="16" t="s">
        <v>21</v>
      </c>
      <c r="E1718" s="36" t="s">
        <v>8444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7493</v>
      </c>
      <c r="J1718" s="16" t="s">
        <v>8863</v>
      </c>
      <c r="K1718" s="16"/>
      <c r="L1718" s="16"/>
      <c r="M1718" s="20">
        <v>22000</v>
      </c>
      <c r="N1718" s="19" t="s">
        <v>8460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8629</v>
      </c>
      <c r="B1719" s="16" t="s">
        <v>8209</v>
      </c>
      <c r="C1719" s="16" t="s">
        <v>8799</v>
      </c>
      <c r="D1719" s="16" t="s">
        <v>21</v>
      </c>
      <c r="E1719" s="36" t="s">
        <v>8444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7493</v>
      </c>
      <c r="J1719" s="16" t="s">
        <v>8863</v>
      </c>
      <c r="K1719" s="16"/>
      <c r="L1719" s="16"/>
      <c r="M1719" s="20">
        <v>24000</v>
      </c>
      <c r="N1719" s="19" t="s">
        <v>8460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8630</v>
      </c>
      <c r="B1720" s="16" t="s">
        <v>8210</v>
      </c>
      <c r="C1720" s="16" t="s">
        <v>8800</v>
      </c>
      <c r="D1720" s="16" t="s">
        <v>21</v>
      </c>
      <c r="E1720" s="36" t="s">
        <v>8444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7493</v>
      </c>
      <c r="J1720" s="16" t="s">
        <v>8863</v>
      </c>
      <c r="K1720" s="16"/>
      <c r="L1720" s="16"/>
      <c r="M1720" s="20">
        <v>27000</v>
      </c>
      <c r="N1720" s="19" t="s">
        <v>8460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8631</v>
      </c>
      <c r="B1721" s="16" t="s">
        <v>8211</v>
      </c>
      <c r="C1721" s="16" t="s">
        <v>8801</v>
      </c>
      <c r="D1721" s="16" t="s">
        <v>21</v>
      </c>
      <c r="E1721" s="36" t="s">
        <v>8444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7493</v>
      </c>
      <c r="J1721" s="16" t="s">
        <v>8863</v>
      </c>
      <c r="K1721" s="16"/>
      <c r="L1721" s="16"/>
      <c r="M1721" s="20">
        <v>30000</v>
      </c>
      <c r="N1721" s="19" t="s">
        <v>8460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8632</v>
      </c>
      <c r="B1722" s="16" t="s">
        <v>8212</v>
      </c>
      <c r="C1722" s="16" t="s">
        <v>8802</v>
      </c>
      <c r="D1722" s="16" t="s">
        <v>21</v>
      </c>
      <c r="E1722" s="36" t="s">
        <v>8444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7493</v>
      </c>
      <c r="J1722" s="16" t="s">
        <v>8863</v>
      </c>
      <c r="K1722" s="16"/>
      <c r="L1722" s="16"/>
      <c r="M1722" s="20">
        <v>33000</v>
      </c>
      <c r="N1722" s="19" t="s">
        <v>8460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8633</v>
      </c>
      <c r="B1723" s="16" t="s">
        <v>8213</v>
      </c>
      <c r="C1723" s="16" t="s">
        <v>8803</v>
      </c>
      <c r="D1723" s="16" t="s">
        <v>21</v>
      </c>
      <c r="E1723" s="36" t="s">
        <v>8444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7493</v>
      </c>
      <c r="J1723" s="16" t="s">
        <v>8863</v>
      </c>
      <c r="K1723" s="16"/>
      <c r="L1723" s="16"/>
      <c r="M1723" s="20">
        <v>36000</v>
      </c>
      <c r="N1723" s="19" t="s">
        <v>8460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8634</v>
      </c>
      <c r="B1724" s="16" t="s">
        <v>8214</v>
      </c>
      <c r="C1724" s="16" t="s">
        <v>8804</v>
      </c>
      <c r="D1724" s="16" t="s">
        <v>21</v>
      </c>
      <c r="E1724" s="36" t="s">
        <v>8444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7493</v>
      </c>
      <c r="J1724" s="16" t="s">
        <v>8863</v>
      </c>
      <c r="K1724" s="16"/>
      <c r="L1724" s="16"/>
      <c r="M1724" s="20">
        <v>39000</v>
      </c>
      <c r="N1724" s="19" t="s">
        <v>8460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8635</v>
      </c>
      <c r="B1725" s="16" t="s">
        <v>8215</v>
      </c>
      <c r="C1725" s="16" t="s">
        <v>8805</v>
      </c>
      <c r="D1725" s="16" t="s">
        <v>21</v>
      </c>
      <c r="E1725" s="36" t="s">
        <v>8444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7493</v>
      </c>
      <c r="J1725" s="16" t="s">
        <v>8863</v>
      </c>
      <c r="K1725" s="16"/>
      <c r="L1725" s="16"/>
      <c r="M1725" s="20">
        <v>43000</v>
      </c>
      <c r="N1725" s="19" t="s">
        <v>8460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8636</v>
      </c>
      <c r="B1726" s="16" t="s">
        <v>8216</v>
      </c>
      <c r="C1726" s="16" t="s">
        <v>8806</v>
      </c>
      <c r="D1726" s="16" t="s">
        <v>21</v>
      </c>
      <c r="E1726" s="36" t="s">
        <v>8444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7493</v>
      </c>
      <c r="J1726" s="16" t="s">
        <v>8863</v>
      </c>
      <c r="K1726" s="16"/>
      <c r="L1726" s="16"/>
      <c r="M1726" s="20">
        <v>47000</v>
      </c>
      <c r="N1726" s="19" t="s">
        <v>8460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8637</v>
      </c>
      <c r="B1727" s="16" t="s">
        <v>8217</v>
      </c>
      <c r="C1727" s="16" t="s">
        <v>8807</v>
      </c>
      <c r="D1727" s="16" t="s">
        <v>21</v>
      </c>
      <c r="E1727" s="36" t="s">
        <v>8444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7493</v>
      </c>
      <c r="J1727" s="16" t="s">
        <v>8863</v>
      </c>
      <c r="K1727" s="16"/>
      <c r="L1727" s="16"/>
      <c r="M1727" s="20">
        <v>51000</v>
      </c>
      <c r="N1727" s="19" t="s">
        <v>8460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8638</v>
      </c>
      <c r="B1728" s="16" t="s">
        <v>8218</v>
      </c>
      <c r="C1728" s="16" t="s">
        <v>8808</v>
      </c>
      <c r="D1728" s="16" t="s">
        <v>21</v>
      </c>
      <c r="E1728" s="36" t="s">
        <v>8444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7493</v>
      </c>
      <c r="J1728" s="16" t="s">
        <v>8863</v>
      </c>
      <c r="K1728" s="16"/>
      <c r="L1728" s="16"/>
      <c r="M1728" s="20">
        <v>56000</v>
      </c>
      <c r="N1728" s="19" t="s">
        <v>8460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8639</v>
      </c>
      <c r="B1729" s="16" t="s">
        <v>8219</v>
      </c>
      <c r="C1729" s="16" t="s">
        <v>8809</v>
      </c>
      <c r="D1729" s="16" t="s">
        <v>21</v>
      </c>
      <c r="E1729" s="36" t="s">
        <v>8444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7493</v>
      </c>
      <c r="J1729" s="16" t="s">
        <v>8863</v>
      </c>
      <c r="K1729" s="16"/>
      <c r="L1729" s="16"/>
      <c r="M1729" s="20">
        <v>62000</v>
      </c>
      <c r="N1729" s="19" t="s">
        <v>8460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8640</v>
      </c>
      <c r="B1730" s="16" t="s">
        <v>8220</v>
      </c>
      <c r="C1730" s="16" t="s">
        <v>8810</v>
      </c>
      <c r="D1730" s="16" t="s">
        <v>21</v>
      </c>
      <c r="E1730" s="36" t="s">
        <v>8444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7493</v>
      </c>
      <c r="J1730" s="16" t="s">
        <v>8863</v>
      </c>
      <c r="K1730" s="16"/>
      <c r="L1730" s="16"/>
      <c r="M1730" s="20">
        <v>68000</v>
      </c>
      <c r="N1730" s="19" t="s">
        <v>8460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8641</v>
      </c>
      <c r="B1731" s="16" t="s">
        <v>8221</v>
      </c>
      <c r="C1731" s="16" t="s">
        <v>8811</v>
      </c>
      <c r="D1731" s="16" t="s">
        <v>21</v>
      </c>
      <c r="E1731" s="36" t="s">
        <v>8444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7493</v>
      </c>
      <c r="J1731" s="16" t="s">
        <v>8863</v>
      </c>
      <c r="K1731" s="16"/>
      <c r="L1731" s="16"/>
      <c r="M1731" s="20">
        <v>75000</v>
      </c>
      <c r="N1731" s="19" t="s">
        <v>8460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8642</v>
      </c>
      <c r="B1732" s="16" t="s">
        <v>8222</v>
      </c>
      <c r="C1732" s="16" t="s">
        <v>8812</v>
      </c>
      <c r="D1732" s="16" t="s">
        <v>21</v>
      </c>
      <c r="E1732" s="36" t="s">
        <v>8444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7493</v>
      </c>
      <c r="J1732" s="16" t="s">
        <v>8863</v>
      </c>
      <c r="K1732" s="16"/>
      <c r="L1732" s="16"/>
      <c r="M1732" s="20">
        <v>82000</v>
      </c>
      <c r="N1732" s="19" t="s">
        <v>8460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8643</v>
      </c>
      <c r="B1733" s="16" t="s">
        <v>8223</v>
      </c>
      <c r="C1733" s="16" t="s">
        <v>8813</v>
      </c>
      <c r="D1733" s="16" t="s">
        <v>21</v>
      </c>
      <c r="E1733" s="36" t="s">
        <v>8444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7493</v>
      </c>
      <c r="J1733" s="16" t="s">
        <v>8863</v>
      </c>
      <c r="K1733" s="16"/>
      <c r="L1733" s="16"/>
      <c r="M1733" s="20">
        <v>91000</v>
      </c>
      <c r="N1733" s="19" t="s">
        <v>8460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8644</v>
      </c>
      <c r="B1734" s="16" t="s">
        <v>8224</v>
      </c>
      <c r="C1734" s="16" t="s">
        <v>8814</v>
      </c>
      <c r="D1734" s="16" t="s">
        <v>21</v>
      </c>
      <c r="E1734" s="36" t="s">
        <v>8444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7493</v>
      </c>
      <c r="J1734" s="16" t="s">
        <v>8863</v>
      </c>
      <c r="K1734" s="16"/>
      <c r="L1734" s="16"/>
      <c r="M1734" s="20">
        <v>100000</v>
      </c>
      <c r="N1734" s="19" t="s">
        <v>8460</v>
      </c>
      <c r="O1734" s="16" t="s">
        <v>4414</v>
      </c>
      <c r="P1734" s="16" t="s">
        <v>8446</v>
      </c>
      <c r="Q1734" s="16" t="s">
        <v>25</v>
      </c>
      <c r="R1734" s="16" t="s">
        <v>10581</v>
      </c>
      <c r="S1734" s="16" t="s">
        <v>4414</v>
      </c>
      <c r="T1734" s="16" t="s">
        <v>8446</v>
      </c>
      <c r="U1734" s="16" t="s">
        <v>8447</v>
      </c>
      <c r="V1734" s="16" t="s">
        <v>8448</v>
      </c>
      <c r="W1734" s="16"/>
      <c r="X1734" s="17"/>
      <c r="Y1734" s="16"/>
      <c r="Z1734" s="17"/>
      <c r="AA1734" s="16"/>
      <c r="AB1734" s="17"/>
    </row>
    <row r="1735" spans="1:28">
      <c r="A1735" s="16" t="s">
        <v>8645</v>
      </c>
      <c r="B1735" s="16" t="s">
        <v>8225</v>
      </c>
      <c r="C1735" s="16" t="s">
        <v>8815</v>
      </c>
      <c r="D1735" s="16" t="s">
        <v>21</v>
      </c>
      <c r="E1735" s="36" t="s">
        <v>8444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7493</v>
      </c>
      <c r="J1735" s="16" t="s">
        <v>8863</v>
      </c>
      <c r="K1735" s="16"/>
      <c r="L1735" s="16"/>
      <c r="M1735" s="20">
        <v>110000</v>
      </c>
      <c r="N1735" s="19" t="s">
        <v>8460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8646</v>
      </c>
      <c r="B1736" s="16" t="s">
        <v>8226</v>
      </c>
      <c r="C1736" s="16" t="s">
        <v>8816</v>
      </c>
      <c r="D1736" s="16" t="s">
        <v>21</v>
      </c>
      <c r="E1736" s="36" t="s">
        <v>8444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7493</v>
      </c>
      <c r="J1736" s="16" t="s">
        <v>8863</v>
      </c>
      <c r="K1736" s="16"/>
      <c r="L1736" s="16"/>
      <c r="M1736" s="20">
        <v>120000</v>
      </c>
      <c r="N1736" s="19" t="s">
        <v>8460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8647</v>
      </c>
      <c r="B1737" s="16" t="s">
        <v>8227</v>
      </c>
      <c r="C1737" s="16" t="s">
        <v>8817</v>
      </c>
      <c r="D1737" s="16" t="s">
        <v>21</v>
      </c>
      <c r="E1737" s="36" t="s">
        <v>8444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7493</v>
      </c>
      <c r="J1737" s="16" t="s">
        <v>8863</v>
      </c>
      <c r="K1737" s="16"/>
      <c r="L1737" s="16"/>
      <c r="M1737" s="20">
        <v>130000</v>
      </c>
      <c r="N1737" s="19" t="s">
        <v>8460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8648</v>
      </c>
      <c r="B1738" s="16" t="s">
        <v>8228</v>
      </c>
      <c r="C1738" s="16" t="s">
        <v>8818</v>
      </c>
      <c r="D1738" s="16" t="s">
        <v>21</v>
      </c>
      <c r="E1738" s="36" t="s">
        <v>8444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7493</v>
      </c>
      <c r="J1738" s="16" t="s">
        <v>8863</v>
      </c>
      <c r="K1738" s="16"/>
      <c r="L1738" s="16"/>
      <c r="M1738" s="20">
        <v>150000</v>
      </c>
      <c r="N1738" s="19" t="s">
        <v>8460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8649</v>
      </c>
      <c r="B1739" s="16" t="s">
        <v>8229</v>
      </c>
      <c r="C1739" s="16" t="s">
        <v>8819</v>
      </c>
      <c r="D1739" s="16" t="s">
        <v>21</v>
      </c>
      <c r="E1739" s="36" t="s">
        <v>8444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7493</v>
      </c>
      <c r="J1739" s="16" t="s">
        <v>8863</v>
      </c>
      <c r="K1739" s="16"/>
      <c r="L1739" s="16"/>
      <c r="M1739" s="20">
        <v>160000</v>
      </c>
      <c r="N1739" s="19" t="s">
        <v>8460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8650</v>
      </c>
      <c r="B1740" s="16" t="s">
        <v>8230</v>
      </c>
      <c r="C1740" s="16" t="s">
        <v>8820</v>
      </c>
      <c r="D1740" s="16" t="s">
        <v>21</v>
      </c>
      <c r="E1740" s="36" t="s">
        <v>8444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7493</v>
      </c>
      <c r="J1740" s="16" t="s">
        <v>8863</v>
      </c>
      <c r="K1740" s="16"/>
      <c r="L1740" s="16"/>
      <c r="M1740" s="20">
        <v>180000</v>
      </c>
      <c r="N1740" s="19" t="s">
        <v>8460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8651</v>
      </c>
      <c r="B1741" s="16" t="s">
        <v>8231</v>
      </c>
      <c r="C1741" s="16" t="s">
        <v>8821</v>
      </c>
      <c r="D1741" s="16" t="s">
        <v>21</v>
      </c>
      <c r="E1741" s="36" t="s">
        <v>8444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7493</v>
      </c>
      <c r="J1741" s="16" t="s">
        <v>8863</v>
      </c>
      <c r="K1741" s="16"/>
      <c r="L1741" s="16"/>
      <c r="M1741" s="20">
        <v>200000</v>
      </c>
      <c r="N1741" s="19" t="s">
        <v>8460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8652</v>
      </c>
      <c r="B1742" s="16" t="s">
        <v>8232</v>
      </c>
      <c r="C1742" s="16" t="s">
        <v>8822</v>
      </c>
      <c r="D1742" s="16" t="s">
        <v>21</v>
      </c>
      <c r="E1742" s="36" t="s">
        <v>8444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7493</v>
      </c>
      <c r="J1742" s="16" t="s">
        <v>8863</v>
      </c>
      <c r="K1742" s="16"/>
      <c r="L1742" s="16"/>
      <c r="M1742" s="20">
        <v>220000</v>
      </c>
      <c r="N1742" s="19" t="s">
        <v>8460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8653</v>
      </c>
      <c r="B1743" s="16" t="s">
        <v>8233</v>
      </c>
      <c r="C1743" s="16" t="s">
        <v>8823</v>
      </c>
      <c r="D1743" s="16" t="s">
        <v>21</v>
      </c>
      <c r="E1743" s="36" t="s">
        <v>8444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7493</v>
      </c>
      <c r="J1743" s="16" t="s">
        <v>8863</v>
      </c>
      <c r="K1743" s="16"/>
      <c r="L1743" s="16"/>
      <c r="M1743" s="20">
        <v>240000</v>
      </c>
      <c r="N1743" s="19" t="s">
        <v>8460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8654</v>
      </c>
      <c r="B1744" s="16" t="s">
        <v>8234</v>
      </c>
      <c r="C1744" s="16" t="s">
        <v>8824</v>
      </c>
      <c r="D1744" s="16" t="s">
        <v>21</v>
      </c>
      <c r="E1744" s="36" t="s">
        <v>8444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7493</v>
      </c>
      <c r="J1744" s="16" t="s">
        <v>8863</v>
      </c>
      <c r="K1744" s="16"/>
      <c r="L1744" s="16"/>
      <c r="M1744" s="20">
        <v>270000</v>
      </c>
      <c r="N1744" s="19" t="s">
        <v>8460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8655</v>
      </c>
      <c r="B1745" s="16" t="s">
        <v>8235</v>
      </c>
      <c r="C1745" s="16" t="s">
        <v>8825</v>
      </c>
      <c r="D1745" s="16" t="s">
        <v>21</v>
      </c>
      <c r="E1745" s="36" t="s">
        <v>8444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7493</v>
      </c>
      <c r="J1745" s="16" t="s">
        <v>8863</v>
      </c>
      <c r="K1745" s="16"/>
      <c r="L1745" s="16"/>
      <c r="M1745" s="20">
        <v>300000</v>
      </c>
      <c r="N1745" s="19" t="s">
        <v>8460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8656</v>
      </c>
      <c r="B1746" s="16" t="s">
        <v>8236</v>
      </c>
      <c r="C1746" s="16" t="s">
        <v>8826</v>
      </c>
      <c r="D1746" s="16" t="s">
        <v>21</v>
      </c>
      <c r="E1746" s="36" t="s">
        <v>8444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7493</v>
      </c>
      <c r="J1746" s="16" t="s">
        <v>8863</v>
      </c>
      <c r="K1746" s="16"/>
      <c r="L1746" s="16"/>
      <c r="M1746" s="20">
        <v>330000</v>
      </c>
      <c r="N1746" s="19" t="s">
        <v>8460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8657</v>
      </c>
      <c r="B1747" s="16" t="s">
        <v>8237</v>
      </c>
      <c r="C1747" s="16" t="s">
        <v>8827</v>
      </c>
      <c r="D1747" s="16" t="s">
        <v>21</v>
      </c>
      <c r="E1747" s="36" t="s">
        <v>8444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7493</v>
      </c>
      <c r="J1747" s="16" t="s">
        <v>8863</v>
      </c>
      <c r="K1747" s="16"/>
      <c r="L1747" s="16"/>
      <c r="M1747" s="20">
        <v>360000</v>
      </c>
      <c r="N1747" s="19" t="s">
        <v>8460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8658</v>
      </c>
      <c r="B1748" s="16" t="s">
        <v>8238</v>
      </c>
      <c r="C1748" s="16" t="s">
        <v>8828</v>
      </c>
      <c r="D1748" s="16" t="s">
        <v>21</v>
      </c>
      <c r="E1748" s="36" t="s">
        <v>8444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7493</v>
      </c>
      <c r="J1748" s="16" t="s">
        <v>8863</v>
      </c>
      <c r="K1748" s="16"/>
      <c r="L1748" s="16"/>
      <c r="M1748" s="20">
        <v>390000</v>
      </c>
      <c r="N1748" s="19" t="s">
        <v>8460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8659</v>
      </c>
      <c r="B1749" s="16" t="s">
        <v>8239</v>
      </c>
      <c r="C1749" s="16" t="s">
        <v>8829</v>
      </c>
      <c r="D1749" s="16" t="s">
        <v>21</v>
      </c>
      <c r="E1749" s="36" t="s">
        <v>8444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7493</v>
      </c>
      <c r="J1749" s="16" t="s">
        <v>8863</v>
      </c>
      <c r="K1749" s="16"/>
      <c r="L1749" s="16"/>
      <c r="M1749" s="20">
        <v>430000</v>
      </c>
      <c r="N1749" s="19" t="s">
        <v>8460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8660</v>
      </c>
      <c r="B1750" s="16" t="s">
        <v>8240</v>
      </c>
      <c r="C1750" s="16" t="s">
        <v>8830</v>
      </c>
      <c r="D1750" s="16" t="s">
        <v>21</v>
      </c>
      <c r="E1750" s="36" t="s">
        <v>8444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7493</v>
      </c>
      <c r="J1750" s="16" t="s">
        <v>8863</v>
      </c>
      <c r="K1750" s="16"/>
      <c r="L1750" s="16"/>
      <c r="M1750" s="20">
        <v>470000</v>
      </c>
      <c r="N1750" s="19" t="s">
        <v>8460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8661</v>
      </c>
      <c r="B1751" s="16" t="s">
        <v>8241</v>
      </c>
      <c r="C1751" s="16" t="s">
        <v>8831</v>
      </c>
      <c r="D1751" s="16" t="s">
        <v>21</v>
      </c>
      <c r="E1751" s="36" t="s">
        <v>8444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7493</v>
      </c>
      <c r="J1751" s="16" t="s">
        <v>8863</v>
      </c>
      <c r="K1751" s="16"/>
      <c r="L1751" s="16"/>
      <c r="M1751" s="20">
        <v>510000</v>
      </c>
      <c r="N1751" s="19" t="s">
        <v>8460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8662</v>
      </c>
      <c r="B1752" s="16" t="s">
        <v>8242</v>
      </c>
      <c r="C1752" s="16" t="s">
        <v>8832</v>
      </c>
      <c r="D1752" s="16" t="s">
        <v>21</v>
      </c>
      <c r="E1752" s="36" t="s">
        <v>8444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7493</v>
      </c>
      <c r="J1752" s="16" t="s">
        <v>8863</v>
      </c>
      <c r="K1752" s="16"/>
      <c r="L1752" s="16"/>
      <c r="M1752" s="20">
        <v>560000</v>
      </c>
      <c r="N1752" s="19" t="s">
        <v>8460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8663</v>
      </c>
      <c r="B1753" s="16" t="s">
        <v>8243</v>
      </c>
      <c r="C1753" s="16" t="s">
        <v>8833</v>
      </c>
      <c r="D1753" s="16" t="s">
        <v>21</v>
      </c>
      <c r="E1753" s="36" t="s">
        <v>8444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7493</v>
      </c>
      <c r="J1753" s="16" t="s">
        <v>8863</v>
      </c>
      <c r="K1753" s="16"/>
      <c r="L1753" s="16"/>
      <c r="M1753" s="20">
        <v>620000</v>
      </c>
      <c r="N1753" s="19" t="s">
        <v>8460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8664</v>
      </c>
      <c r="B1754" s="16" t="s">
        <v>8244</v>
      </c>
      <c r="C1754" s="16" t="s">
        <v>8834</v>
      </c>
      <c r="D1754" s="16" t="s">
        <v>21</v>
      </c>
      <c r="E1754" s="36" t="s">
        <v>8444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7493</v>
      </c>
      <c r="J1754" s="16" t="s">
        <v>8863</v>
      </c>
      <c r="K1754" s="16"/>
      <c r="L1754" s="16"/>
      <c r="M1754" s="20">
        <v>680000</v>
      </c>
      <c r="N1754" s="19" t="s">
        <v>8460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8665</v>
      </c>
      <c r="B1755" s="16" t="s">
        <v>8245</v>
      </c>
      <c r="C1755" s="16" t="s">
        <v>8835</v>
      </c>
      <c r="D1755" s="16" t="s">
        <v>21</v>
      </c>
      <c r="E1755" s="36" t="s">
        <v>8444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7493</v>
      </c>
      <c r="J1755" s="16" t="s">
        <v>8863</v>
      </c>
      <c r="K1755" s="16"/>
      <c r="L1755" s="16"/>
      <c r="M1755" s="20">
        <v>750000</v>
      </c>
      <c r="N1755" s="19" t="s">
        <v>8460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8666</v>
      </c>
      <c r="B1756" s="16" t="s">
        <v>8246</v>
      </c>
      <c r="C1756" s="16" t="s">
        <v>8836</v>
      </c>
      <c r="D1756" s="16" t="s">
        <v>21</v>
      </c>
      <c r="E1756" s="36" t="s">
        <v>8444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7493</v>
      </c>
      <c r="J1756" s="16" t="s">
        <v>8863</v>
      </c>
      <c r="K1756" s="16"/>
      <c r="L1756" s="16"/>
      <c r="M1756" s="20">
        <v>820000</v>
      </c>
      <c r="N1756" s="19" t="s">
        <v>8460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8667</v>
      </c>
      <c r="B1757" s="16" t="s">
        <v>8247</v>
      </c>
      <c r="C1757" s="16" t="s">
        <v>8837</v>
      </c>
      <c r="D1757" s="16" t="s">
        <v>21</v>
      </c>
      <c r="E1757" s="36" t="s">
        <v>8444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7493</v>
      </c>
      <c r="J1757" s="16" t="s">
        <v>8863</v>
      </c>
      <c r="K1757" s="16"/>
      <c r="L1757" s="16"/>
      <c r="M1757" s="20">
        <v>910000</v>
      </c>
      <c r="N1757" s="19" t="s">
        <v>8460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8668</v>
      </c>
      <c r="B1758" s="16" t="s">
        <v>8248</v>
      </c>
      <c r="C1758" s="16" t="s">
        <v>8838</v>
      </c>
      <c r="D1758" s="16" t="s">
        <v>21</v>
      </c>
      <c r="E1758" s="36" t="s">
        <v>8444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7493</v>
      </c>
      <c r="J1758" s="16" t="s">
        <v>8863</v>
      </c>
      <c r="K1758" s="16"/>
      <c r="L1758" s="16"/>
      <c r="M1758" s="20">
        <v>1000000</v>
      </c>
      <c r="N1758" s="19" t="s">
        <v>8460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8669</v>
      </c>
      <c r="B1759" s="16" t="s">
        <v>8249</v>
      </c>
      <c r="C1759" s="16" t="s">
        <v>8839</v>
      </c>
      <c r="D1759" s="16" t="s">
        <v>21</v>
      </c>
      <c r="E1759" s="36" t="s">
        <v>8444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7493</v>
      </c>
      <c r="J1759" s="16" t="s">
        <v>8863</v>
      </c>
      <c r="K1759" s="16"/>
      <c r="L1759" s="16"/>
      <c r="M1759" s="20">
        <v>1100000</v>
      </c>
      <c r="N1759" s="19" t="s">
        <v>8460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8670</v>
      </c>
      <c r="B1760" s="16" t="s">
        <v>8250</v>
      </c>
      <c r="C1760" s="16" t="s">
        <v>8840</v>
      </c>
      <c r="D1760" s="16" t="s">
        <v>21</v>
      </c>
      <c r="E1760" s="36" t="s">
        <v>8444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7493</v>
      </c>
      <c r="J1760" s="16" t="s">
        <v>8863</v>
      </c>
      <c r="K1760" s="16"/>
      <c r="L1760" s="16"/>
      <c r="M1760" s="20">
        <v>1200000</v>
      </c>
      <c r="N1760" s="19" t="s">
        <v>8460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8671</v>
      </c>
      <c r="B1761" s="16" t="s">
        <v>8251</v>
      </c>
      <c r="C1761" s="16" t="s">
        <v>8841</v>
      </c>
      <c r="D1761" s="16" t="s">
        <v>21</v>
      </c>
      <c r="E1761" s="36" t="s">
        <v>8444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7493</v>
      </c>
      <c r="J1761" s="16" t="s">
        <v>8863</v>
      </c>
      <c r="K1761" s="16"/>
      <c r="L1761" s="16"/>
      <c r="M1761" s="20">
        <v>1300000</v>
      </c>
      <c r="N1761" s="19" t="s">
        <v>8460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8672</v>
      </c>
      <c r="B1762" s="16" t="s">
        <v>8252</v>
      </c>
      <c r="C1762" s="16" t="s">
        <v>8842</v>
      </c>
      <c r="D1762" s="16" t="s">
        <v>21</v>
      </c>
      <c r="E1762" s="36" t="s">
        <v>8444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7493</v>
      </c>
      <c r="J1762" s="16" t="s">
        <v>8863</v>
      </c>
      <c r="K1762" s="16"/>
      <c r="L1762" s="16"/>
      <c r="M1762" s="20">
        <v>1500000</v>
      </c>
      <c r="N1762" s="19" t="s">
        <v>8460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8673</v>
      </c>
      <c r="B1763" s="16" t="s">
        <v>8253</v>
      </c>
      <c r="C1763" s="16" t="s">
        <v>8843</v>
      </c>
      <c r="D1763" s="16" t="s">
        <v>21</v>
      </c>
      <c r="E1763" s="36" t="s">
        <v>8444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7493</v>
      </c>
      <c r="J1763" s="16" t="s">
        <v>8863</v>
      </c>
      <c r="K1763" s="16"/>
      <c r="L1763" s="16"/>
      <c r="M1763" s="20">
        <v>1600000</v>
      </c>
      <c r="N1763" s="19" t="s">
        <v>8460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8674</v>
      </c>
      <c r="B1764" s="16" t="s">
        <v>8254</v>
      </c>
      <c r="C1764" s="16" t="s">
        <v>8844</v>
      </c>
      <c r="D1764" s="16" t="s">
        <v>21</v>
      </c>
      <c r="E1764" s="36" t="s">
        <v>8444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7493</v>
      </c>
      <c r="J1764" s="16" t="s">
        <v>8863</v>
      </c>
      <c r="K1764" s="16"/>
      <c r="L1764" s="16"/>
      <c r="M1764" s="20">
        <v>1800000</v>
      </c>
      <c r="N1764" s="19" t="s">
        <v>8460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8675</v>
      </c>
      <c r="B1765" s="16" t="s">
        <v>8255</v>
      </c>
      <c r="C1765" s="16" t="s">
        <v>8845</v>
      </c>
      <c r="D1765" s="16" t="s">
        <v>21</v>
      </c>
      <c r="E1765" s="36" t="s">
        <v>8444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7493</v>
      </c>
      <c r="J1765" s="16" t="s">
        <v>8863</v>
      </c>
      <c r="K1765" s="16"/>
      <c r="L1765" s="16"/>
      <c r="M1765" s="20">
        <v>2000000</v>
      </c>
      <c r="N1765" s="19" t="s">
        <v>8460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8676</v>
      </c>
      <c r="B1766" s="16" t="s">
        <v>8256</v>
      </c>
      <c r="C1766" s="16" t="s">
        <v>8846</v>
      </c>
      <c r="D1766" s="16" t="s">
        <v>21</v>
      </c>
      <c r="E1766" s="36" t="s">
        <v>8444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7493</v>
      </c>
      <c r="J1766" s="16" t="s">
        <v>8863</v>
      </c>
      <c r="K1766" s="16"/>
      <c r="L1766" s="16"/>
      <c r="M1766" s="20">
        <v>2200000</v>
      </c>
      <c r="N1766" s="19" t="s">
        <v>8460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8677</v>
      </c>
      <c r="B1767" s="16" t="s">
        <v>8257</v>
      </c>
      <c r="C1767" s="16" t="s">
        <v>8847</v>
      </c>
      <c r="D1767" s="16" t="s">
        <v>21</v>
      </c>
      <c r="E1767" s="36" t="s">
        <v>8444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7493</v>
      </c>
      <c r="J1767" s="16" t="s">
        <v>8863</v>
      </c>
      <c r="K1767" s="16"/>
      <c r="L1767" s="16"/>
      <c r="M1767" s="20">
        <v>2400000</v>
      </c>
      <c r="N1767" s="19" t="s">
        <v>8460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8678</v>
      </c>
      <c r="B1768" s="16" t="s">
        <v>8258</v>
      </c>
      <c r="C1768" s="16" t="s">
        <v>8848</v>
      </c>
      <c r="D1768" s="16" t="s">
        <v>21</v>
      </c>
      <c r="E1768" s="36" t="s">
        <v>8444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7493</v>
      </c>
      <c r="J1768" s="16" t="s">
        <v>8863</v>
      </c>
      <c r="K1768" s="16"/>
      <c r="L1768" s="16"/>
      <c r="M1768" s="20">
        <v>2700000</v>
      </c>
      <c r="N1768" s="19" t="s">
        <v>8460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8679</v>
      </c>
      <c r="B1769" s="16" t="s">
        <v>8259</v>
      </c>
      <c r="C1769" s="16" t="s">
        <v>8849</v>
      </c>
      <c r="D1769" s="16" t="s">
        <v>21</v>
      </c>
      <c r="E1769" s="36" t="s">
        <v>8444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7493</v>
      </c>
      <c r="J1769" s="16" t="s">
        <v>8863</v>
      </c>
      <c r="K1769" s="16"/>
      <c r="L1769" s="16"/>
      <c r="M1769" s="20">
        <v>3000000</v>
      </c>
      <c r="N1769" s="19" t="s">
        <v>8460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8680</v>
      </c>
      <c r="B1770" s="16" t="s">
        <v>8260</v>
      </c>
      <c r="C1770" s="16" t="s">
        <v>8850</v>
      </c>
      <c r="D1770" s="16" t="s">
        <v>21</v>
      </c>
      <c r="E1770" s="36" t="s">
        <v>8444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7493</v>
      </c>
      <c r="J1770" s="16" t="s">
        <v>8863</v>
      </c>
      <c r="K1770" s="16"/>
      <c r="L1770" s="16"/>
      <c r="M1770" s="20">
        <v>3300000</v>
      </c>
      <c r="N1770" s="19" t="s">
        <v>8460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8681</v>
      </c>
      <c r="B1771" s="16" t="s">
        <v>8261</v>
      </c>
      <c r="C1771" s="16" t="s">
        <v>8851</v>
      </c>
      <c r="D1771" s="16" t="s">
        <v>21</v>
      </c>
      <c r="E1771" s="36" t="s">
        <v>8444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7493</v>
      </c>
      <c r="J1771" s="16" t="s">
        <v>8863</v>
      </c>
      <c r="K1771" s="16"/>
      <c r="L1771" s="16"/>
      <c r="M1771" s="20">
        <v>3600000</v>
      </c>
      <c r="N1771" s="19" t="s">
        <v>8460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8682</v>
      </c>
      <c r="B1772" s="16" t="s">
        <v>8262</v>
      </c>
      <c r="C1772" s="16" t="s">
        <v>8852</v>
      </c>
      <c r="D1772" s="16" t="s">
        <v>21</v>
      </c>
      <c r="E1772" s="36" t="s">
        <v>8444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7493</v>
      </c>
      <c r="J1772" s="16" t="s">
        <v>8863</v>
      </c>
      <c r="K1772" s="16"/>
      <c r="L1772" s="16"/>
      <c r="M1772" s="20">
        <v>3900000</v>
      </c>
      <c r="N1772" s="19" t="s">
        <v>8460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8683</v>
      </c>
      <c r="B1773" s="16" t="s">
        <v>8263</v>
      </c>
      <c r="C1773" s="16" t="s">
        <v>8853</v>
      </c>
      <c r="D1773" s="16" t="s">
        <v>21</v>
      </c>
      <c r="E1773" s="36" t="s">
        <v>8444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7493</v>
      </c>
      <c r="J1773" s="16" t="s">
        <v>8863</v>
      </c>
      <c r="K1773" s="16"/>
      <c r="L1773" s="16"/>
      <c r="M1773" s="20">
        <v>4300000</v>
      </c>
      <c r="N1773" s="19" t="s">
        <v>8460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8684</v>
      </c>
      <c r="B1774" s="16" t="s">
        <v>8264</v>
      </c>
      <c r="C1774" s="16" t="s">
        <v>8854</v>
      </c>
      <c r="D1774" s="16" t="s">
        <v>21</v>
      </c>
      <c r="E1774" s="36" t="s">
        <v>8444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7493</v>
      </c>
      <c r="J1774" s="16" t="s">
        <v>8863</v>
      </c>
      <c r="K1774" s="16"/>
      <c r="L1774" s="16"/>
      <c r="M1774" s="20">
        <v>4700000</v>
      </c>
      <c r="N1774" s="19" t="s">
        <v>8460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8685</v>
      </c>
      <c r="B1775" s="16" t="s">
        <v>8265</v>
      </c>
      <c r="C1775" s="16" t="s">
        <v>8855</v>
      </c>
      <c r="D1775" s="16" t="s">
        <v>21</v>
      </c>
      <c r="E1775" s="36" t="s">
        <v>8444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7493</v>
      </c>
      <c r="J1775" s="16" t="s">
        <v>8863</v>
      </c>
      <c r="K1775" s="16"/>
      <c r="L1775" s="16"/>
      <c r="M1775" s="20">
        <v>5100000</v>
      </c>
      <c r="N1775" s="19" t="s">
        <v>8460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8686</v>
      </c>
      <c r="B1776" s="16" t="s">
        <v>8266</v>
      </c>
      <c r="C1776" s="16" t="s">
        <v>8856</v>
      </c>
      <c r="D1776" s="16" t="s">
        <v>21</v>
      </c>
      <c r="E1776" s="36" t="s">
        <v>8444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7493</v>
      </c>
      <c r="J1776" s="16" t="s">
        <v>8863</v>
      </c>
      <c r="K1776" s="16"/>
      <c r="L1776" s="16"/>
      <c r="M1776" s="20">
        <v>5600000</v>
      </c>
      <c r="N1776" s="19" t="s">
        <v>8460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8687</v>
      </c>
      <c r="B1777" s="16" t="s">
        <v>8267</v>
      </c>
      <c r="C1777" s="16" t="s">
        <v>8857</v>
      </c>
      <c r="D1777" s="16" t="s">
        <v>21</v>
      </c>
      <c r="E1777" s="36" t="s">
        <v>8444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7493</v>
      </c>
      <c r="J1777" s="16" t="s">
        <v>8863</v>
      </c>
      <c r="K1777" s="16"/>
      <c r="L1777" s="16"/>
      <c r="M1777" s="20">
        <v>6200000</v>
      </c>
      <c r="N1777" s="19" t="s">
        <v>8460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8688</v>
      </c>
      <c r="B1778" s="16" t="s">
        <v>8268</v>
      </c>
      <c r="C1778" s="16" t="s">
        <v>8858</v>
      </c>
      <c r="D1778" s="16" t="s">
        <v>21</v>
      </c>
      <c r="E1778" s="36" t="s">
        <v>8444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7493</v>
      </c>
      <c r="J1778" s="16" t="s">
        <v>8863</v>
      </c>
      <c r="K1778" s="16"/>
      <c r="L1778" s="16"/>
      <c r="M1778" s="20">
        <v>6800000</v>
      </c>
      <c r="N1778" s="19" t="s">
        <v>8460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8689</v>
      </c>
      <c r="B1779" s="16" t="s">
        <v>8269</v>
      </c>
      <c r="C1779" s="16" t="s">
        <v>8859</v>
      </c>
      <c r="D1779" s="16" t="s">
        <v>21</v>
      </c>
      <c r="E1779" s="36" t="s">
        <v>8444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7493</v>
      </c>
      <c r="J1779" s="16" t="s">
        <v>8863</v>
      </c>
      <c r="K1779" s="16"/>
      <c r="L1779" s="16"/>
      <c r="M1779" s="20">
        <v>7500000</v>
      </c>
      <c r="N1779" s="19" t="s">
        <v>8460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8690</v>
      </c>
      <c r="B1780" s="17" t="s">
        <v>8270</v>
      </c>
      <c r="C1780" s="17" t="s">
        <v>8860</v>
      </c>
      <c r="D1780" s="17" t="s">
        <v>21</v>
      </c>
      <c r="E1780" s="37" t="s">
        <v>8444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7493</v>
      </c>
      <c r="J1780" s="16" t="s">
        <v>8863</v>
      </c>
      <c r="K1780" s="16"/>
      <c r="L1780" s="16"/>
      <c r="M1780" s="21">
        <v>8200000</v>
      </c>
      <c r="N1780" s="19" t="s">
        <v>8460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8691</v>
      </c>
      <c r="B1781" s="17" t="s">
        <v>8271</v>
      </c>
      <c r="C1781" s="17" t="s">
        <v>8861</v>
      </c>
      <c r="D1781" s="17" t="s">
        <v>21</v>
      </c>
      <c r="E1781" s="37" t="s">
        <v>8444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7493</v>
      </c>
      <c r="J1781" s="16" t="s">
        <v>8863</v>
      </c>
      <c r="K1781" s="16"/>
      <c r="L1781" s="16"/>
      <c r="M1781" s="21">
        <v>9100000</v>
      </c>
      <c r="N1781" s="19" t="s">
        <v>8460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8692</v>
      </c>
      <c r="B1782" s="17" t="s">
        <v>8272</v>
      </c>
      <c r="C1782" s="17" t="s">
        <v>8862</v>
      </c>
      <c r="D1782" s="17" t="s">
        <v>21</v>
      </c>
      <c r="E1782" s="37" t="s">
        <v>8444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7493</v>
      </c>
      <c r="J1782" s="16" t="s">
        <v>8863</v>
      </c>
      <c r="K1782" s="16"/>
      <c r="L1782" s="16"/>
      <c r="M1782" s="21">
        <v>10000000</v>
      </c>
      <c r="N1782" s="19" t="s">
        <v>8460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11641</v>
      </c>
      <c r="B1783" t="s">
        <v>11585</v>
      </c>
      <c r="C1783" t="s">
        <v>11697</v>
      </c>
      <c r="D1783" s="17" t="s">
        <v>21</v>
      </c>
      <c r="E1783" t="s">
        <v>11561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7493</v>
      </c>
      <c r="J1783" t="s">
        <v>11562</v>
      </c>
      <c r="M1783" s="3">
        <v>5.0999999999999996</v>
      </c>
      <c r="N1783" t="s">
        <v>11401</v>
      </c>
      <c r="O1783" t="s">
        <v>11456</v>
      </c>
      <c r="P1783" t="s">
        <v>11506</v>
      </c>
      <c r="Q1783" t="s">
        <v>25</v>
      </c>
      <c r="R1783" t="s">
        <v>11915</v>
      </c>
    </row>
    <row r="1784" spans="1:28">
      <c r="A1784" t="s">
        <v>11646</v>
      </c>
      <c r="B1784" t="s">
        <v>11590</v>
      </c>
      <c r="C1784" t="s">
        <v>11702</v>
      </c>
      <c r="D1784" s="17" t="s">
        <v>21</v>
      </c>
      <c r="E1784" t="s">
        <v>11561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7493</v>
      </c>
      <c r="J1784" t="s">
        <v>11562</v>
      </c>
      <c r="M1784" s="3">
        <v>5.6</v>
      </c>
      <c r="N1784" t="s">
        <v>11408</v>
      </c>
      <c r="O1784" t="s">
        <v>11456</v>
      </c>
      <c r="P1784" t="s">
        <v>11513</v>
      </c>
      <c r="Q1784" t="s">
        <v>25</v>
      </c>
      <c r="R1784" t="s">
        <v>11922</v>
      </c>
    </row>
    <row r="1785" spans="1:28">
      <c r="A1785" t="s">
        <v>11642</v>
      </c>
      <c r="B1785" t="s">
        <v>11586</v>
      </c>
      <c r="C1785" t="s">
        <v>11698</v>
      </c>
      <c r="D1785" s="17" t="s">
        <v>21</v>
      </c>
      <c r="E1785" t="s">
        <v>11561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7493</v>
      </c>
      <c r="J1785" t="s">
        <v>11562</v>
      </c>
      <c r="M1785" s="3">
        <v>6.2</v>
      </c>
      <c r="N1785" t="s">
        <v>11402</v>
      </c>
      <c r="O1785" t="s">
        <v>11456</v>
      </c>
      <c r="P1785" t="s">
        <v>11507</v>
      </c>
      <c r="Q1785" t="s">
        <v>25</v>
      </c>
      <c r="R1785" t="s">
        <v>11916</v>
      </c>
    </row>
    <row r="1786" spans="1:28">
      <c r="A1786" t="s">
        <v>11663</v>
      </c>
      <c r="B1786" t="s">
        <v>11607</v>
      </c>
      <c r="C1786" t="s">
        <v>11719</v>
      </c>
      <c r="D1786" s="17" t="s">
        <v>21</v>
      </c>
      <c r="E1786" t="s">
        <v>11561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7493</v>
      </c>
      <c r="J1786" t="s">
        <v>11562</v>
      </c>
      <c r="M1786" s="3">
        <v>6.8</v>
      </c>
      <c r="N1786" t="s">
        <v>11434</v>
      </c>
      <c r="O1786" t="s">
        <v>11456</v>
      </c>
      <c r="P1786" t="s">
        <v>11539</v>
      </c>
      <c r="Q1786" t="s">
        <v>25</v>
      </c>
      <c r="R1786" t="s">
        <v>11948</v>
      </c>
    </row>
    <row r="1787" spans="1:28">
      <c r="A1787" t="s">
        <v>11643</v>
      </c>
      <c r="B1787" t="s">
        <v>11587</v>
      </c>
      <c r="C1787" t="s">
        <v>11699</v>
      </c>
      <c r="D1787" s="17" t="s">
        <v>21</v>
      </c>
      <c r="E1787" t="s">
        <v>11561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7493</v>
      </c>
      <c r="J1787" t="s">
        <v>11562</v>
      </c>
      <c r="M1787" s="3">
        <v>7.5</v>
      </c>
      <c r="N1787" t="s">
        <v>11403</v>
      </c>
      <c r="O1787" t="s">
        <v>11456</v>
      </c>
      <c r="P1787" t="s">
        <v>11508</v>
      </c>
      <c r="Q1787" t="s">
        <v>25</v>
      </c>
      <c r="R1787" t="s">
        <v>11917</v>
      </c>
    </row>
    <row r="1788" spans="1:28">
      <c r="A1788" t="s">
        <v>11645</v>
      </c>
      <c r="B1788" t="s">
        <v>11589</v>
      </c>
      <c r="C1788" t="s">
        <v>11701</v>
      </c>
      <c r="D1788" s="17" t="s">
        <v>21</v>
      </c>
      <c r="E1788" t="s">
        <v>11561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7493</v>
      </c>
      <c r="J1788" t="s">
        <v>11562</v>
      </c>
      <c r="M1788" s="3">
        <v>8.1999999999999993</v>
      </c>
      <c r="N1788" t="s">
        <v>11405</v>
      </c>
      <c r="O1788" t="s">
        <v>11456</v>
      </c>
      <c r="P1788" t="s">
        <v>11510</v>
      </c>
      <c r="Q1788" t="s">
        <v>25</v>
      </c>
      <c r="R1788" t="s">
        <v>11919</v>
      </c>
    </row>
    <row r="1789" spans="1:28">
      <c r="A1789" t="s">
        <v>11669</v>
      </c>
      <c r="B1789" t="s">
        <v>11613</v>
      </c>
      <c r="C1789" t="s">
        <v>11725</v>
      </c>
      <c r="D1789" s="17" t="s">
        <v>21</v>
      </c>
      <c r="E1789" t="s">
        <v>11561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7493</v>
      </c>
      <c r="J1789" t="s">
        <v>11562</v>
      </c>
      <c r="M1789" s="3">
        <v>9.1</v>
      </c>
      <c r="N1789" t="s">
        <v>11446</v>
      </c>
      <c r="O1789" t="s">
        <v>11456</v>
      </c>
      <c r="P1789" t="s">
        <v>11551</v>
      </c>
      <c r="Q1789" t="s">
        <v>25</v>
      </c>
      <c r="R1789" t="s">
        <v>11960</v>
      </c>
    </row>
    <row r="1790" spans="1:28">
      <c r="A1790" t="s">
        <v>11756</v>
      </c>
      <c r="B1790" t="s">
        <v>11801</v>
      </c>
      <c r="C1790" t="s">
        <v>11846</v>
      </c>
      <c r="D1790" s="17" t="s">
        <v>21</v>
      </c>
      <c r="E1790" t="s">
        <v>11561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7493</v>
      </c>
      <c r="J1790" t="s">
        <v>11562</v>
      </c>
      <c r="M1790" s="3">
        <v>10</v>
      </c>
      <c r="N1790" t="s">
        <v>11407</v>
      </c>
      <c r="O1790" t="s">
        <v>11456</v>
      </c>
      <c r="P1790" t="s">
        <v>11512</v>
      </c>
      <c r="Q1790" t="s">
        <v>25</v>
      </c>
      <c r="R1790" t="s">
        <v>11921</v>
      </c>
    </row>
    <row r="1791" spans="1:28">
      <c r="A1791" t="s">
        <v>11773</v>
      </c>
      <c r="B1791" t="s">
        <v>11818</v>
      </c>
      <c r="C1791" t="s">
        <v>11863</v>
      </c>
      <c r="D1791" s="17" t="s">
        <v>21</v>
      </c>
      <c r="E1791" t="s">
        <v>11561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7493</v>
      </c>
      <c r="J1791" t="s">
        <v>11562</v>
      </c>
      <c r="M1791" s="3">
        <v>11</v>
      </c>
      <c r="N1791" t="s">
        <v>11450</v>
      </c>
      <c r="O1791" t="s">
        <v>11456</v>
      </c>
      <c r="P1791" t="s">
        <v>11555</v>
      </c>
      <c r="Q1791" t="s">
        <v>25</v>
      </c>
      <c r="R1791" t="s">
        <v>11964</v>
      </c>
    </row>
    <row r="1792" spans="1:28">
      <c r="A1792" t="s">
        <v>11767</v>
      </c>
      <c r="B1792" t="s">
        <v>11812</v>
      </c>
      <c r="C1792" t="s">
        <v>11857</v>
      </c>
      <c r="D1792" s="17" t="s">
        <v>21</v>
      </c>
      <c r="E1792" t="s">
        <v>11561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7493</v>
      </c>
      <c r="J1792" t="s">
        <v>11562</v>
      </c>
      <c r="M1792" s="3">
        <v>12</v>
      </c>
      <c r="N1792" t="s">
        <v>11438</v>
      </c>
      <c r="O1792" t="s">
        <v>11456</v>
      </c>
      <c r="P1792" t="s">
        <v>11543</v>
      </c>
      <c r="Q1792" t="s">
        <v>25</v>
      </c>
      <c r="R1792" t="s">
        <v>11952</v>
      </c>
    </row>
    <row r="1793" spans="1:18">
      <c r="A1793" t="s">
        <v>11772</v>
      </c>
      <c r="B1793" t="s">
        <v>11817</v>
      </c>
      <c r="C1793" t="s">
        <v>11862</v>
      </c>
      <c r="D1793" s="17" t="s">
        <v>21</v>
      </c>
      <c r="E1793" t="s">
        <v>11561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7493</v>
      </c>
      <c r="J1793" t="s">
        <v>11562</v>
      </c>
      <c r="M1793" s="3">
        <v>13</v>
      </c>
      <c r="N1793" t="s">
        <v>11447</v>
      </c>
      <c r="O1793" t="s">
        <v>11456</v>
      </c>
      <c r="P1793" t="s">
        <v>11552</v>
      </c>
      <c r="Q1793" t="s">
        <v>25</v>
      </c>
      <c r="R1793" t="s">
        <v>11961</v>
      </c>
    </row>
    <row r="1794" spans="1:18">
      <c r="A1794" t="s">
        <v>11735</v>
      </c>
      <c r="B1794" t="s">
        <v>11780</v>
      </c>
      <c r="C1794" t="s">
        <v>11825</v>
      </c>
      <c r="D1794" s="17" t="s">
        <v>21</v>
      </c>
      <c r="E1794" t="s">
        <v>11561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7493</v>
      </c>
      <c r="J1794" t="s">
        <v>11562</v>
      </c>
      <c r="M1794" s="3">
        <v>15</v>
      </c>
      <c r="N1794" t="s">
        <v>11358</v>
      </c>
      <c r="O1794" t="s">
        <v>11456</v>
      </c>
      <c r="P1794" t="s">
        <v>11463</v>
      </c>
      <c r="Q1794" t="s">
        <v>25</v>
      </c>
      <c r="R1794" t="s">
        <v>11872</v>
      </c>
    </row>
    <row r="1795" spans="1:18">
      <c r="A1795" t="s">
        <v>11740</v>
      </c>
      <c r="B1795" t="s">
        <v>11785</v>
      </c>
      <c r="C1795" t="s">
        <v>11830</v>
      </c>
      <c r="D1795" s="17" t="s">
        <v>21</v>
      </c>
      <c r="E1795" t="s">
        <v>11561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7493</v>
      </c>
      <c r="J1795" t="s">
        <v>11562</v>
      </c>
      <c r="M1795" s="3">
        <v>16</v>
      </c>
      <c r="N1795" t="s">
        <v>11369</v>
      </c>
      <c r="O1795" t="s">
        <v>11456</v>
      </c>
      <c r="P1795" t="s">
        <v>11474</v>
      </c>
      <c r="Q1795" t="s">
        <v>25</v>
      </c>
      <c r="R1795" t="s">
        <v>11883</v>
      </c>
    </row>
    <row r="1796" spans="1:18">
      <c r="A1796" t="s">
        <v>11746</v>
      </c>
      <c r="B1796" t="s">
        <v>11791</v>
      </c>
      <c r="C1796" t="s">
        <v>11836</v>
      </c>
      <c r="D1796" s="17" t="s">
        <v>21</v>
      </c>
      <c r="E1796" t="s">
        <v>11561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7493</v>
      </c>
      <c r="J1796" t="s">
        <v>11562</v>
      </c>
      <c r="M1796" s="3">
        <v>18</v>
      </c>
      <c r="N1796" t="s">
        <v>11377</v>
      </c>
      <c r="O1796" t="s">
        <v>11456</v>
      </c>
      <c r="P1796" t="s">
        <v>11482</v>
      </c>
      <c r="Q1796" t="s">
        <v>25</v>
      </c>
      <c r="R1796" t="s">
        <v>11891</v>
      </c>
    </row>
    <row r="1797" spans="1:18">
      <c r="A1797" t="s">
        <v>11749</v>
      </c>
      <c r="B1797" t="s">
        <v>11794</v>
      </c>
      <c r="C1797" t="s">
        <v>11839</v>
      </c>
      <c r="D1797" s="17" t="s">
        <v>21</v>
      </c>
      <c r="E1797" t="s">
        <v>11561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7493</v>
      </c>
      <c r="J1797" t="s">
        <v>11562</v>
      </c>
      <c r="M1797" s="3">
        <v>20</v>
      </c>
      <c r="N1797" t="s">
        <v>11388</v>
      </c>
      <c r="O1797" t="s">
        <v>11456</v>
      </c>
      <c r="P1797" t="s">
        <v>11493</v>
      </c>
      <c r="Q1797" t="s">
        <v>25</v>
      </c>
      <c r="R1797" t="s">
        <v>11902</v>
      </c>
    </row>
    <row r="1798" spans="1:18">
      <c r="A1798" t="s">
        <v>11762</v>
      </c>
      <c r="B1798" t="s">
        <v>11807</v>
      </c>
      <c r="C1798" t="s">
        <v>11852</v>
      </c>
      <c r="D1798" s="17" t="s">
        <v>21</v>
      </c>
      <c r="E1798" t="s">
        <v>11561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7493</v>
      </c>
      <c r="J1798" t="s">
        <v>11562</v>
      </c>
      <c r="M1798" s="3">
        <v>22</v>
      </c>
      <c r="N1798" t="s">
        <v>11428</v>
      </c>
      <c r="O1798" t="s">
        <v>11456</v>
      </c>
      <c r="P1798" t="s">
        <v>11533</v>
      </c>
      <c r="Q1798" t="s">
        <v>25</v>
      </c>
      <c r="R1798" t="s">
        <v>11942</v>
      </c>
    </row>
    <row r="1799" spans="1:18">
      <c r="A1799" t="s">
        <v>11771</v>
      </c>
      <c r="B1799" t="s">
        <v>11816</v>
      </c>
      <c r="C1799" t="s">
        <v>11861</v>
      </c>
      <c r="D1799" s="17" t="s">
        <v>21</v>
      </c>
      <c r="E1799" t="s">
        <v>11561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7493</v>
      </c>
      <c r="J1799" t="s">
        <v>11562</v>
      </c>
      <c r="M1799" s="3">
        <v>24</v>
      </c>
      <c r="N1799" t="s">
        <v>11442</v>
      </c>
      <c r="O1799" t="s">
        <v>11456</v>
      </c>
      <c r="P1799" t="s">
        <v>11547</v>
      </c>
      <c r="Q1799" t="s">
        <v>25</v>
      </c>
      <c r="R1799" t="s">
        <v>11956</v>
      </c>
    </row>
    <row r="1800" spans="1:18">
      <c r="A1800" t="s">
        <v>11737</v>
      </c>
      <c r="B1800" t="s">
        <v>11782</v>
      </c>
      <c r="C1800" t="s">
        <v>11827</v>
      </c>
      <c r="D1800" s="17" t="s">
        <v>21</v>
      </c>
      <c r="E1800" t="s">
        <v>11561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7493</v>
      </c>
      <c r="J1800" t="s">
        <v>11562</v>
      </c>
      <c r="M1800" s="3">
        <v>27</v>
      </c>
      <c r="N1800" t="s">
        <v>11360</v>
      </c>
      <c r="O1800" t="s">
        <v>11456</v>
      </c>
      <c r="P1800" t="s">
        <v>11465</v>
      </c>
      <c r="Q1800" t="s">
        <v>25</v>
      </c>
      <c r="R1800" t="s">
        <v>11874</v>
      </c>
    </row>
    <row r="1801" spans="1:18">
      <c r="A1801" t="s">
        <v>11755</v>
      </c>
      <c r="B1801" t="s">
        <v>11800</v>
      </c>
      <c r="C1801" t="s">
        <v>11845</v>
      </c>
      <c r="D1801" s="17" t="s">
        <v>21</v>
      </c>
      <c r="E1801" t="s">
        <v>11561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7493</v>
      </c>
      <c r="J1801" t="s">
        <v>11562</v>
      </c>
      <c r="M1801" s="3">
        <v>30</v>
      </c>
      <c r="N1801" t="s">
        <v>11406</v>
      </c>
      <c r="O1801" t="s">
        <v>11456</v>
      </c>
      <c r="P1801" t="s">
        <v>11511</v>
      </c>
      <c r="Q1801" t="s">
        <v>25</v>
      </c>
      <c r="R1801" t="s">
        <v>11920</v>
      </c>
    </row>
    <row r="1802" spans="1:18">
      <c r="A1802" t="s">
        <v>11758</v>
      </c>
      <c r="B1802" t="s">
        <v>11803</v>
      </c>
      <c r="C1802" t="s">
        <v>11848</v>
      </c>
      <c r="D1802" s="17" t="s">
        <v>21</v>
      </c>
      <c r="E1802" t="s">
        <v>11561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7493</v>
      </c>
      <c r="J1802" t="s">
        <v>11562</v>
      </c>
      <c r="M1802" s="3">
        <v>33</v>
      </c>
      <c r="N1802" t="s">
        <v>11412</v>
      </c>
      <c r="O1802" t="s">
        <v>11456</v>
      </c>
      <c r="P1802" t="s">
        <v>11517</v>
      </c>
      <c r="Q1802" t="s">
        <v>25</v>
      </c>
      <c r="R1802" t="s">
        <v>11926</v>
      </c>
    </row>
    <row r="1803" spans="1:18">
      <c r="A1803" t="s">
        <v>11774</v>
      </c>
      <c r="B1803" t="s">
        <v>11819</v>
      </c>
      <c r="C1803" t="s">
        <v>11864</v>
      </c>
      <c r="D1803" s="17" t="s">
        <v>21</v>
      </c>
      <c r="E1803" t="s">
        <v>11561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7493</v>
      </c>
      <c r="J1803" t="s">
        <v>11562</v>
      </c>
      <c r="M1803" s="3">
        <v>36</v>
      </c>
      <c r="N1803" t="s">
        <v>11451</v>
      </c>
      <c r="O1803" t="s">
        <v>11456</v>
      </c>
      <c r="P1803" t="s">
        <v>11556</v>
      </c>
      <c r="Q1803" t="s">
        <v>25</v>
      </c>
      <c r="R1803" t="s">
        <v>11965</v>
      </c>
    </row>
    <row r="1804" spans="1:18">
      <c r="A1804" t="s">
        <v>11770</v>
      </c>
      <c r="B1804" t="s">
        <v>11815</v>
      </c>
      <c r="C1804" t="s">
        <v>11860</v>
      </c>
      <c r="D1804" s="17" t="s">
        <v>21</v>
      </c>
      <c r="E1804" t="s">
        <v>11561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7493</v>
      </c>
      <c r="J1804" t="s">
        <v>11562</v>
      </c>
      <c r="M1804" s="3">
        <v>39</v>
      </c>
      <c r="N1804" t="s">
        <v>11441</v>
      </c>
      <c r="O1804" t="s">
        <v>11456</v>
      </c>
      <c r="P1804" t="s">
        <v>11546</v>
      </c>
      <c r="Q1804" t="s">
        <v>25</v>
      </c>
      <c r="R1804" t="s">
        <v>11955</v>
      </c>
    </row>
    <row r="1805" spans="1:18">
      <c r="A1805" t="s">
        <v>11753</v>
      </c>
      <c r="B1805" t="s">
        <v>11798</v>
      </c>
      <c r="C1805" t="s">
        <v>11843</v>
      </c>
      <c r="D1805" s="17" t="s">
        <v>21</v>
      </c>
      <c r="E1805" t="s">
        <v>11561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7493</v>
      </c>
      <c r="J1805" t="s">
        <v>11562</v>
      </c>
      <c r="M1805" s="3">
        <v>43</v>
      </c>
      <c r="N1805" t="s">
        <v>11396</v>
      </c>
      <c r="O1805" t="s">
        <v>11456</v>
      </c>
      <c r="P1805" t="s">
        <v>11501</v>
      </c>
      <c r="Q1805" t="s">
        <v>25</v>
      </c>
      <c r="R1805" t="s">
        <v>11910</v>
      </c>
    </row>
    <row r="1806" spans="1:18">
      <c r="A1806" t="s">
        <v>11970</v>
      </c>
      <c r="B1806" t="s">
        <v>11971</v>
      </c>
      <c r="C1806" t="s">
        <v>11972</v>
      </c>
      <c r="D1806" s="17" t="s">
        <v>21</v>
      </c>
      <c r="E1806" t="s">
        <v>11561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7493</v>
      </c>
      <c r="J1806" t="s">
        <v>11562</v>
      </c>
      <c r="M1806" s="3">
        <v>47</v>
      </c>
      <c r="N1806" t="s">
        <v>11381</v>
      </c>
      <c r="O1806" t="s">
        <v>11456</v>
      </c>
      <c r="P1806" t="s">
        <v>11486</v>
      </c>
      <c r="Q1806" t="s">
        <v>25</v>
      </c>
      <c r="R1806" t="s">
        <v>11895</v>
      </c>
    </row>
    <row r="1807" spans="1:18">
      <c r="A1807" t="s">
        <v>11731</v>
      </c>
      <c r="B1807" t="s">
        <v>11776</v>
      </c>
      <c r="C1807" t="s">
        <v>11821</v>
      </c>
      <c r="D1807" s="17" t="s">
        <v>21</v>
      </c>
      <c r="E1807" t="s">
        <v>11561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7493</v>
      </c>
      <c r="J1807" t="s">
        <v>11562</v>
      </c>
      <c r="M1807" s="3">
        <v>51</v>
      </c>
      <c r="N1807" t="s">
        <v>11352</v>
      </c>
      <c r="O1807" t="s">
        <v>11456</v>
      </c>
      <c r="P1807" t="s">
        <v>11457</v>
      </c>
      <c r="Q1807" t="s">
        <v>25</v>
      </c>
      <c r="R1807" t="s">
        <v>11866</v>
      </c>
    </row>
    <row r="1808" spans="1:18">
      <c r="A1808" t="s">
        <v>11973</v>
      </c>
      <c r="B1808" t="s">
        <v>11974</v>
      </c>
      <c r="C1808" t="s">
        <v>11975</v>
      </c>
      <c r="D1808" s="17" t="s">
        <v>21</v>
      </c>
      <c r="E1808" t="s">
        <v>11561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7493</v>
      </c>
      <c r="J1808" t="s">
        <v>11562</v>
      </c>
      <c r="M1808" s="3">
        <v>56</v>
      </c>
      <c r="N1808" t="s">
        <v>11361</v>
      </c>
      <c r="O1808" t="s">
        <v>11456</v>
      </c>
      <c r="P1808" t="s">
        <v>11466</v>
      </c>
      <c r="Q1808" t="s">
        <v>25</v>
      </c>
      <c r="R1808" t="s">
        <v>11875</v>
      </c>
    </row>
    <row r="1809" spans="1:18">
      <c r="A1809" t="s">
        <v>11732</v>
      </c>
      <c r="B1809" t="s">
        <v>11777</v>
      </c>
      <c r="C1809" t="s">
        <v>11822</v>
      </c>
      <c r="D1809" s="17" t="s">
        <v>21</v>
      </c>
      <c r="E1809" t="s">
        <v>11561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7493</v>
      </c>
      <c r="J1809" t="s">
        <v>11562</v>
      </c>
      <c r="M1809" s="3">
        <v>62</v>
      </c>
      <c r="N1809" t="s">
        <v>11354</v>
      </c>
      <c r="O1809" t="s">
        <v>11456</v>
      </c>
      <c r="P1809" t="s">
        <v>11459</v>
      </c>
      <c r="Q1809" t="s">
        <v>25</v>
      </c>
      <c r="R1809" t="s">
        <v>11868</v>
      </c>
    </row>
    <row r="1810" spans="1:18">
      <c r="A1810" t="s">
        <v>11769</v>
      </c>
      <c r="B1810" t="s">
        <v>11814</v>
      </c>
      <c r="C1810" t="s">
        <v>11859</v>
      </c>
      <c r="D1810" s="17" t="s">
        <v>21</v>
      </c>
      <c r="E1810" t="s">
        <v>11561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7493</v>
      </c>
      <c r="J1810" t="s">
        <v>11562</v>
      </c>
      <c r="M1810" s="3">
        <v>68</v>
      </c>
      <c r="N1810" t="s">
        <v>11440</v>
      </c>
      <c r="O1810" t="s">
        <v>11456</v>
      </c>
      <c r="P1810" t="s">
        <v>11545</v>
      </c>
      <c r="Q1810" t="s">
        <v>25</v>
      </c>
      <c r="R1810" t="s">
        <v>11954</v>
      </c>
    </row>
    <row r="1811" spans="1:18">
      <c r="A1811" t="s">
        <v>11976</v>
      </c>
      <c r="B1811" t="s">
        <v>11977</v>
      </c>
      <c r="C1811" t="s">
        <v>11978</v>
      </c>
      <c r="D1811" s="17" t="s">
        <v>21</v>
      </c>
      <c r="E1811" t="s">
        <v>11561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7493</v>
      </c>
      <c r="J1811" t="s">
        <v>11562</v>
      </c>
      <c r="M1811" s="3">
        <v>75</v>
      </c>
      <c r="N1811" t="s">
        <v>11382</v>
      </c>
      <c r="O1811" t="s">
        <v>11456</v>
      </c>
      <c r="P1811" t="s">
        <v>11487</v>
      </c>
      <c r="Q1811" t="s">
        <v>25</v>
      </c>
      <c r="R1811" t="s">
        <v>11896</v>
      </c>
    </row>
    <row r="1812" spans="1:18">
      <c r="A1812" t="s">
        <v>11763</v>
      </c>
      <c r="B1812" t="s">
        <v>11808</v>
      </c>
      <c r="C1812" t="s">
        <v>11853</v>
      </c>
      <c r="D1812" s="17" t="s">
        <v>21</v>
      </c>
      <c r="E1812" t="s">
        <v>11561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7493</v>
      </c>
      <c r="J1812" t="s">
        <v>11562</v>
      </c>
      <c r="M1812" s="3">
        <v>82</v>
      </c>
      <c r="N1812" t="s">
        <v>11429</v>
      </c>
      <c r="O1812" t="s">
        <v>11456</v>
      </c>
      <c r="P1812" t="s">
        <v>11534</v>
      </c>
      <c r="Q1812" t="s">
        <v>25</v>
      </c>
      <c r="R1812" t="s">
        <v>11943</v>
      </c>
    </row>
    <row r="1813" spans="1:18">
      <c r="A1813" t="s">
        <v>11768</v>
      </c>
      <c r="B1813" t="s">
        <v>11813</v>
      </c>
      <c r="C1813" t="s">
        <v>11858</v>
      </c>
      <c r="D1813" s="17" t="s">
        <v>21</v>
      </c>
      <c r="E1813" t="s">
        <v>11561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7493</v>
      </c>
      <c r="J1813" t="s">
        <v>11562</v>
      </c>
      <c r="M1813" s="3">
        <v>91</v>
      </c>
      <c r="N1813" t="s">
        <v>11439</v>
      </c>
      <c r="O1813" t="s">
        <v>11456</v>
      </c>
      <c r="P1813" t="s">
        <v>11544</v>
      </c>
      <c r="Q1813" t="s">
        <v>25</v>
      </c>
      <c r="R1813" t="s">
        <v>11953</v>
      </c>
    </row>
    <row r="1814" spans="1:18">
      <c r="A1814" t="s">
        <v>11734</v>
      </c>
      <c r="B1814" t="s">
        <v>11779</v>
      </c>
      <c r="C1814" t="s">
        <v>11824</v>
      </c>
      <c r="D1814" s="17" t="s">
        <v>21</v>
      </c>
      <c r="E1814" t="s">
        <v>11561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7493</v>
      </c>
      <c r="J1814" t="s">
        <v>11562</v>
      </c>
      <c r="M1814" s="3">
        <v>100</v>
      </c>
      <c r="N1814" t="s">
        <v>11357</v>
      </c>
      <c r="O1814" t="s">
        <v>11456</v>
      </c>
      <c r="P1814" t="s">
        <v>11462</v>
      </c>
      <c r="Q1814" t="s">
        <v>25</v>
      </c>
      <c r="R1814" t="s">
        <v>11871</v>
      </c>
    </row>
    <row r="1815" spans="1:18">
      <c r="A1815" t="s">
        <v>11741</v>
      </c>
      <c r="B1815" t="s">
        <v>11786</v>
      </c>
      <c r="C1815" t="s">
        <v>11831</v>
      </c>
      <c r="D1815" s="17" t="s">
        <v>21</v>
      </c>
      <c r="E1815" t="s">
        <v>11561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7493</v>
      </c>
      <c r="J1815" t="s">
        <v>11562</v>
      </c>
      <c r="M1815" s="3">
        <v>110</v>
      </c>
      <c r="N1815" t="s">
        <v>11372</v>
      </c>
      <c r="O1815" t="s">
        <v>11456</v>
      </c>
      <c r="P1815" t="s">
        <v>11477</v>
      </c>
      <c r="Q1815" t="s">
        <v>25</v>
      </c>
      <c r="R1815" t="s">
        <v>11886</v>
      </c>
    </row>
    <row r="1816" spans="1:18">
      <c r="A1816" t="s">
        <v>11745</v>
      </c>
      <c r="B1816" t="s">
        <v>11790</v>
      </c>
      <c r="C1816" t="s">
        <v>11835</v>
      </c>
      <c r="D1816" s="17" t="s">
        <v>21</v>
      </c>
      <c r="E1816" t="s">
        <v>11561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7493</v>
      </c>
      <c r="J1816" t="s">
        <v>11562</v>
      </c>
      <c r="M1816" s="3">
        <v>120</v>
      </c>
      <c r="N1816" t="s">
        <v>11376</v>
      </c>
      <c r="O1816" t="s">
        <v>11456</v>
      </c>
      <c r="P1816" t="s">
        <v>11481</v>
      </c>
      <c r="Q1816" t="s">
        <v>25</v>
      </c>
      <c r="R1816" t="s">
        <v>11890</v>
      </c>
    </row>
    <row r="1817" spans="1:18">
      <c r="A1817" t="s">
        <v>11747</v>
      </c>
      <c r="B1817" t="s">
        <v>11792</v>
      </c>
      <c r="C1817" t="s">
        <v>11837</v>
      </c>
      <c r="D1817" s="17" t="s">
        <v>21</v>
      </c>
      <c r="E1817" t="s">
        <v>11561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7493</v>
      </c>
      <c r="J1817" t="s">
        <v>11562</v>
      </c>
      <c r="M1817" s="3">
        <v>130</v>
      </c>
      <c r="N1817" t="s">
        <v>11385</v>
      </c>
      <c r="O1817" t="s">
        <v>11456</v>
      </c>
      <c r="P1817" t="s">
        <v>11490</v>
      </c>
      <c r="Q1817" t="s">
        <v>25</v>
      </c>
      <c r="R1817" t="s">
        <v>11899</v>
      </c>
    </row>
    <row r="1818" spans="1:18">
      <c r="A1818" t="s">
        <v>11764</v>
      </c>
      <c r="B1818" t="s">
        <v>11809</v>
      </c>
      <c r="C1818" t="s">
        <v>11854</v>
      </c>
      <c r="D1818" s="17" t="s">
        <v>21</v>
      </c>
      <c r="E1818" t="s">
        <v>11561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7493</v>
      </c>
      <c r="J1818" t="s">
        <v>11562</v>
      </c>
      <c r="M1818" s="3">
        <v>150</v>
      </c>
      <c r="N1818" t="s">
        <v>11431</v>
      </c>
      <c r="O1818" t="s">
        <v>11456</v>
      </c>
      <c r="P1818" t="s">
        <v>11536</v>
      </c>
      <c r="Q1818" t="s">
        <v>25</v>
      </c>
      <c r="R1818" t="s">
        <v>11945</v>
      </c>
    </row>
    <row r="1819" spans="1:18">
      <c r="A1819" t="s">
        <v>11748</v>
      </c>
      <c r="B1819" t="s">
        <v>11793</v>
      </c>
      <c r="C1819" t="s">
        <v>11838</v>
      </c>
      <c r="D1819" s="17" t="s">
        <v>21</v>
      </c>
      <c r="E1819" t="s">
        <v>11561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7493</v>
      </c>
      <c r="J1819" t="s">
        <v>11562</v>
      </c>
      <c r="M1819" s="3">
        <v>160</v>
      </c>
      <c r="N1819" t="s">
        <v>11386</v>
      </c>
      <c r="O1819" t="s">
        <v>11456</v>
      </c>
      <c r="P1819" t="s">
        <v>11491</v>
      </c>
      <c r="Q1819" t="s">
        <v>25</v>
      </c>
      <c r="R1819" t="s">
        <v>11900</v>
      </c>
    </row>
    <row r="1820" spans="1:18">
      <c r="A1820" t="s">
        <v>11751</v>
      </c>
      <c r="B1820" t="s">
        <v>11796</v>
      </c>
      <c r="C1820" t="s">
        <v>11841</v>
      </c>
      <c r="D1820" s="17" t="s">
        <v>21</v>
      </c>
      <c r="E1820" t="s">
        <v>11561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7493</v>
      </c>
      <c r="J1820" t="s">
        <v>11562</v>
      </c>
      <c r="M1820" s="3">
        <v>180</v>
      </c>
      <c r="N1820" t="s">
        <v>11393</v>
      </c>
      <c r="O1820" t="s">
        <v>11456</v>
      </c>
      <c r="P1820" t="s">
        <v>11498</v>
      </c>
      <c r="Q1820" t="s">
        <v>25</v>
      </c>
      <c r="R1820" t="s">
        <v>11907</v>
      </c>
    </row>
    <row r="1821" spans="1:18">
      <c r="A1821" t="s">
        <v>11742</v>
      </c>
      <c r="B1821" t="s">
        <v>11787</v>
      </c>
      <c r="C1821" t="s">
        <v>11832</v>
      </c>
      <c r="D1821" s="17" t="s">
        <v>21</v>
      </c>
      <c r="E1821" t="s">
        <v>11561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7493</v>
      </c>
      <c r="J1821" t="s">
        <v>11562</v>
      </c>
      <c r="M1821" s="3">
        <v>200</v>
      </c>
      <c r="N1821" t="s">
        <v>11373</v>
      </c>
      <c r="O1821" t="s">
        <v>11456</v>
      </c>
      <c r="P1821" t="s">
        <v>11478</v>
      </c>
      <c r="Q1821" t="s">
        <v>25</v>
      </c>
      <c r="R1821" t="s">
        <v>11887</v>
      </c>
    </row>
    <row r="1822" spans="1:18">
      <c r="A1822" t="s">
        <v>11736</v>
      </c>
      <c r="B1822" t="s">
        <v>11781</v>
      </c>
      <c r="C1822" t="s">
        <v>11826</v>
      </c>
      <c r="D1822" s="17" t="s">
        <v>21</v>
      </c>
      <c r="E1822" t="s">
        <v>11561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7493</v>
      </c>
      <c r="J1822" t="s">
        <v>11562</v>
      </c>
      <c r="M1822" s="3">
        <v>220</v>
      </c>
      <c r="N1822" t="s">
        <v>11359</v>
      </c>
      <c r="O1822" t="s">
        <v>11456</v>
      </c>
      <c r="P1822" t="s">
        <v>11464</v>
      </c>
      <c r="Q1822" t="s">
        <v>25</v>
      </c>
      <c r="R1822" t="s">
        <v>11873</v>
      </c>
    </row>
    <row r="1823" spans="1:18">
      <c r="A1823" t="s">
        <v>11733</v>
      </c>
      <c r="B1823" t="s">
        <v>11778</v>
      </c>
      <c r="C1823" t="s">
        <v>11823</v>
      </c>
      <c r="D1823" s="17" t="s">
        <v>21</v>
      </c>
      <c r="E1823" t="s">
        <v>11561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7493</v>
      </c>
      <c r="J1823" t="s">
        <v>11562</v>
      </c>
      <c r="M1823" s="3">
        <v>240</v>
      </c>
      <c r="N1823" t="s">
        <v>11355</v>
      </c>
      <c r="O1823" t="s">
        <v>11456</v>
      </c>
      <c r="P1823" t="s">
        <v>11460</v>
      </c>
      <c r="Q1823" t="s">
        <v>25</v>
      </c>
      <c r="R1823" t="s">
        <v>11869</v>
      </c>
    </row>
    <row r="1824" spans="1:18">
      <c r="A1824" t="s">
        <v>11739</v>
      </c>
      <c r="B1824" t="s">
        <v>11784</v>
      </c>
      <c r="C1824" t="s">
        <v>11829</v>
      </c>
      <c r="D1824" s="17" t="s">
        <v>21</v>
      </c>
      <c r="E1824" t="s">
        <v>11561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7493</v>
      </c>
      <c r="J1824" t="s">
        <v>11562</v>
      </c>
      <c r="M1824" s="3">
        <v>270</v>
      </c>
      <c r="N1824" t="s">
        <v>11364</v>
      </c>
      <c r="O1824" t="s">
        <v>11456</v>
      </c>
      <c r="P1824" t="s">
        <v>11469</v>
      </c>
      <c r="Q1824" t="s">
        <v>25</v>
      </c>
      <c r="R1824" t="s">
        <v>11878</v>
      </c>
    </row>
    <row r="1825" spans="1:18">
      <c r="A1825" t="s">
        <v>11761</v>
      </c>
      <c r="B1825" t="s">
        <v>11806</v>
      </c>
      <c r="C1825" t="s">
        <v>11851</v>
      </c>
      <c r="D1825" s="17" t="s">
        <v>21</v>
      </c>
      <c r="E1825" t="s">
        <v>11561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7493</v>
      </c>
      <c r="J1825" t="s">
        <v>11562</v>
      </c>
      <c r="M1825" s="3">
        <v>300</v>
      </c>
      <c r="N1825" t="s">
        <v>11427</v>
      </c>
      <c r="O1825" t="s">
        <v>11456</v>
      </c>
      <c r="P1825" t="s">
        <v>11532</v>
      </c>
      <c r="Q1825" t="s">
        <v>25</v>
      </c>
      <c r="R1825" t="s">
        <v>11941</v>
      </c>
    </row>
    <row r="1826" spans="1:18">
      <c r="A1826" t="s">
        <v>11743</v>
      </c>
      <c r="B1826" t="s">
        <v>11788</v>
      </c>
      <c r="C1826" t="s">
        <v>11833</v>
      </c>
      <c r="D1826" s="17" t="s">
        <v>21</v>
      </c>
      <c r="E1826" t="s">
        <v>11561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7493</v>
      </c>
      <c r="J1826" t="s">
        <v>11562</v>
      </c>
      <c r="M1826" s="3">
        <v>330</v>
      </c>
      <c r="N1826" t="s">
        <v>11374</v>
      </c>
      <c r="O1826" t="s">
        <v>11456</v>
      </c>
      <c r="P1826" t="s">
        <v>11479</v>
      </c>
      <c r="Q1826" t="s">
        <v>25</v>
      </c>
      <c r="R1826" t="s">
        <v>11888</v>
      </c>
    </row>
    <row r="1827" spans="1:18">
      <c r="A1827" t="s">
        <v>11752</v>
      </c>
      <c r="B1827" t="s">
        <v>11797</v>
      </c>
      <c r="C1827" t="s">
        <v>11842</v>
      </c>
      <c r="D1827" s="17" t="s">
        <v>21</v>
      </c>
      <c r="E1827" t="s">
        <v>11561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7493</v>
      </c>
      <c r="J1827" t="s">
        <v>11562</v>
      </c>
      <c r="M1827" s="3">
        <v>360</v>
      </c>
      <c r="N1827" t="s">
        <v>11394</v>
      </c>
      <c r="O1827" t="s">
        <v>11456</v>
      </c>
      <c r="P1827" t="s">
        <v>11499</v>
      </c>
      <c r="Q1827" t="s">
        <v>25</v>
      </c>
      <c r="R1827" t="s">
        <v>11908</v>
      </c>
    </row>
    <row r="1828" spans="1:18">
      <c r="A1828" t="s">
        <v>11750</v>
      </c>
      <c r="B1828" t="s">
        <v>11795</v>
      </c>
      <c r="C1828" t="s">
        <v>11840</v>
      </c>
      <c r="D1828" s="17" t="s">
        <v>21</v>
      </c>
      <c r="E1828" t="s">
        <v>11561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7493</v>
      </c>
      <c r="J1828" t="s">
        <v>11562</v>
      </c>
      <c r="M1828" s="3">
        <v>390</v>
      </c>
      <c r="N1828" t="s">
        <v>11390</v>
      </c>
      <c r="O1828" t="s">
        <v>11456</v>
      </c>
      <c r="P1828" t="s">
        <v>11495</v>
      </c>
      <c r="Q1828" t="s">
        <v>25</v>
      </c>
      <c r="R1828" t="s">
        <v>11904</v>
      </c>
    </row>
    <row r="1829" spans="1:18">
      <c r="A1829" t="s">
        <v>11775</v>
      </c>
      <c r="B1829" t="s">
        <v>11820</v>
      </c>
      <c r="C1829" t="s">
        <v>11865</v>
      </c>
      <c r="D1829" s="17" t="s">
        <v>21</v>
      </c>
      <c r="E1829" t="s">
        <v>11561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7493</v>
      </c>
      <c r="J1829" t="s">
        <v>11562</v>
      </c>
      <c r="M1829" s="3">
        <v>430</v>
      </c>
      <c r="N1829" t="s">
        <v>11455</v>
      </c>
      <c r="O1829" t="s">
        <v>11456</v>
      </c>
      <c r="P1829" t="s">
        <v>11560</v>
      </c>
      <c r="Q1829" t="s">
        <v>25</v>
      </c>
      <c r="R1829" t="s">
        <v>11969</v>
      </c>
    </row>
    <row r="1830" spans="1:18">
      <c r="A1830" t="s">
        <v>11738</v>
      </c>
      <c r="B1830" t="s">
        <v>11783</v>
      </c>
      <c r="C1830" t="s">
        <v>11828</v>
      </c>
      <c r="D1830" s="17" t="s">
        <v>21</v>
      </c>
      <c r="E1830" t="s">
        <v>11561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7493</v>
      </c>
      <c r="J1830" t="s">
        <v>11562</v>
      </c>
      <c r="M1830" s="3">
        <v>470</v>
      </c>
      <c r="N1830" t="s">
        <v>11363</v>
      </c>
      <c r="O1830" t="s">
        <v>11456</v>
      </c>
      <c r="P1830" t="s">
        <v>11468</v>
      </c>
      <c r="Q1830" t="s">
        <v>25</v>
      </c>
      <c r="R1830" t="s">
        <v>11877</v>
      </c>
    </row>
    <row r="1831" spans="1:18">
      <c r="A1831" t="s">
        <v>11754</v>
      </c>
      <c r="B1831" t="s">
        <v>11799</v>
      </c>
      <c r="C1831" t="s">
        <v>11844</v>
      </c>
      <c r="D1831" s="17" t="s">
        <v>21</v>
      </c>
      <c r="E1831" t="s">
        <v>11561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7493</v>
      </c>
      <c r="J1831" t="s">
        <v>11562</v>
      </c>
      <c r="M1831" s="3">
        <v>510</v>
      </c>
      <c r="N1831" t="s">
        <v>11397</v>
      </c>
      <c r="O1831" t="s">
        <v>11456</v>
      </c>
      <c r="P1831" t="s">
        <v>11502</v>
      </c>
      <c r="Q1831" t="s">
        <v>25</v>
      </c>
      <c r="R1831" t="s">
        <v>11911</v>
      </c>
    </row>
    <row r="1832" spans="1:18">
      <c r="A1832" t="s">
        <v>11757</v>
      </c>
      <c r="B1832" t="s">
        <v>11802</v>
      </c>
      <c r="C1832" t="s">
        <v>11847</v>
      </c>
      <c r="D1832" s="17" t="s">
        <v>21</v>
      </c>
      <c r="E1832" t="s">
        <v>11561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7493</v>
      </c>
      <c r="J1832" t="s">
        <v>11562</v>
      </c>
      <c r="M1832" s="3">
        <v>560</v>
      </c>
      <c r="N1832" t="s">
        <v>11410</v>
      </c>
      <c r="O1832" t="s">
        <v>11456</v>
      </c>
      <c r="P1832" t="s">
        <v>11515</v>
      </c>
      <c r="Q1832" t="s">
        <v>25</v>
      </c>
      <c r="R1832" t="s">
        <v>11924</v>
      </c>
    </row>
    <row r="1833" spans="1:18">
      <c r="A1833" t="s">
        <v>11744</v>
      </c>
      <c r="B1833" t="s">
        <v>11789</v>
      </c>
      <c r="C1833" t="s">
        <v>11834</v>
      </c>
      <c r="D1833" s="17" t="s">
        <v>21</v>
      </c>
      <c r="E1833" t="s">
        <v>11561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7493</v>
      </c>
      <c r="J1833" t="s">
        <v>11562</v>
      </c>
      <c r="M1833" s="3">
        <v>620</v>
      </c>
      <c r="N1833" t="s">
        <v>11375</v>
      </c>
      <c r="O1833" t="s">
        <v>11456</v>
      </c>
      <c r="P1833" t="s">
        <v>11480</v>
      </c>
      <c r="Q1833" t="s">
        <v>25</v>
      </c>
      <c r="R1833" t="s">
        <v>11889</v>
      </c>
    </row>
    <row r="1834" spans="1:18">
      <c r="A1834" t="s">
        <v>11766</v>
      </c>
      <c r="B1834" t="s">
        <v>11811</v>
      </c>
      <c r="C1834" t="s">
        <v>11856</v>
      </c>
      <c r="D1834" s="17" t="s">
        <v>21</v>
      </c>
      <c r="E1834" t="s">
        <v>11561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7493</v>
      </c>
      <c r="J1834" t="s">
        <v>11562</v>
      </c>
      <c r="M1834" s="3">
        <v>680</v>
      </c>
      <c r="N1834" t="s">
        <v>11435</v>
      </c>
      <c r="O1834" t="s">
        <v>11456</v>
      </c>
      <c r="P1834" t="s">
        <v>11540</v>
      </c>
      <c r="Q1834" t="s">
        <v>25</v>
      </c>
      <c r="R1834" t="s">
        <v>11949</v>
      </c>
    </row>
    <row r="1835" spans="1:18">
      <c r="A1835" t="s">
        <v>11760</v>
      </c>
      <c r="B1835" t="s">
        <v>11805</v>
      </c>
      <c r="C1835" t="s">
        <v>11850</v>
      </c>
      <c r="D1835" s="17" t="s">
        <v>21</v>
      </c>
      <c r="E1835" t="s">
        <v>11561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7493</v>
      </c>
      <c r="J1835" t="s">
        <v>11562</v>
      </c>
      <c r="M1835" s="3">
        <v>750</v>
      </c>
      <c r="N1835" t="s">
        <v>11425</v>
      </c>
      <c r="O1835" t="s">
        <v>11456</v>
      </c>
      <c r="P1835" t="s">
        <v>11530</v>
      </c>
      <c r="Q1835" t="s">
        <v>25</v>
      </c>
      <c r="R1835" t="s">
        <v>11939</v>
      </c>
    </row>
    <row r="1836" spans="1:18">
      <c r="A1836" t="s">
        <v>11765</v>
      </c>
      <c r="B1836" t="s">
        <v>11810</v>
      </c>
      <c r="C1836" t="s">
        <v>11855</v>
      </c>
      <c r="D1836" s="17" t="s">
        <v>21</v>
      </c>
      <c r="E1836" t="s">
        <v>11561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7493</v>
      </c>
      <c r="J1836" t="s">
        <v>11562</v>
      </c>
      <c r="M1836" s="3">
        <v>820</v>
      </c>
      <c r="N1836" t="s">
        <v>11432</v>
      </c>
      <c r="O1836" t="s">
        <v>11456</v>
      </c>
      <c r="P1836" t="s">
        <v>11537</v>
      </c>
      <c r="Q1836" t="s">
        <v>25</v>
      </c>
      <c r="R1836" t="s">
        <v>11946</v>
      </c>
    </row>
    <row r="1837" spans="1:18">
      <c r="A1837" t="s">
        <v>11759</v>
      </c>
      <c r="B1837" t="s">
        <v>11804</v>
      </c>
      <c r="C1837" t="s">
        <v>11849</v>
      </c>
      <c r="D1837" s="17" t="s">
        <v>21</v>
      </c>
      <c r="E1837" t="s">
        <v>11561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7493</v>
      </c>
      <c r="J1837" t="s">
        <v>11562</v>
      </c>
      <c r="M1837" s="3">
        <v>910</v>
      </c>
      <c r="N1837" t="s">
        <v>11416</v>
      </c>
      <c r="O1837" t="s">
        <v>11456</v>
      </c>
      <c r="P1837" t="s">
        <v>11521</v>
      </c>
      <c r="Q1837" t="s">
        <v>25</v>
      </c>
      <c r="R1837" t="s">
        <v>11930</v>
      </c>
    </row>
    <row r="1838" spans="1:18">
      <c r="A1838" t="s">
        <v>11628</v>
      </c>
      <c r="B1838" t="s">
        <v>11572</v>
      </c>
      <c r="C1838" t="s">
        <v>11684</v>
      </c>
      <c r="D1838" s="17" t="s">
        <v>21</v>
      </c>
      <c r="E1838" t="s">
        <v>11561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7493</v>
      </c>
      <c r="J1838" t="s">
        <v>11562</v>
      </c>
      <c r="M1838" s="3">
        <v>1000</v>
      </c>
      <c r="N1838" t="s">
        <v>11378</v>
      </c>
      <c r="O1838" t="s">
        <v>11456</v>
      </c>
      <c r="P1838" t="s">
        <v>11483</v>
      </c>
      <c r="Q1838" t="s">
        <v>25</v>
      </c>
      <c r="R1838" t="s">
        <v>11892</v>
      </c>
    </row>
    <row r="1839" spans="1:18">
      <c r="A1839" t="s">
        <v>11627</v>
      </c>
      <c r="B1839" t="s">
        <v>11571</v>
      </c>
      <c r="C1839" t="s">
        <v>11683</v>
      </c>
      <c r="D1839" s="17" t="s">
        <v>21</v>
      </c>
      <c r="E1839" t="s">
        <v>11561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7493</v>
      </c>
      <c r="J1839" t="s">
        <v>11562</v>
      </c>
      <c r="M1839" s="3">
        <v>1100</v>
      </c>
      <c r="N1839" t="s">
        <v>11371</v>
      </c>
      <c r="O1839" t="s">
        <v>11456</v>
      </c>
      <c r="P1839" t="s">
        <v>11476</v>
      </c>
      <c r="Q1839" t="s">
        <v>25</v>
      </c>
      <c r="R1839" t="s">
        <v>11885</v>
      </c>
    </row>
    <row r="1840" spans="1:18">
      <c r="A1840" t="s">
        <v>11661</v>
      </c>
      <c r="B1840" t="s">
        <v>11605</v>
      </c>
      <c r="C1840" t="s">
        <v>11717</v>
      </c>
      <c r="D1840" s="17" t="s">
        <v>21</v>
      </c>
      <c r="E1840" t="s">
        <v>11561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7493</v>
      </c>
      <c r="J1840" t="s">
        <v>11562</v>
      </c>
      <c r="M1840" s="3">
        <v>1200</v>
      </c>
      <c r="N1840" t="s">
        <v>11430</v>
      </c>
      <c r="O1840" t="s">
        <v>11456</v>
      </c>
      <c r="P1840" t="s">
        <v>11535</v>
      </c>
      <c r="Q1840" t="s">
        <v>25</v>
      </c>
      <c r="R1840" t="s">
        <v>11944</v>
      </c>
    </row>
    <row r="1841" spans="1:18">
      <c r="A1841" t="s">
        <v>11651</v>
      </c>
      <c r="B1841" t="s">
        <v>11595</v>
      </c>
      <c r="C1841" t="s">
        <v>11707</v>
      </c>
      <c r="D1841" s="17" t="s">
        <v>21</v>
      </c>
      <c r="E1841" t="s">
        <v>11561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7493</v>
      </c>
      <c r="J1841" t="s">
        <v>11562</v>
      </c>
      <c r="M1841" s="3">
        <v>1300</v>
      </c>
      <c r="N1841" t="s">
        <v>11415</v>
      </c>
      <c r="O1841" t="s">
        <v>11456</v>
      </c>
      <c r="P1841" t="s">
        <v>11520</v>
      </c>
      <c r="Q1841" t="s">
        <v>25</v>
      </c>
      <c r="R1841" t="s">
        <v>11929</v>
      </c>
    </row>
    <row r="1842" spans="1:18">
      <c r="A1842" t="s">
        <v>11659</v>
      </c>
      <c r="B1842" t="s">
        <v>11603</v>
      </c>
      <c r="C1842" t="s">
        <v>11715</v>
      </c>
      <c r="D1842" s="17" t="s">
        <v>21</v>
      </c>
      <c r="E1842" t="s">
        <v>11561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7493</v>
      </c>
      <c r="J1842" t="s">
        <v>11562</v>
      </c>
      <c r="M1842" s="3">
        <v>1500</v>
      </c>
      <c r="N1842" t="s">
        <v>11424</v>
      </c>
      <c r="O1842" t="s">
        <v>11456</v>
      </c>
      <c r="P1842" t="s">
        <v>11529</v>
      </c>
      <c r="Q1842" t="s">
        <v>25</v>
      </c>
      <c r="R1842" t="s">
        <v>11938</v>
      </c>
    </row>
    <row r="1843" spans="1:18">
      <c r="A1843" t="s">
        <v>11673</v>
      </c>
      <c r="B1843" t="s">
        <v>11617</v>
      </c>
      <c r="C1843" t="s">
        <v>11729</v>
      </c>
      <c r="D1843" s="17" t="s">
        <v>21</v>
      </c>
      <c r="E1843" t="s">
        <v>11561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7493</v>
      </c>
      <c r="J1843" t="s">
        <v>11562</v>
      </c>
      <c r="M1843" s="3">
        <v>1600</v>
      </c>
      <c r="N1843" t="s">
        <v>11453</v>
      </c>
      <c r="O1843" t="s">
        <v>11456</v>
      </c>
      <c r="P1843" t="s">
        <v>11558</v>
      </c>
      <c r="Q1843" t="s">
        <v>25</v>
      </c>
      <c r="R1843" t="s">
        <v>11967</v>
      </c>
    </row>
    <row r="1844" spans="1:18">
      <c r="A1844" t="s">
        <v>11667</v>
      </c>
      <c r="B1844" t="s">
        <v>11611</v>
      </c>
      <c r="C1844" t="s">
        <v>11723</v>
      </c>
      <c r="D1844" s="17" t="s">
        <v>21</v>
      </c>
      <c r="E1844" t="s">
        <v>11561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7493</v>
      </c>
      <c r="J1844" t="s">
        <v>11562</v>
      </c>
      <c r="M1844" s="3">
        <v>1800</v>
      </c>
      <c r="N1844" t="s">
        <v>11444</v>
      </c>
      <c r="O1844" t="s">
        <v>11456</v>
      </c>
      <c r="P1844" t="s">
        <v>11549</v>
      </c>
      <c r="Q1844" t="s">
        <v>25</v>
      </c>
      <c r="R1844" t="s">
        <v>11958</v>
      </c>
    </row>
    <row r="1845" spans="1:18">
      <c r="A1845" t="s">
        <v>11629</v>
      </c>
      <c r="B1845" t="s">
        <v>11573</v>
      </c>
      <c r="C1845" t="s">
        <v>11685</v>
      </c>
      <c r="D1845" s="17" t="s">
        <v>21</v>
      </c>
      <c r="E1845" t="s">
        <v>11561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7493</v>
      </c>
      <c r="J1845" t="s">
        <v>11562</v>
      </c>
      <c r="M1845" s="3">
        <v>2000</v>
      </c>
      <c r="N1845" t="s">
        <v>11379</v>
      </c>
      <c r="O1845" t="s">
        <v>11456</v>
      </c>
      <c r="P1845" t="s">
        <v>11484</v>
      </c>
      <c r="Q1845" t="s">
        <v>25</v>
      </c>
      <c r="R1845" t="s">
        <v>11893</v>
      </c>
    </row>
    <row r="1846" spans="1:18">
      <c r="A1846" t="s">
        <v>11635</v>
      </c>
      <c r="B1846" t="s">
        <v>11579</v>
      </c>
      <c r="C1846" t="s">
        <v>11691</v>
      </c>
      <c r="D1846" s="17" t="s">
        <v>21</v>
      </c>
      <c r="E1846" t="s">
        <v>11561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7493</v>
      </c>
      <c r="J1846" t="s">
        <v>11562</v>
      </c>
      <c r="M1846" s="3">
        <v>2200</v>
      </c>
      <c r="N1846" t="s">
        <v>11391</v>
      </c>
      <c r="O1846" t="s">
        <v>11456</v>
      </c>
      <c r="P1846" t="s">
        <v>11496</v>
      </c>
      <c r="Q1846" t="s">
        <v>25</v>
      </c>
      <c r="R1846" t="s">
        <v>11905</v>
      </c>
    </row>
    <row r="1847" spans="1:18">
      <c r="A1847" t="s">
        <v>11653</v>
      </c>
      <c r="B1847" t="s">
        <v>11597</v>
      </c>
      <c r="C1847" t="s">
        <v>11709</v>
      </c>
      <c r="D1847" s="17" t="s">
        <v>21</v>
      </c>
      <c r="E1847" t="s">
        <v>11561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7493</v>
      </c>
      <c r="J1847" t="s">
        <v>11562</v>
      </c>
      <c r="M1847" s="3">
        <v>2400</v>
      </c>
      <c r="N1847" t="s">
        <v>11418</v>
      </c>
      <c r="O1847" t="s">
        <v>11456</v>
      </c>
      <c r="P1847" t="s">
        <v>11523</v>
      </c>
      <c r="Q1847" t="s">
        <v>25</v>
      </c>
      <c r="R1847" t="s">
        <v>11932</v>
      </c>
    </row>
    <row r="1848" spans="1:18">
      <c r="A1848" t="s">
        <v>11665</v>
      </c>
      <c r="B1848" t="s">
        <v>11609</v>
      </c>
      <c r="C1848" t="s">
        <v>11721</v>
      </c>
      <c r="D1848" s="17" t="s">
        <v>21</v>
      </c>
      <c r="E1848" t="s">
        <v>11561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7493</v>
      </c>
      <c r="J1848" t="s">
        <v>11562</v>
      </c>
      <c r="M1848" s="3">
        <v>2700</v>
      </c>
      <c r="N1848" t="s">
        <v>11437</v>
      </c>
      <c r="O1848" t="s">
        <v>11456</v>
      </c>
      <c r="P1848" t="s">
        <v>11542</v>
      </c>
      <c r="Q1848" t="s">
        <v>25</v>
      </c>
      <c r="R1848" t="s">
        <v>11951</v>
      </c>
    </row>
    <row r="1849" spans="1:18">
      <c r="A1849" t="s">
        <v>11674</v>
      </c>
      <c r="B1849" t="s">
        <v>11618</v>
      </c>
      <c r="C1849" t="s">
        <v>11730</v>
      </c>
      <c r="D1849" s="17" t="s">
        <v>21</v>
      </c>
      <c r="E1849" t="s">
        <v>11561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7493</v>
      </c>
      <c r="J1849" t="s">
        <v>11562</v>
      </c>
      <c r="M1849" s="3">
        <v>3000</v>
      </c>
      <c r="N1849" t="s">
        <v>11454</v>
      </c>
      <c r="O1849" t="s">
        <v>11456</v>
      </c>
      <c r="P1849" t="s">
        <v>11559</v>
      </c>
      <c r="Q1849" t="s">
        <v>25</v>
      </c>
      <c r="R1849" t="s">
        <v>11968</v>
      </c>
    </row>
    <row r="1850" spans="1:18">
      <c r="A1850" t="s">
        <v>11670</v>
      </c>
      <c r="B1850" t="s">
        <v>11614</v>
      </c>
      <c r="C1850" t="s">
        <v>11726</v>
      </c>
      <c r="D1850" s="17" t="s">
        <v>21</v>
      </c>
      <c r="E1850" t="s">
        <v>11561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7493</v>
      </c>
      <c r="J1850" t="s">
        <v>11562</v>
      </c>
      <c r="M1850" s="3">
        <v>3300</v>
      </c>
      <c r="N1850" t="s">
        <v>11448</v>
      </c>
      <c r="O1850" t="s">
        <v>11456</v>
      </c>
      <c r="P1850" t="s">
        <v>11553</v>
      </c>
      <c r="Q1850" t="s">
        <v>25</v>
      </c>
      <c r="R1850" t="s">
        <v>11962</v>
      </c>
    </row>
    <row r="1851" spans="1:18">
      <c r="A1851" t="s">
        <v>11649</v>
      </c>
      <c r="B1851" t="s">
        <v>11593</v>
      </c>
      <c r="C1851" t="s">
        <v>11705</v>
      </c>
      <c r="D1851" s="17" t="s">
        <v>21</v>
      </c>
      <c r="E1851" t="s">
        <v>11561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7493</v>
      </c>
      <c r="J1851" t="s">
        <v>11562</v>
      </c>
      <c r="M1851" s="3">
        <v>3600</v>
      </c>
      <c r="N1851" t="s">
        <v>11413</v>
      </c>
      <c r="O1851" t="s">
        <v>11456</v>
      </c>
      <c r="P1851" t="s">
        <v>11518</v>
      </c>
      <c r="Q1851" t="s">
        <v>25</v>
      </c>
      <c r="R1851" t="s">
        <v>11927</v>
      </c>
    </row>
    <row r="1852" spans="1:18">
      <c r="A1852" t="s">
        <v>11623</v>
      </c>
      <c r="B1852" t="s">
        <v>11567</v>
      </c>
      <c r="C1852" t="s">
        <v>11679</v>
      </c>
      <c r="D1852" s="17" t="s">
        <v>21</v>
      </c>
      <c r="E1852" t="s">
        <v>11561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7493</v>
      </c>
      <c r="J1852" t="s">
        <v>11562</v>
      </c>
      <c r="M1852" s="3">
        <v>3900</v>
      </c>
      <c r="N1852" t="s">
        <v>11366</v>
      </c>
      <c r="O1852" t="s">
        <v>11456</v>
      </c>
      <c r="P1852" t="s">
        <v>11471</v>
      </c>
      <c r="Q1852" t="s">
        <v>25</v>
      </c>
      <c r="R1852" t="s">
        <v>11880</v>
      </c>
    </row>
    <row r="1853" spans="1:18">
      <c r="A1853" t="s">
        <v>11656</v>
      </c>
      <c r="B1853" t="s">
        <v>11600</v>
      </c>
      <c r="C1853" t="s">
        <v>11712</v>
      </c>
      <c r="D1853" s="17" t="s">
        <v>21</v>
      </c>
      <c r="E1853" t="s">
        <v>11561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7493</v>
      </c>
      <c r="J1853" t="s">
        <v>11562</v>
      </c>
      <c r="M1853" s="3">
        <v>4300</v>
      </c>
      <c r="N1853" t="s">
        <v>11421</v>
      </c>
      <c r="O1853" t="s">
        <v>11456</v>
      </c>
      <c r="P1853" t="s">
        <v>11526</v>
      </c>
      <c r="Q1853" t="s">
        <v>25</v>
      </c>
      <c r="R1853" t="s">
        <v>11935</v>
      </c>
    </row>
    <row r="1854" spans="1:18">
      <c r="A1854" t="s">
        <v>11631</v>
      </c>
      <c r="B1854" t="s">
        <v>11575</v>
      </c>
      <c r="C1854" t="s">
        <v>11687</v>
      </c>
      <c r="D1854" s="17" t="s">
        <v>21</v>
      </c>
      <c r="E1854" t="s">
        <v>11561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7493</v>
      </c>
      <c r="J1854" t="s">
        <v>11562</v>
      </c>
      <c r="M1854" s="3">
        <v>4700</v>
      </c>
      <c r="N1854" t="s">
        <v>11383</v>
      </c>
      <c r="O1854" t="s">
        <v>11456</v>
      </c>
      <c r="P1854" t="s">
        <v>11488</v>
      </c>
      <c r="Q1854" t="s">
        <v>25</v>
      </c>
      <c r="R1854" t="s">
        <v>11897</v>
      </c>
    </row>
    <row r="1855" spans="1:18">
      <c r="A1855" t="s">
        <v>11637</v>
      </c>
      <c r="B1855" t="s">
        <v>11581</v>
      </c>
      <c r="C1855" t="s">
        <v>11693</v>
      </c>
      <c r="D1855" s="17" t="s">
        <v>21</v>
      </c>
      <c r="E1855" t="s">
        <v>11561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7493</v>
      </c>
      <c r="J1855" t="s">
        <v>11562</v>
      </c>
      <c r="M1855" s="3">
        <v>5100</v>
      </c>
      <c r="N1855" t="s">
        <v>11395</v>
      </c>
      <c r="O1855" t="s">
        <v>11456</v>
      </c>
      <c r="P1855" t="s">
        <v>11500</v>
      </c>
      <c r="Q1855" t="s">
        <v>25</v>
      </c>
      <c r="R1855" t="s">
        <v>11909</v>
      </c>
    </row>
    <row r="1856" spans="1:18">
      <c r="A1856" t="s">
        <v>11624</v>
      </c>
      <c r="B1856" t="s">
        <v>11568</v>
      </c>
      <c r="C1856" t="s">
        <v>11680</v>
      </c>
      <c r="D1856" s="17" t="s">
        <v>21</v>
      </c>
      <c r="E1856" t="s">
        <v>11561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7493</v>
      </c>
      <c r="J1856" t="s">
        <v>11562</v>
      </c>
      <c r="M1856" s="3">
        <v>5600</v>
      </c>
      <c r="N1856" t="s">
        <v>11367</v>
      </c>
      <c r="O1856" t="s">
        <v>11456</v>
      </c>
      <c r="P1856" t="s">
        <v>11472</v>
      </c>
      <c r="Q1856" t="s">
        <v>25</v>
      </c>
      <c r="R1856" t="s">
        <v>11881</v>
      </c>
    </row>
    <row r="1857" spans="1:18">
      <c r="A1857" t="s">
        <v>11650</v>
      </c>
      <c r="B1857" t="s">
        <v>11594</v>
      </c>
      <c r="C1857" t="s">
        <v>11706</v>
      </c>
      <c r="D1857" s="17" t="s">
        <v>21</v>
      </c>
      <c r="E1857" t="s">
        <v>11561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7493</v>
      </c>
      <c r="J1857" t="s">
        <v>11562</v>
      </c>
      <c r="M1857" s="3">
        <v>6200</v>
      </c>
      <c r="N1857" t="s">
        <v>11414</v>
      </c>
      <c r="O1857" t="s">
        <v>11456</v>
      </c>
      <c r="P1857" t="s">
        <v>11519</v>
      </c>
      <c r="Q1857" t="s">
        <v>25</v>
      </c>
      <c r="R1857" t="s">
        <v>11928</v>
      </c>
    </row>
    <row r="1858" spans="1:18">
      <c r="A1858" t="s">
        <v>11630</v>
      </c>
      <c r="B1858" t="s">
        <v>11574</v>
      </c>
      <c r="C1858" t="s">
        <v>11686</v>
      </c>
      <c r="D1858" s="17" t="s">
        <v>21</v>
      </c>
      <c r="E1858" t="s">
        <v>11561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7493</v>
      </c>
      <c r="J1858" t="s">
        <v>11562</v>
      </c>
      <c r="M1858" s="3">
        <v>6800</v>
      </c>
      <c r="N1858" t="s">
        <v>11380</v>
      </c>
      <c r="O1858" t="s">
        <v>11456</v>
      </c>
      <c r="P1858" t="s">
        <v>11485</v>
      </c>
      <c r="Q1858" t="s">
        <v>25</v>
      </c>
      <c r="R1858" t="s">
        <v>11894</v>
      </c>
    </row>
    <row r="1859" spans="1:18">
      <c r="A1859" t="s">
        <v>11660</v>
      </c>
      <c r="B1859" t="s">
        <v>11604</v>
      </c>
      <c r="C1859" t="s">
        <v>11716</v>
      </c>
      <c r="D1859" s="17" t="s">
        <v>21</v>
      </c>
      <c r="E1859" t="s">
        <v>11561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7493</v>
      </c>
      <c r="J1859" t="s">
        <v>11562</v>
      </c>
      <c r="M1859" s="3">
        <v>7500</v>
      </c>
      <c r="N1859" t="s">
        <v>11426</v>
      </c>
      <c r="O1859" t="s">
        <v>11456</v>
      </c>
      <c r="P1859" t="s">
        <v>11531</v>
      </c>
      <c r="Q1859" t="s">
        <v>25</v>
      </c>
      <c r="R1859" t="s">
        <v>11940</v>
      </c>
    </row>
    <row r="1860" spans="1:18">
      <c r="A1860" t="s">
        <v>11622</v>
      </c>
      <c r="B1860" t="s">
        <v>11566</v>
      </c>
      <c r="C1860" t="s">
        <v>11678</v>
      </c>
      <c r="D1860" s="17" t="s">
        <v>21</v>
      </c>
      <c r="E1860" t="s">
        <v>11561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7493</v>
      </c>
      <c r="J1860" t="s">
        <v>11562</v>
      </c>
      <c r="M1860" s="3">
        <v>8200</v>
      </c>
      <c r="N1860" t="s">
        <v>11365</v>
      </c>
      <c r="O1860" t="s">
        <v>11456</v>
      </c>
      <c r="P1860" t="s">
        <v>11470</v>
      </c>
      <c r="Q1860" t="s">
        <v>25</v>
      </c>
      <c r="R1860" t="s">
        <v>11879</v>
      </c>
    </row>
    <row r="1861" spans="1:18">
      <c r="A1861" t="s">
        <v>11657</v>
      </c>
      <c r="B1861" t="s">
        <v>11601</v>
      </c>
      <c r="C1861" t="s">
        <v>11713</v>
      </c>
      <c r="D1861" s="17" t="s">
        <v>21</v>
      </c>
      <c r="E1861" t="s">
        <v>11561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7493</v>
      </c>
      <c r="J1861" t="s">
        <v>11562</v>
      </c>
      <c r="M1861" s="3">
        <v>9100</v>
      </c>
      <c r="N1861" t="s">
        <v>11422</v>
      </c>
      <c r="O1861" t="s">
        <v>11456</v>
      </c>
      <c r="P1861" t="s">
        <v>11527</v>
      </c>
      <c r="Q1861" t="s">
        <v>25</v>
      </c>
      <c r="R1861" t="s">
        <v>11936</v>
      </c>
    </row>
    <row r="1862" spans="1:18">
      <c r="A1862" t="s">
        <v>11640</v>
      </c>
      <c r="B1862" t="s">
        <v>11584</v>
      </c>
      <c r="C1862" t="s">
        <v>11696</v>
      </c>
      <c r="D1862" s="17" t="s">
        <v>21</v>
      </c>
      <c r="E1862" t="s">
        <v>11561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7493</v>
      </c>
      <c r="J1862" t="s">
        <v>11562</v>
      </c>
      <c r="M1862" s="3">
        <v>10000</v>
      </c>
      <c r="N1862" t="s">
        <v>11400</v>
      </c>
      <c r="O1862" t="s">
        <v>11456</v>
      </c>
      <c r="P1862" t="s">
        <v>11505</v>
      </c>
      <c r="Q1862" t="s">
        <v>25</v>
      </c>
      <c r="R1862" t="s">
        <v>11914</v>
      </c>
    </row>
    <row r="1863" spans="1:18">
      <c r="A1863" t="s">
        <v>11655</v>
      </c>
      <c r="B1863" t="s">
        <v>11599</v>
      </c>
      <c r="C1863" t="s">
        <v>11711</v>
      </c>
      <c r="D1863" s="17" t="s">
        <v>21</v>
      </c>
      <c r="E1863" t="s">
        <v>11561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7493</v>
      </c>
      <c r="J1863" t="s">
        <v>11562</v>
      </c>
      <c r="M1863" s="3">
        <v>11000</v>
      </c>
      <c r="N1863" t="s">
        <v>11420</v>
      </c>
      <c r="O1863" t="s">
        <v>11456</v>
      </c>
      <c r="P1863" t="s">
        <v>11525</v>
      </c>
      <c r="Q1863" t="s">
        <v>25</v>
      </c>
      <c r="R1863" t="s">
        <v>11934</v>
      </c>
    </row>
    <row r="1864" spans="1:18">
      <c r="A1864" t="s">
        <v>11632</v>
      </c>
      <c r="B1864" t="s">
        <v>11576</v>
      </c>
      <c r="C1864" t="s">
        <v>11688</v>
      </c>
      <c r="D1864" s="17" t="s">
        <v>21</v>
      </c>
      <c r="E1864" t="s">
        <v>11561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7493</v>
      </c>
      <c r="J1864" t="s">
        <v>11562</v>
      </c>
      <c r="M1864" s="3">
        <v>12000</v>
      </c>
      <c r="N1864" t="s">
        <v>11384</v>
      </c>
      <c r="O1864" t="s">
        <v>11456</v>
      </c>
      <c r="P1864" t="s">
        <v>11489</v>
      </c>
      <c r="Q1864" t="s">
        <v>25</v>
      </c>
      <c r="R1864" t="s">
        <v>11898</v>
      </c>
    </row>
    <row r="1865" spans="1:18">
      <c r="A1865" t="s">
        <v>11654</v>
      </c>
      <c r="B1865" t="s">
        <v>11598</v>
      </c>
      <c r="C1865" t="s">
        <v>11710</v>
      </c>
      <c r="D1865" s="17" t="s">
        <v>21</v>
      </c>
      <c r="E1865" t="s">
        <v>11561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7493</v>
      </c>
      <c r="J1865" t="s">
        <v>11562</v>
      </c>
      <c r="M1865" s="3">
        <v>13000</v>
      </c>
      <c r="N1865" t="s">
        <v>11419</v>
      </c>
      <c r="O1865" t="s">
        <v>11456</v>
      </c>
      <c r="P1865" t="s">
        <v>11524</v>
      </c>
      <c r="Q1865" t="s">
        <v>25</v>
      </c>
      <c r="R1865" t="s">
        <v>11933</v>
      </c>
    </row>
    <row r="1866" spans="1:18">
      <c r="A1866" t="s">
        <v>11634</v>
      </c>
      <c r="B1866" t="s">
        <v>11578</v>
      </c>
      <c r="C1866" t="s">
        <v>11690</v>
      </c>
      <c r="D1866" s="17" t="s">
        <v>21</v>
      </c>
      <c r="E1866" t="s">
        <v>11561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7493</v>
      </c>
      <c r="J1866" t="s">
        <v>11562</v>
      </c>
      <c r="M1866" s="3">
        <v>15000</v>
      </c>
      <c r="N1866" t="s">
        <v>11389</v>
      </c>
      <c r="O1866" t="s">
        <v>11456</v>
      </c>
      <c r="P1866" t="s">
        <v>11494</v>
      </c>
      <c r="Q1866" t="s">
        <v>25</v>
      </c>
      <c r="R1866" t="s">
        <v>11903</v>
      </c>
    </row>
    <row r="1867" spans="1:18">
      <c r="A1867" t="s">
        <v>11666</v>
      </c>
      <c r="B1867" t="s">
        <v>11610</v>
      </c>
      <c r="C1867" t="s">
        <v>11722</v>
      </c>
      <c r="D1867" s="17" t="s">
        <v>21</v>
      </c>
      <c r="E1867" t="s">
        <v>11561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7493</v>
      </c>
      <c r="J1867" t="s">
        <v>11562</v>
      </c>
      <c r="M1867" s="3">
        <v>16000</v>
      </c>
      <c r="N1867" t="s">
        <v>11443</v>
      </c>
      <c r="O1867" t="s">
        <v>11456</v>
      </c>
      <c r="P1867" t="s">
        <v>11548</v>
      </c>
      <c r="Q1867" t="s">
        <v>25</v>
      </c>
      <c r="R1867" t="s">
        <v>11957</v>
      </c>
    </row>
    <row r="1868" spans="1:18">
      <c r="A1868" t="s">
        <v>11619</v>
      </c>
      <c r="B1868" t="s">
        <v>11563</v>
      </c>
      <c r="C1868" t="s">
        <v>11675</v>
      </c>
      <c r="D1868" s="17" t="s">
        <v>21</v>
      </c>
      <c r="E1868" t="s">
        <v>11561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7493</v>
      </c>
      <c r="J1868" t="s">
        <v>11562</v>
      </c>
      <c r="M1868" s="3">
        <v>18000</v>
      </c>
      <c r="N1868" t="s">
        <v>11353</v>
      </c>
      <c r="O1868" t="s">
        <v>11456</v>
      </c>
      <c r="P1868" t="s">
        <v>11458</v>
      </c>
      <c r="Q1868" t="s">
        <v>25</v>
      </c>
      <c r="R1868" t="s">
        <v>11867</v>
      </c>
    </row>
    <row r="1869" spans="1:18">
      <c r="A1869" t="s">
        <v>11636</v>
      </c>
      <c r="B1869" t="s">
        <v>11580</v>
      </c>
      <c r="C1869" t="s">
        <v>11692</v>
      </c>
      <c r="D1869" s="17" t="s">
        <v>21</v>
      </c>
      <c r="E1869" t="s">
        <v>11561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7493</v>
      </c>
      <c r="J1869" t="s">
        <v>11562</v>
      </c>
      <c r="M1869" s="3">
        <v>20000</v>
      </c>
      <c r="N1869" t="s">
        <v>11392</v>
      </c>
      <c r="O1869" t="s">
        <v>11456</v>
      </c>
      <c r="P1869" t="s">
        <v>11497</v>
      </c>
      <c r="Q1869" t="s">
        <v>25</v>
      </c>
      <c r="R1869" t="s">
        <v>11906</v>
      </c>
    </row>
    <row r="1870" spans="1:18">
      <c r="A1870" t="s">
        <v>11658</v>
      </c>
      <c r="B1870" t="s">
        <v>11602</v>
      </c>
      <c r="C1870" t="s">
        <v>11714</v>
      </c>
      <c r="D1870" s="17" t="s">
        <v>21</v>
      </c>
      <c r="E1870" t="s">
        <v>11561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7493</v>
      </c>
      <c r="J1870" t="s">
        <v>11562</v>
      </c>
      <c r="M1870" s="3">
        <v>22000</v>
      </c>
      <c r="N1870" t="s">
        <v>11423</v>
      </c>
      <c r="O1870" t="s">
        <v>11456</v>
      </c>
      <c r="P1870" t="s">
        <v>11528</v>
      </c>
      <c r="Q1870" t="s">
        <v>25</v>
      </c>
      <c r="R1870" t="s">
        <v>11937</v>
      </c>
    </row>
    <row r="1871" spans="1:18">
      <c r="A1871" t="s">
        <v>11648</v>
      </c>
      <c r="B1871" t="s">
        <v>11592</v>
      </c>
      <c r="C1871" t="s">
        <v>11704</v>
      </c>
      <c r="D1871" s="17" t="s">
        <v>21</v>
      </c>
      <c r="E1871" t="s">
        <v>11561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7493</v>
      </c>
      <c r="J1871" t="s">
        <v>11562</v>
      </c>
      <c r="M1871" s="3">
        <v>24000</v>
      </c>
      <c r="N1871" t="s">
        <v>11411</v>
      </c>
      <c r="O1871" t="s">
        <v>11456</v>
      </c>
      <c r="P1871" t="s">
        <v>11516</v>
      </c>
      <c r="Q1871" t="s">
        <v>25</v>
      </c>
      <c r="R1871" t="s">
        <v>11925</v>
      </c>
    </row>
    <row r="1872" spans="1:18">
      <c r="A1872" t="s">
        <v>11644</v>
      </c>
      <c r="B1872" t="s">
        <v>11588</v>
      </c>
      <c r="C1872" t="s">
        <v>11700</v>
      </c>
      <c r="D1872" s="17" t="s">
        <v>21</v>
      </c>
      <c r="E1872" t="s">
        <v>11561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7493</v>
      </c>
      <c r="J1872" t="s">
        <v>11562</v>
      </c>
      <c r="M1872" s="3">
        <v>27000</v>
      </c>
      <c r="N1872" t="s">
        <v>11404</v>
      </c>
      <c r="O1872" t="s">
        <v>11456</v>
      </c>
      <c r="P1872" t="s">
        <v>11509</v>
      </c>
      <c r="Q1872" t="s">
        <v>25</v>
      </c>
      <c r="R1872" t="s">
        <v>11918</v>
      </c>
    </row>
    <row r="1873" spans="1:27">
      <c r="A1873" t="s">
        <v>11638</v>
      </c>
      <c r="B1873" t="s">
        <v>11582</v>
      </c>
      <c r="C1873" t="s">
        <v>11694</v>
      </c>
      <c r="D1873" s="17" t="s">
        <v>21</v>
      </c>
      <c r="E1873" t="s">
        <v>11561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7493</v>
      </c>
      <c r="J1873" t="s">
        <v>11562</v>
      </c>
      <c r="M1873" s="3">
        <v>30000</v>
      </c>
      <c r="N1873" t="s">
        <v>11398</v>
      </c>
      <c r="O1873" t="s">
        <v>11456</v>
      </c>
      <c r="P1873" t="s">
        <v>11503</v>
      </c>
      <c r="Q1873" t="s">
        <v>25</v>
      </c>
      <c r="R1873" t="s">
        <v>11912</v>
      </c>
    </row>
    <row r="1874" spans="1:27">
      <c r="A1874" t="s">
        <v>11626</v>
      </c>
      <c r="B1874" t="s">
        <v>11570</v>
      </c>
      <c r="C1874" t="s">
        <v>11682</v>
      </c>
      <c r="D1874" s="17" t="s">
        <v>21</v>
      </c>
      <c r="E1874" t="s">
        <v>11561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7493</v>
      </c>
      <c r="J1874" t="s">
        <v>11562</v>
      </c>
      <c r="M1874" s="3">
        <v>33000</v>
      </c>
      <c r="N1874" t="s">
        <v>11370</v>
      </c>
      <c r="O1874" t="s">
        <v>11456</v>
      </c>
      <c r="P1874" t="s">
        <v>11475</v>
      </c>
      <c r="Q1874" t="s">
        <v>25</v>
      </c>
      <c r="R1874" t="s">
        <v>11884</v>
      </c>
    </row>
    <row r="1875" spans="1:27">
      <c r="A1875" t="s">
        <v>11672</v>
      </c>
      <c r="B1875" t="s">
        <v>11616</v>
      </c>
      <c r="C1875" t="s">
        <v>11728</v>
      </c>
      <c r="D1875" s="17" t="s">
        <v>21</v>
      </c>
      <c r="E1875" t="s">
        <v>11561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7493</v>
      </c>
      <c r="J1875" t="s">
        <v>11562</v>
      </c>
      <c r="M1875" s="3">
        <v>36000</v>
      </c>
      <c r="N1875" t="s">
        <v>11452</v>
      </c>
      <c r="O1875" t="s">
        <v>11456</v>
      </c>
      <c r="P1875" t="s">
        <v>11557</v>
      </c>
      <c r="Q1875" t="s">
        <v>25</v>
      </c>
      <c r="R1875" t="s">
        <v>11966</v>
      </c>
    </row>
    <row r="1876" spans="1:27">
      <c r="A1876" t="s">
        <v>11621</v>
      </c>
      <c r="B1876" t="s">
        <v>11565</v>
      </c>
      <c r="C1876" t="s">
        <v>11677</v>
      </c>
      <c r="D1876" s="17" t="s">
        <v>21</v>
      </c>
      <c r="E1876" t="s">
        <v>11561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7493</v>
      </c>
      <c r="J1876" t="s">
        <v>11562</v>
      </c>
      <c r="M1876" s="3">
        <v>39000</v>
      </c>
      <c r="N1876" t="s">
        <v>11362</v>
      </c>
      <c r="O1876" t="s">
        <v>11456</v>
      </c>
      <c r="P1876" t="s">
        <v>11467</v>
      </c>
      <c r="Q1876" t="s">
        <v>25</v>
      </c>
      <c r="R1876" t="s">
        <v>11876</v>
      </c>
    </row>
    <row r="1877" spans="1:27">
      <c r="A1877" t="s">
        <v>11664</v>
      </c>
      <c r="B1877" t="s">
        <v>11608</v>
      </c>
      <c r="C1877" t="s">
        <v>11720</v>
      </c>
      <c r="D1877" s="17" t="s">
        <v>21</v>
      </c>
      <c r="E1877" t="s">
        <v>11561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7493</v>
      </c>
      <c r="J1877" t="s">
        <v>11562</v>
      </c>
      <c r="M1877" s="3">
        <v>43000</v>
      </c>
      <c r="N1877" t="s">
        <v>11436</v>
      </c>
      <c r="O1877" t="s">
        <v>11456</v>
      </c>
      <c r="P1877" t="s">
        <v>11541</v>
      </c>
      <c r="Q1877" t="s">
        <v>25</v>
      </c>
      <c r="R1877" t="s">
        <v>11950</v>
      </c>
    </row>
    <row r="1878" spans="1:27">
      <c r="A1878" t="s">
        <v>11620</v>
      </c>
      <c r="B1878" t="s">
        <v>11564</v>
      </c>
      <c r="C1878" t="s">
        <v>11676</v>
      </c>
      <c r="D1878" s="17" t="s">
        <v>21</v>
      </c>
      <c r="E1878" t="s">
        <v>11561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7493</v>
      </c>
      <c r="J1878" t="s">
        <v>11562</v>
      </c>
      <c r="M1878" s="3">
        <v>47000</v>
      </c>
      <c r="N1878" t="s">
        <v>11356</v>
      </c>
      <c r="O1878" t="s">
        <v>11456</v>
      </c>
      <c r="P1878" t="s">
        <v>11461</v>
      </c>
      <c r="Q1878" t="s">
        <v>25</v>
      </c>
      <c r="R1878" t="s">
        <v>11870</v>
      </c>
    </row>
    <row r="1879" spans="1:27">
      <c r="A1879" t="s">
        <v>11647</v>
      </c>
      <c r="B1879" t="s">
        <v>11591</v>
      </c>
      <c r="C1879" t="s">
        <v>11703</v>
      </c>
      <c r="D1879" s="17" t="s">
        <v>21</v>
      </c>
      <c r="E1879" t="s">
        <v>11561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7493</v>
      </c>
      <c r="J1879" t="s">
        <v>11562</v>
      </c>
      <c r="M1879" s="3">
        <v>51000</v>
      </c>
      <c r="N1879" t="s">
        <v>11409</v>
      </c>
      <c r="O1879" t="s">
        <v>11456</v>
      </c>
      <c r="P1879" t="s">
        <v>11514</v>
      </c>
      <c r="Q1879" t="s">
        <v>25</v>
      </c>
      <c r="R1879" t="s">
        <v>11923</v>
      </c>
    </row>
    <row r="1880" spans="1:27">
      <c r="A1880" t="s">
        <v>11639</v>
      </c>
      <c r="B1880" t="s">
        <v>11583</v>
      </c>
      <c r="C1880" t="s">
        <v>11695</v>
      </c>
      <c r="D1880" s="17" t="s">
        <v>21</v>
      </c>
      <c r="E1880" t="s">
        <v>11561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7493</v>
      </c>
      <c r="J1880" t="s">
        <v>11562</v>
      </c>
      <c r="M1880" s="3">
        <v>56000</v>
      </c>
      <c r="N1880" t="s">
        <v>11399</v>
      </c>
      <c r="O1880" t="s">
        <v>11456</v>
      </c>
      <c r="P1880" t="s">
        <v>11504</v>
      </c>
      <c r="Q1880" t="s">
        <v>25</v>
      </c>
      <c r="R1880" t="s">
        <v>11913</v>
      </c>
    </row>
    <row r="1881" spans="1:27">
      <c r="A1881" t="s">
        <v>11652</v>
      </c>
      <c r="B1881" t="s">
        <v>11596</v>
      </c>
      <c r="C1881" t="s">
        <v>11708</v>
      </c>
      <c r="D1881" s="17" t="s">
        <v>21</v>
      </c>
      <c r="E1881" t="s">
        <v>11561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7493</v>
      </c>
      <c r="J1881" t="s">
        <v>11562</v>
      </c>
      <c r="M1881" s="3">
        <v>62000</v>
      </c>
      <c r="N1881" t="s">
        <v>11417</v>
      </c>
      <c r="O1881" t="s">
        <v>11456</v>
      </c>
      <c r="P1881" t="s">
        <v>11522</v>
      </c>
      <c r="Q1881" t="s">
        <v>25</v>
      </c>
      <c r="R1881" t="s">
        <v>11931</v>
      </c>
    </row>
    <row r="1882" spans="1:27">
      <c r="A1882" t="s">
        <v>11633</v>
      </c>
      <c r="B1882" t="s">
        <v>11577</v>
      </c>
      <c r="C1882" t="s">
        <v>11689</v>
      </c>
      <c r="D1882" s="17" t="s">
        <v>21</v>
      </c>
      <c r="E1882" t="s">
        <v>11561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7493</v>
      </c>
      <c r="J1882" t="s">
        <v>11562</v>
      </c>
      <c r="M1882" s="3">
        <v>68000</v>
      </c>
      <c r="N1882" t="s">
        <v>11387</v>
      </c>
      <c r="O1882" t="s">
        <v>11456</v>
      </c>
      <c r="P1882" t="s">
        <v>11492</v>
      </c>
      <c r="Q1882" t="s">
        <v>25</v>
      </c>
      <c r="R1882" t="s">
        <v>11901</v>
      </c>
    </row>
    <row r="1883" spans="1:27">
      <c r="A1883" t="s">
        <v>11662</v>
      </c>
      <c r="B1883" t="s">
        <v>11606</v>
      </c>
      <c r="C1883" t="s">
        <v>11718</v>
      </c>
      <c r="D1883" s="17" t="s">
        <v>21</v>
      </c>
      <c r="E1883" t="s">
        <v>11561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7493</v>
      </c>
      <c r="J1883" t="s">
        <v>11562</v>
      </c>
      <c r="M1883" s="3">
        <v>75000</v>
      </c>
      <c r="N1883" t="s">
        <v>11433</v>
      </c>
      <c r="O1883" t="s">
        <v>11456</v>
      </c>
      <c r="P1883" t="s">
        <v>11538</v>
      </c>
      <c r="Q1883" t="s">
        <v>25</v>
      </c>
      <c r="R1883" t="s">
        <v>11947</v>
      </c>
    </row>
    <row r="1884" spans="1:27">
      <c r="A1884" t="s">
        <v>11671</v>
      </c>
      <c r="B1884" t="s">
        <v>11615</v>
      </c>
      <c r="C1884" t="s">
        <v>11727</v>
      </c>
      <c r="D1884" s="17" t="s">
        <v>21</v>
      </c>
      <c r="E1884" t="s">
        <v>11561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7493</v>
      </c>
      <c r="J1884" t="s">
        <v>11562</v>
      </c>
      <c r="M1884" s="3">
        <v>82000</v>
      </c>
      <c r="N1884" t="s">
        <v>11449</v>
      </c>
      <c r="O1884" t="s">
        <v>11456</v>
      </c>
      <c r="P1884" t="s">
        <v>11554</v>
      </c>
      <c r="Q1884" t="s">
        <v>25</v>
      </c>
      <c r="R1884" t="s">
        <v>11963</v>
      </c>
    </row>
    <row r="1885" spans="1:27">
      <c r="A1885" t="s">
        <v>11668</v>
      </c>
      <c r="B1885" t="s">
        <v>11612</v>
      </c>
      <c r="C1885" t="s">
        <v>11724</v>
      </c>
      <c r="D1885" s="17" t="s">
        <v>21</v>
      </c>
      <c r="E1885" t="s">
        <v>11561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7493</v>
      </c>
      <c r="J1885" t="s">
        <v>11562</v>
      </c>
      <c r="M1885" s="3">
        <v>91000</v>
      </c>
      <c r="N1885" t="s">
        <v>11445</v>
      </c>
      <c r="O1885" t="s">
        <v>11456</v>
      </c>
      <c r="P1885" t="s">
        <v>11550</v>
      </c>
      <c r="Q1885" t="s">
        <v>25</v>
      </c>
      <c r="R1885" t="s">
        <v>11959</v>
      </c>
    </row>
    <row r="1886" spans="1:27">
      <c r="A1886" t="s">
        <v>11625</v>
      </c>
      <c r="B1886" t="s">
        <v>11569</v>
      </c>
      <c r="C1886" t="s">
        <v>11681</v>
      </c>
      <c r="D1886" s="17" t="s">
        <v>21</v>
      </c>
      <c r="E1886" t="s">
        <v>11561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7493</v>
      </c>
      <c r="J1886" t="s">
        <v>11562</v>
      </c>
      <c r="M1886" s="3">
        <v>100000</v>
      </c>
      <c r="N1886" t="s">
        <v>11368</v>
      </c>
      <c r="O1886" t="s">
        <v>11456</v>
      </c>
      <c r="P1886" t="s">
        <v>11473</v>
      </c>
      <c r="Q1886" t="s">
        <v>25</v>
      </c>
      <c r="R1886" t="s">
        <v>11882</v>
      </c>
    </row>
    <row r="1887" spans="1:27">
      <c r="A1887" t="s">
        <v>16947</v>
      </c>
      <c r="B1887" t="s">
        <v>16947</v>
      </c>
      <c r="C1887" t="s">
        <v>16948</v>
      </c>
      <c r="D1887" t="s">
        <v>21</v>
      </c>
      <c r="E1887" s="14" t="s">
        <v>16949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17927</v>
      </c>
      <c r="M1887">
        <v>1</v>
      </c>
      <c r="N1887" t="s">
        <v>16950</v>
      </c>
      <c r="O1887" s="3" t="s">
        <v>477</v>
      </c>
      <c r="P1887" t="s">
        <v>16951</v>
      </c>
      <c r="Q1887" t="s">
        <v>25</v>
      </c>
      <c r="R1887" t="s">
        <v>16952</v>
      </c>
      <c r="W1887" t="s">
        <v>477</v>
      </c>
      <c r="X1887" t="s">
        <v>16951</v>
      </c>
      <c r="Y1887" t="s">
        <v>4559</v>
      </c>
      <c r="Z1887" t="s">
        <v>18525</v>
      </c>
      <c r="AA1887" t="s">
        <v>4727</v>
      </c>
    </row>
    <row r="1888" spans="1:27">
      <c r="A1888" t="s">
        <v>16953</v>
      </c>
      <c r="B1888" t="s">
        <v>16953</v>
      </c>
      <c r="C1888" t="s">
        <v>16954</v>
      </c>
      <c r="D1888" t="s">
        <v>21</v>
      </c>
      <c r="E1888" s="14" t="s">
        <v>16949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17927</v>
      </c>
      <c r="M1888">
        <v>1.2</v>
      </c>
      <c r="N1888" t="s">
        <v>16950</v>
      </c>
      <c r="O1888" s="3" t="s">
        <v>477</v>
      </c>
      <c r="P1888" t="s">
        <v>16955</v>
      </c>
      <c r="Q1888" t="s">
        <v>25</v>
      </c>
      <c r="R1888" t="s">
        <v>16956</v>
      </c>
    </row>
    <row r="1889" spans="1:18">
      <c r="A1889" t="s">
        <v>16957</v>
      </c>
      <c r="B1889" t="s">
        <v>16957</v>
      </c>
      <c r="C1889" t="s">
        <v>16958</v>
      </c>
      <c r="D1889" t="s">
        <v>21</v>
      </c>
      <c r="E1889" s="14" t="s">
        <v>16949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17927</v>
      </c>
      <c r="M1889">
        <v>1.3</v>
      </c>
      <c r="N1889" t="s">
        <v>16950</v>
      </c>
      <c r="O1889" s="3" t="s">
        <v>477</v>
      </c>
      <c r="P1889" t="s">
        <v>16959</v>
      </c>
      <c r="Q1889" t="s">
        <v>25</v>
      </c>
      <c r="R1889" t="s">
        <v>16960</v>
      </c>
    </row>
    <row r="1890" spans="1:18">
      <c r="A1890" t="s">
        <v>16961</v>
      </c>
      <c r="B1890" t="s">
        <v>16961</v>
      </c>
      <c r="C1890" t="s">
        <v>16962</v>
      </c>
      <c r="D1890" t="s">
        <v>21</v>
      </c>
      <c r="E1890" s="14" t="s">
        <v>16949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17927</v>
      </c>
      <c r="M1890">
        <v>1.5</v>
      </c>
      <c r="N1890" t="s">
        <v>16950</v>
      </c>
      <c r="O1890" s="3" t="s">
        <v>477</v>
      </c>
      <c r="P1890" t="s">
        <v>16963</v>
      </c>
      <c r="Q1890" t="s">
        <v>25</v>
      </c>
      <c r="R1890" t="s">
        <v>16964</v>
      </c>
    </row>
    <row r="1891" spans="1:18">
      <c r="A1891" t="s">
        <v>16965</v>
      </c>
      <c r="B1891" t="s">
        <v>16965</v>
      </c>
      <c r="C1891" t="s">
        <v>16966</v>
      </c>
      <c r="D1891" t="s">
        <v>21</v>
      </c>
      <c r="E1891" s="14" t="s">
        <v>16949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17927</v>
      </c>
      <c r="M1891">
        <v>1.8</v>
      </c>
      <c r="N1891" t="s">
        <v>16950</v>
      </c>
      <c r="O1891" s="3" t="s">
        <v>477</v>
      </c>
      <c r="P1891" t="s">
        <v>16967</v>
      </c>
      <c r="Q1891" t="s">
        <v>25</v>
      </c>
      <c r="R1891" t="s">
        <v>16968</v>
      </c>
    </row>
    <row r="1892" spans="1:18">
      <c r="A1892" t="s">
        <v>16969</v>
      </c>
      <c r="B1892" t="s">
        <v>16969</v>
      </c>
      <c r="C1892" t="s">
        <v>16970</v>
      </c>
      <c r="D1892" t="s">
        <v>21</v>
      </c>
      <c r="E1892" s="14" t="s">
        <v>16949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17927</v>
      </c>
      <c r="M1892">
        <v>2</v>
      </c>
      <c r="N1892" t="s">
        <v>16950</v>
      </c>
      <c r="O1892" s="3" t="s">
        <v>477</v>
      </c>
      <c r="P1892" t="s">
        <v>16971</v>
      </c>
      <c r="Q1892" t="s">
        <v>25</v>
      </c>
      <c r="R1892" t="s">
        <v>16972</v>
      </c>
    </row>
    <row r="1893" spans="1:18">
      <c r="A1893" t="s">
        <v>16973</v>
      </c>
      <c r="B1893" t="s">
        <v>16973</v>
      </c>
      <c r="C1893" t="s">
        <v>16974</v>
      </c>
      <c r="D1893" t="s">
        <v>21</v>
      </c>
      <c r="E1893" s="14" t="s">
        <v>16949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17927</v>
      </c>
      <c r="M1893">
        <v>2.2000000000000002</v>
      </c>
      <c r="N1893" t="s">
        <v>16950</v>
      </c>
      <c r="O1893" s="3" t="s">
        <v>477</v>
      </c>
      <c r="P1893" t="s">
        <v>16975</v>
      </c>
      <c r="Q1893" t="s">
        <v>25</v>
      </c>
      <c r="R1893" t="s">
        <v>16976</v>
      </c>
    </row>
    <row r="1894" spans="1:18">
      <c r="A1894" t="s">
        <v>16977</v>
      </c>
      <c r="B1894" t="s">
        <v>16977</v>
      </c>
      <c r="C1894" t="s">
        <v>16978</v>
      </c>
      <c r="D1894" t="s">
        <v>21</v>
      </c>
      <c r="E1894" s="14" t="s">
        <v>16949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17927</v>
      </c>
      <c r="M1894">
        <v>2.7</v>
      </c>
      <c r="N1894" t="s">
        <v>16950</v>
      </c>
      <c r="O1894" s="3" t="s">
        <v>477</v>
      </c>
      <c r="P1894" t="s">
        <v>16979</v>
      </c>
      <c r="Q1894" t="s">
        <v>25</v>
      </c>
      <c r="R1894" t="s">
        <v>16980</v>
      </c>
    </row>
    <row r="1895" spans="1:18">
      <c r="A1895" t="s">
        <v>16981</v>
      </c>
      <c r="B1895" t="s">
        <v>16981</v>
      </c>
      <c r="C1895" t="s">
        <v>16982</v>
      </c>
      <c r="D1895" t="s">
        <v>21</v>
      </c>
      <c r="E1895" s="14" t="s">
        <v>16949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17927</v>
      </c>
      <c r="M1895">
        <v>3</v>
      </c>
      <c r="N1895" t="s">
        <v>16950</v>
      </c>
      <c r="O1895" s="3" t="s">
        <v>477</v>
      </c>
      <c r="P1895" t="s">
        <v>16983</v>
      </c>
      <c r="Q1895" t="s">
        <v>25</v>
      </c>
      <c r="R1895" t="s">
        <v>16984</v>
      </c>
    </row>
    <row r="1896" spans="1:18">
      <c r="A1896" t="s">
        <v>16985</v>
      </c>
      <c r="B1896" t="s">
        <v>16985</v>
      </c>
      <c r="C1896" t="s">
        <v>16986</v>
      </c>
      <c r="D1896" t="s">
        <v>21</v>
      </c>
      <c r="E1896" s="14" t="s">
        <v>16949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17927</v>
      </c>
      <c r="M1896">
        <v>3.3</v>
      </c>
      <c r="N1896" t="s">
        <v>16950</v>
      </c>
      <c r="O1896" s="3" t="s">
        <v>477</v>
      </c>
      <c r="P1896" t="s">
        <v>16987</v>
      </c>
      <c r="Q1896" t="s">
        <v>25</v>
      </c>
      <c r="R1896" t="s">
        <v>16988</v>
      </c>
    </row>
    <row r="1897" spans="1:18">
      <c r="A1897" t="s">
        <v>16989</v>
      </c>
      <c r="B1897" t="s">
        <v>16989</v>
      </c>
      <c r="C1897" t="s">
        <v>16990</v>
      </c>
      <c r="D1897" t="s">
        <v>21</v>
      </c>
      <c r="E1897" s="14" t="s">
        <v>16949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17927</v>
      </c>
      <c r="M1897">
        <v>3.9</v>
      </c>
      <c r="N1897" t="s">
        <v>16950</v>
      </c>
      <c r="O1897" s="3" t="s">
        <v>477</v>
      </c>
      <c r="P1897" t="s">
        <v>16991</v>
      </c>
      <c r="Q1897" t="s">
        <v>25</v>
      </c>
      <c r="R1897" t="s">
        <v>16992</v>
      </c>
    </row>
    <row r="1898" spans="1:18">
      <c r="A1898" t="s">
        <v>16993</v>
      </c>
      <c r="B1898" t="s">
        <v>16993</v>
      </c>
      <c r="C1898" t="s">
        <v>16994</v>
      </c>
      <c r="D1898" t="s">
        <v>21</v>
      </c>
      <c r="E1898" s="14" t="s">
        <v>16949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17927</v>
      </c>
      <c r="M1898">
        <v>4.3</v>
      </c>
      <c r="N1898" t="s">
        <v>16950</v>
      </c>
      <c r="O1898" s="3" t="s">
        <v>477</v>
      </c>
      <c r="P1898" t="s">
        <v>16995</v>
      </c>
      <c r="Q1898" t="s">
        <v>25</v>
      </c>
      <c r="R1898" t="s">
        <v>16996</v>
      </c>
    </row>
    <row r="1899" spans="1:18">
      <c r="A1899" t="s">
        <v>16997</v>
      </c>
      <c r="B1899" t="s">
        <v>16997</v>
      </c>
      <c r="C1899" t="s">
        <v>16998</v>
      </c>
      <c r="D1899" t="s">
        <v>21</v>
      </c>
      <c r="E1899" s="14" t="s">
        <v>16949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17927</v>
      </c>
      <c r="M1899">
        <v>4.7</v>
      </c>
      <c r="N1899" t="s">
        <v>16950</v>
      </c>
      <c r="O1899" s="3" t="s">
        <v>477</v>
      </c>
      <c r="P1899" t="s">
        <v>16999</v>
      </c>
      <c r="Q1899" t="s">
        <v>25</v>
      </c>
      <c r="R1899" t="s">
        <v>17000</v>
      </c>
    </row>
    <row r="1900" spans="1:18">
      <c r="A1900" t="s">
        <v>17001</v>
      </c>
      <c r="B1900" t="s">
        <v>17001</v>
      </c>
      <c r="C1900" t="s">
        <v>17002</v>
      </c>
      <c r="D1900" t="s">
        <v>21</v>
      </c>
      <c r="E1900" s="14" t="s">
        <v>16949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17927</v>
      </c>
      <c r="M1900">
        <v>5.0999999999999996</v>
      </c>
      <c r="N1900" t="s">
        <v>16950</v>
      </c>
      <c r="O1900" s="3" t="s">
        <v>477</v>
      </c>
      <c r="P1900" t="s">
        <v>17003</v>
      </c>
      <c r="Q1900" t="s">
        <v>25</v>
      </c>
      <c r="R1900" t="s">
        <v>17004</v>
      </c>
    </row>
    <row r="1901" spans="1:18">
      <c r="A1901" t="s">
        <v>17005</v>
      </c>
      <c r="B1901" t="s">
        <v>17005</v>
      </c>
      <c r="C1901" t="s">
        <v>17006</v>
      </c>
      <c r="D1901" t="s">
        <v>21</v>
      </c>
      <c r="E1901" s="14" t="s">
        <v>16949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17927</v>
      </c>
      <c r="M1901">
        <v>5.6</v>
      </c>
      <c r="N1901" t="s">
        <v>16950</v>
      </c>
      <c r="O1901" s="3" t="s">
        <v>477</v>
      </c>
      <c r="P1901" t="s">
        <v>17007</v>
      </c>
      <c r="Q1901" t="s">
        <v>25</v>
      </c>
      <c r="R1901" t="s">
        <v>17008</v>
      </c>
    </row>
    <row r="1902" spans="1:18">
      <c r="A1902" t="s">
        <v>17009</v>
      </c>
      <c r="B1902" t="s">
        <v>17009</v>
      </c>
      <c r="C1902" t="s">
        <v>17010</v>
      </c>
      <c r="D1902" t="s">
        <v>21</v>
      </c>
      <c r="E1902" s="14" t="s">
        <v>16949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17927</v>
      </c>
      <c r="M1902">
        <v>6.2</v>
      </c>
      <c r="N1902" t="s">
        <v>16950</v>
      </c>
      <c r="O1902" s="3" t="s">
        <v>477</v>
      </c>
      <c r="P1902" t="s">
        <v>17011</v>
      </c>
      <c r="Q1902" t="s">
        <v>25</v>
      </c>
      <c r="R1902" t="s">
        <v>17012</v>
      </c>
    </row>
    <row r="1903" spans="1:18">
      <c r="A1903" t="s">
        <v>17013</v>
      </c>
      <c r="B1903" t="s">
        <v>17013</v>
      </c>
      <c r="C1903" t="s">
        <v>17014</v>
      </c>
      <c r="D1903" t="s">
        <v>21</v>
      </c>
      <c r="E1903" s="14" t="s">
        <v>16949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17927</v>
      </c>
      <c r="M1903">
        <v>6.8</v>
      </c>
      <c r="N1903" t="s">
        <v>16950</v>
      </c>
      <c r="O1903" s="3" t="s">
        <v>477</v>
      </c>
      <c r="P1903" t="s">
        <v>17015</v>
      </c>
      <c r="Q1903" t="s">
        <v>25</v>
      </c>
      <c r="R1903" t="s">
        <v>17016</v>
      </c>
    </row>
    <row r="1904" spans="1:18">
      <c r="A1904" t="s">
        <v>17017</v>
      </c>
      <c r="B1904" t="s">
        <v>17017</v>
      </c>
      <c r="C1904" t="s">
        <v>17018</v>
      </c>
      <c r="D1904" t="s">
        <v>21</v>
      </c>
      <c r="E1904" s="14" t="s">
        <v>16949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17927</v>
      </c>
      <c r="M1904">
        <v>7.5</v>
      </c>
      <c r="N1904" t="s">
        <v>16950</v>
      </c>
      <c r="O1904" s="3" t="s">
        <v>477</v>
      </c>
      <c r="P1904" t="s">
        <v>17019</v>
      </c>
      <c r="Q1904" t="s">
        <v>25</v>
      </c>
      <c r="R1904" t="s">
        <v>17020</v>
      </c>
    </row>
    <row r="1905" spans="1:22">
      <c r="A1905" t="s">
        <v>17021</v>
      </c>
      <c r="B1905" t="s">
        <v>17021</v>
      </c>
      <c r="C1905" t="s">
        <v>17022</v>
      </c>
      <c r="D1905" t="s">
        <v>21</v>
      </c>
      <c r="E1905" s="14" t="s">
        <v>16949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17927</v>
      </c>
      <c r="M1905">
        <v>8.1999999999999993</v>
      </c>
      <c r="N1905" t="s">
        <v>16950</v>
      </c>
      <c r="O1905" s="3" t="s">
        <v>477</v>
      </c>
      <c r="P1905" t="s">
        <v>17023</v>
      </c>
      <c r="Q1905" t="s">
        <v>25</v>
      </c>
      <c r="R1905" t="s">
        <v>17024</v>
      </c>
    </row>
    <row r="1906" spans="1:22">
      <c r="A1906" t="s">
        <v>17025</v>
      </c>
      <c r="B1906" t="s">
        <v>17025</v>
      </c>
      <c r="C1906" t="s">
        <v>17026</v>
      </c>
      <c r="D1906" t="s">
        <v>21</v>
      </c>
      <c r="E1906" s="14" t="s">
        <v>16949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17927</v>
      </c>
      <c r="M1906">
        <v>9.1</v>
      </c>
      <c r="N1906" t="s">
        <v>16950</v>
      </c>
      <c r="O1906" s="3" t="s">
        <v>477</v>
      </c>
      <c r="P1906" t="s">
        <v>17027</v>
      </c>
      <c r="Q1906" t="s">
        <v>25</v>
      </c>
      <c r="R1906" t="s">
        <v>17028</v>
      </c>
    </row>
    <row r="1907" spans="1:22">
      <c r="A1907" t="s">
        <v>17029</v>
      </c>
      <c r="B1907" t="s">
        <v>17029</v>
      </c>
      <c r="C1907" t="s">
        <v>17030</v>
      </c>
      <c r="D1907" t="s">
        <v>21</v>
      </c>
      <c r="E1907" s="14" t="s">
        <v>16949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17927</v>
      </c>
      <c r="M1907" s="3">
        <v>10</v>
      </c>
      <c r="N1907" t="s">
        <v>16950</v>
      </c>
      <c r="O1907" s="3" t="s">
        <v>477</v>
      </c>
      <c r="P1907" t="s">
        <v>17031</v>
      </c>
      <c r="Q1907" t="s">
        <v>25</v>
      </c>
      <c r="R1907" t="s">
        <v>17032</v>
      </c>
      <c r="S1907" t="s">
        <v>477</v>
      </c>
      <c r="T1907" t="s">
        <v>17033</v>
      </c>
      <c r="U1907" t="s">
        <v>25</v>
      </c>
      <c r="V1907" t="s">
        <v>17034</v>
      </c>
    </row>
    <row r="1908" spans="1:22">
      <c r="A1908" t="s">
        <v>17035</v>
      </c>
      <c r="B1908" t="s">
        <v>17035</v>
      </c>
      <c r="C1908" t="s">
        <v>17036</v>
      </c>
      <c r="D1908" t="s">
        <v>21</v>
      </c>
      <c r="E1908" s="14" t="s">
        <v>16949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17927</v>
      </c>
      <c r="M1908" s="3">
        <v>11</v>
      </c>
      <c r="N1908" t="s">
        <v>16950</v>
      </c>
      <c r="O1908" s="3" t="s">
        <v>477</v>
      </c>
      <c r="P1908" t="s">
        <v>17037</v>
      </c>
      <c r="Q1908" t="s">
        <v>25</v>
      </c>
      <c r="R1908" t="s">
        <v>17038</v>
      </c>
    </row>
    <row r="1909" spans="1:22">
      <c r="A1909" t="s">
        <v>17039</v>
      </c>
      <c r="B1909" t="s">
        <v>17039</v>
      </c>
      <c r="C1909" t="s">
        <v>17040</v>
      </c>
      <c r="D1909" t="s">
        <v>21</v>
      </c>
      <c r="E1909" s="14" t="s">
        <v>16949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17927</v>
      </c>
      <c r="M1909" s="3">
        <v>12</v>
      </c>
      <c r="N1909" t="s">
        <v>16950</v>
      </c>
      <c r="O1909" s="3" t="s">
        <v>477</v>
      </c>
      <c r="P1909" t="s">
        <v>17041</v>
      </c>
      <c r="Q1909" t="s">
        <v>25</v>
      </c>
      <c r="R1909" t="s">
        <v>17042</v>
      </c>
    </row>
    <row r="1910" spans="1:22">
      <c r="A1910" t="s">
        <v>17043</v>
      </c>
      <c r="B1910" t="s">
        <v>17043</v>
      </c>
      <c r="C1910" t="s">
        <v>17044</v>
      </c>
      <c r="D1910" t="s">
        <v>21</v>
      </c>
      <c r="E1910" s="14" t="s">
        <v>16949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17927</v>
      </c>
      <c r="M1910" s="3">
        <v>13</v>
      </c>
      <c r="N1910" t="s">
        <v>16950</v>
      </c>
      <c r="O1910" s="3" t="s">
        <v>477</v>
      </c>
      <c r="P1910" t="s">
        <v>17045</v>
      </c>
      <c r="Q1910" t="s">
        <v>25</v>
      </c>
      <c r="R1910" t="s">
        <v>17046</v>
      </c>
    </row>
    <row r="1911" spans="1:22">
      <c r="A1911" t="s">
        <v>17047</v>
      </c>
      <c r="B1911" t="s">
        <v>17047</v>
      </c>
      <c r="C1911" t="s">
        <v>17048</v>
      </c>
      <c r="D1911" t="s">
        <v>21</v>
      </c>
      <c r="E1911" s="14" t="s">
        <v>16949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17927</v>
      </c>
      <c r="M1911" s="3">
        <v>15</v>
      </c>
      <c r="N1911" t="s">
        <v>16950</v>
      </c>
      <c r="O1911" s="3" t="s">
        <v>477</v>
      </c>
      <c r="P1911" t="s">
        <v>17049</v>
      </c>
      <c r="Q1911" t="s">
        <v>25</v>
      </c>
      <c r="R1911" t="s">
        <v>17050</v>
      </c>
    </row>
    <row r="1912" spans="1:22">
      <c r="A1912" t="s">
        <v>17051</v>
      </c>
      <c r="B1912" t="s">
        <v>17051</v>
      </c>
      <c r="C1912" t="s">
        <v>17052</v>
      </c>
      <c r="D1912" t="s">
        <v>21</v>
      </c>
      <c r="E1912" s="14" t="s">
        <v>16949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17927</v>
      </c>
      <c r="M1912" s="3">
        <v>16</v>
      </c>
      <c r="N1912" t="s">
        <v>16950</v>
      </c>
      <c r="O1912" s="3" t="s">
        <v>477</v>
      </c>
      <c r="P1912" t="s">
        <v>17053</v>
      </c>
      <c r="Q1912" t="s">
        <v>25</v>
      </c>
      <c r="R1912" t="s">
        <v>17054</v>
      </c>
    </row>
    <row r="1913" spans="1:22">
      <c r="A1913" t="s">
        <v>17055</v>
      </c>
      <c r="B1913" t="s">
        <v>17055</v>
      </c>
      <c r="C1913" t="s">
        <v>17056</v>
      </c>
      <c r="D1913" t="s">
        <v>21</v>
      </c>
      <c r="E1913" s="14" t="s">
        <v>16949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17927</v>
      </c>
      <c r="M1913" s="3">
        <v>18</v>
      </c>
      <c r="N1913" t="s">
        <v>16950</v>
      </c>
      <c r="O1913" s="3" t="s">
        <v>477</v>
      </c>
      <c r="P1913" t="s">
        <v>17057</v>
      </c>
      <c r="Q1913" t="s">
        <v>25</v>
      </c>
      <c r="R1913" t="s">
        <v>17058</v>
      </c>
    </row>
    <row r="1914" spans="1:22">
      <c r="A1914" t="s">
        <v>17059</v>
      </c>
      <c r="B1914" t="s">
        <v>17059</v>
      </c>
      <c r="C1914" t="s">
        <v>17060</v>
      </c>
      <c r="D1914" t="s">
        <v>21</v>
      </c>
      <c r="E1914" s="14" t="s">
        <v>16949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17927</v>
      </c>
      <c r="M1914" s="3">
        <v>20</v>
      </c>
      <c r="N1914" t="s">
        <v>16950</v>
      </c>
      <c r="O1914" s="3" t="s">
        <v>477</v>
      </c>
      <c r="P1914" t="s">
        <v>17061</v>
      </c>
      <c r="Q1914" t="s">
        <v>25</v>
      </c>
      <c r="R1914" t="s">
        <v>17062</v>
      </c>
    </row>
    <row r="1915" spans="1:22">
      <c r="A1915" t="s">
        <v>17063</v>
      </c>
      <c r="B1915" t="s">
        <v>17063</v>
      </c>
      <c r="C1915" t="s">
        <v>17064</v>
      </c>
      <c r="D1915" t="s">
        <v>21</v>
      </c>
      <c r="E1915" s="14" t="s">
        <v>16949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17927</v>
      </c>
      <c r="M1915" s="3">
        <v>22</v>
      </c>
      <c r="N1915" t="s">
        <v>16950</v>
      </c>
      <c r="O1915" s="3" t="s">
        <v>477</v>
      </c>
      <c r="P1915" t="s">
        <v>17065</v>
      </c>
      <c r="Q1915" t="s">
        <v>25</v>
      </c>
      <c r="R1915" t="s">
        <v>17066</v>
      </c>
      <c r="S1915" t="s">
        <v>477</v>
      </c>
      <c r="T1915" t="s">
        <v>17067</v>
      </c>
      <c r="U1915" t="s">
        <v>25</v>
      </c>
      <c r="V1915" t="s">
        <v>17068</v>
      </c>
    </row>
    <row r="1916" spans="1:22">
      <c r="A1916" t="s">
        <v>17069</v>
      </c>
      <c r="B1916" t="s">
        <v>17069</v>
      </c>
      <c r="C1916" t="s">
        <v>17070</v>
      </c>
      <c r="D1916" t="s">
        <v>21</v>
      </c>
      <c r="E1916" s="14" t="s">
        <v>16949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17927</v>
      </c>
      <c r="M1916" s="3">
        <v>24</v>
      </c>
      <c r="N1916" t="s">
        <v>16950</v>
      </c>
      <c r="O1916" s="3" t="s">
        <v>477</v>
      </c>
      <c r="P1916" t="s">
        <v>17071</v>
      </c>
      <c r="Q1916" t="s">
        <v>25</v>
      </c>
      <c r="R1916" t="s">
        <v>17072</v>
      </c>
    </row>
    <row r="1917" spans="1:22">
      <c r="A1917" t="s">
        <v>17073</v>
      </c>
      <c r="B1917" t="s">
        <v>17073</v>
      </c>
      <c r="C1917" t="s">
        <v>17074</v>
      </c>
      <c r="D1917" t="s">
        <v>21</v>
      </c>
      <c r="E1917" s="14" t="s">
        <v>16949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17927</v>
      </c>
      <c r="M1917" s="3">
        <v>27</v>
      </c>
      <c r="N1917" t="s">
        <v>16950</v>
      </c>
      <c r="O1917" t="s">
        <v>477</v>
      </c>
      <c r="P1917" t="s">
        <v>17075</v>
      </c>
      <c r="Q1917" t="s">
        <v>25</v>
      </c>
      <c r="R1917" t="s">
        <v>17076</v>
      </c>
    </row>
    <row r="1918" spans="1:22">
      <c r="A1918" t="s">
        <v>17077</v>
      </c>
      <c r="B1918" t="s">
        <v>17077</v>
      </c>
      <c r="C1918" t="s">
        <v>17078</v>
      </c>
      <c r="D1918" t="s">
        <v>21</v>
      </c>
      <c r="E1918" s="14" t="s">
        <v>16949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17927</v>
      </c>
      <c r="M1918" s="3">
        <v>30</v>
      </c>
      <c r="N1918" t="s">
        <v>16950</v>
      </c>
      <c r="O1918" t="s">
        <v>477</v>
      </c>
      <c r="P1918" t="s">
        <v>17079</v>
      </c>
      <c r="Q1918" t="s">
        <v>25</v>
      </c>
      <c r="R1918" t="s">
        <v>17080</v>
      </c>
      <c r="S1918" t="s">
        <v>477</v>
      </c>
      <c r="T1918" t="s">
        <v>17081</v>
      </c>
      <c r="U1918" t="s">
        <v>25</v>
      </c>
      <c r="V1918" t="s">
        <v>17082</v>
      </c>
    </row>
    <row r="1919" spans="1:22">
      <c r="A1919" t="s">
        <v>17083</v>
      </c>
      <c r="B1919" t="s">
        <v>17083</v>
      </c>
      <c r="C1919" t="s">
        <v>17084</v>
      </c>
      <c r="D1919" t="s">
        <v>21</v>
      </c>
      <c r="E1919" s="14" t="s">
        <v>16949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17927</v>
      </c>
      <c r="M1919" s="3">
        <v>33</v>
      </c>
      <c r="N1919" t="s">
        <v>16950</v>
      </c>
      <c r="O1919" t="s">
        <v>477</v>
      </c>
      <c r="P1919" t="s">
        <v>17085</v>
      </c>
      <c r="Q1919" t="s">
        <v>25</v>
      </c>
      <c r="R1919" t="s">
        <v>17086</v>
      </c>
      <c r="S1919" t="s">
        <v>477</v>
      </c>
      <c r="T1919" t="s">
        <v>17087</v>
      </c>
      <c r="U1919" t="s">
        <v>25</v>
      </c>
      <c r="V1919" t="s">
        <v>17088</v>
      </c>
    </row>
    <row r="1920" spans="1:22">
      <c r="A1920" t="s">
        <v>17089</v>
      </c>
      <c r="B1920" t="s">
        <v>17089</v>
      </c>
      <c r="C1920" t="s">
        <v>17090</v>
      </c>
      <c r="D1920" t="s">
        <v>21</v>
      </c>
      <c r="E1920" s="14" t="s">
        <v>16949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17927</v>
      </c>
      <c r="M1920" s="3">
        <v>36</v>
      </c>
      <c r="N1920" t="s">
        <v>16950</v>
      </c>
      <c r="O1920" t="s">
        <v>477</v>
      </c>
      <c r="P1920" t="s">
        <v>17091</v>
      </c>
      <c r="Q1920" t="s">
        <v>25</v>
      </c>
      <c r="R1920" t="s">
        <v>17092</v>
      </c>
    </row>
    <row r="1921" spans="1:27">
      <c r="A1921" t="s">
        <v>17093</v>
      </c>
      <c r="B1921" t="s">
        <v>17093</v>
      </c>
      <c r="C1921" t="s">
        <v>17094</v>
      </c>
      <c r="D1921" t="s">
        <v>21</v>
      </c>
      <c r="E1921" s="14" t="s">
        <v>16949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17927</v>
      </c>
      <c r="M1921" s="3">
        <v>39</v>
      </c>
      <c r="N1921" t="s">
        <v>16950</v>
      </c>
      <c r="O1921" t="s">
        <v>477</v>
      </c>
      <c r="P1921" t="s">
        <v>17095</v>
      </c>
      <c r="Q1921" t="s">
        <v>25</v>
      </c>
      <c r="R1921" t="s">
        <v>17096</v>
      </c>
      <c r="S1921" t="s">
        <v>477</v>
      </c>
      <c r="T1921" t="s">
        <v>17097</v>
      </c>
      <c r="U1921" t="s">
        <v>25</v>
      </c>
      <c r="V1921" t="s">
        <v>17098</v>
      </c>
    </row>
    <row r="1922" spans="1:27">
      <c r="A1922" t="s">
        <v>17099</v>
      </c>
      <c r="B1922" t="s">
        <v>17099</v>
      </c>
      <c r="C1922" t="s">
        <v>17100</v>
      </c>
      <c r="D1922" t="s">
        <v>21</v>
      </c>
      <c r="E1922" s="14" t="s">
        <v>16949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17927</v>
      </c>
      <c r="M1922" s="3">
        <v>43</v>
      </c>
      <c r="N1922" t="s">
        <v>16950</v>
      </c>
      <c r="O1922" t="s">
        <v>477</v>
      </c>
      <c r="P1922" t="s">
        <v>17101</v>
      </c>
      <c r="Q1922" t="s">
        <v>25</v>
      </c>
      <c r="R1922" t="s">
        <v>17102</v>
      </c>
    </row>
    <row r="1923" spans="1:27">
      <c r="A1923" t="s">
        <v>17103</v>
      </c>
      <c r="B1923" t="s">
        <v>17103</v>
      </c>
      <c r="C1923" t="s">
        <v>17104</v>
      </c>
      <c r="D1923" t="s">
        <v>21</v>
      </c>
      <c r="E1923" s="14" t="s">
        <v>16949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17927</v>
      </c>
      <c r="M1923" s="3">
        <v>47</v>
      </c>
      <c r="N1923" t="s">
        <v>16950</v>
      </c>
      <c r="O1923" t="s">
        <v>477</v>
      </c>
      <c r="P1923" t="s">
        <v>17105</v>
      </c>
      <c r="Q1923" t="s">
        <v>25</v>
      </c>
      <c r="R1923" t="s">
        <v>17106</v>
      </c>
      <c r="S1923" t="s">
        <v>477</v>
      </c>
      <c r="T1923" t="s">
        <v>17107</v>
      </c>
      <c r="U1923" t="s">
        <v>25</v>
      </c>
      <c r="V1923" t="s">
        <v>17108</v>
      </c>
    </row>
    <row r="1924" spans="1:27">
      <c r="A1924" t="s">
        <v>17109</v>
      </c>
      <c r="B1924" t="s">
        <v>17109</v>
      </c>
      <c r="C1924" t="s">
        <v>17110</v>
      </c>
      <c r="D1924" t="s">
        <v>21</v>
      </c>
      <c r="E1924" s="14" t="s">
        <v>16949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17927</v>
      </c>
      <c r="M1924" s="3">
        <v>51</v>
      </c>
      <c r="N1924" t="s">
        <v>16950</v>
      </c>
      <c r="O1924" t="s">
        <v>477</v>
      </c>
      <c r="P1924" t="s">
        <v>17111</v>
      </c>
      <c r="Q1924" t="s">
        <v>25</v>
      </c>
      <c r="R1924" t="s">
        <v>17112</v>
      </c>
    </row>
    <row r="1925" spans="1:27">
      <c r="A1925" t="s">
        <v>17113</v>
      </c>
      <c r="B1925" t="s">
        <v>17113</v>
      </c>
      <c r="C1925" t="s">
        <v>17114</v>
      </c>
      <c r="D1925" t="s">
        <v>21</v>
      </c>
      <c r="E1925" s="14" t="s">
        <v>16949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17927</v>
      </c>
      <c r="M1925" s="3">
        <v>56</v>
      </c>
      <c r="N1925" t="s">
        <v>16950</v>
      </c>
      <c r="O1925" t="s">
        <v>477</v>
      </c>
      <c r="P1925" t="s">
        <v>17115</v>
      </c>
      <c r="Q1925" t="s">
        <v>25</v>
      </c>
      <c r="R1925" t="s">
        <v>17116</v>
      </c>
    </row>
    <row r="1926" spans="1:27">
      <c r="A1926" t="s">
        <v>17117</v>
      </c>
      <c r="B1926" t="s">
        <v>17117</v>
      </c>
      <c r="C1926" t="s">
        <v>17118</v>
      </c>
      <c r="D1926" t="s">
        <v>21</v>
      </c>
      <c r="E1926" s="14" t="s">
        <v>16949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17927</v>
      </c>
      <c r="M1926" s="3">
        <v>62</v>
      </c>
      <c r="N1926" t="s">
        <v>16950</v>
      </c>
      <c r="O1926" t="s">
        <v>477</v>
      </c>
      <c r="P1926" t="s">
        <v>17119</v>
      </c>
      <c r="Q1926" t="s">
        <v>25</v>
      </c>
      <c r="R1926" t="s">
        <v>17120</v>
      </c>
    </row>
    <row r="1927" spans="1:27">
      <c r="A1927" t="s">
        <v>17121</v>
      </c>
      <c r="B1927" t="s">
        <v>17121</v>
      </c>
      <c r="C1927" t="s">
        <v>17122</v>
      </c>
      <c r="D1927" t="s">
        <v>21</v>
      </c>
      <c r="E1927" s="14" t="s">
        <v>16949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17927</v>
      </c>
      <c r="M1927" s="3">
        <v>68</v>
      </c>
      <c r="N1927" t="s">
        <v>16950</v>
      </c>
      <c r="O1927" t="s">
        <v>477</v>
      </c>
      <c r="P1927" t="s">
        <v>17123</v>
      </c>
      <c r="Q1927" t="s">
        <v>25</v>
      </c>
      <c r="R1927" t="s">
        <v>17124</v>
      </c>
    </row>
    <row r="1928" spans="1:27">
      <c r="A1928" t="s">
        <v>17125</v>
      </c>
      <c r="B1928" t="s">
        <v>17125</v>
      </c>
      <c r="C1928" t="s">
        <v>17126</v>
      </c>
      <c r="D1928" t="s">
        <v>21</v>
      </c>
      <c r="E1928" s="14" t="s">
        <v>16949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17927</v>
      </c>
      <c r="M1928" s="3">
        <v>75</v>
      </c>
      <c r="N1928" t="s">
        <v>16950</v>
      </c>
      <c r="O1928" t="s">
        <v>477</v>
      </c>
      <c r="P1928" t="s">
        <v>17127</v>
      </c>
      <c r="Q1928" t="s">
        <v>25</v>
      </c>
      <c r="R1928" t="s">
        <v>17128</v>
      </c>
    </row>
    <row r="1929" spans="1:27">
      <c r="A1929" t="s">
        <v>17129</v>
      </c>
      <c r="B1929" t="s">
        <v>17129</v>
      </c>
      <c r="C1929" t="s">
        <v>17130</v>
      </c>
      <c r="D1929" t="s">
        <v>21</v>
      </c>
      <c r="E1929" s="14" t="s">
        <v>16949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17927</v>
      </c>
      <c r="M1929" s="3">
        <v>82</v>
      </c>
      <c r="N1929" t="s">
        <v>16950</v>
      </c>
      <c r="O1929" t="s">
        <v>477</v>
      </c>
      <c r="P1929" t="s">
        <v>17131</v>
      </c>
      <c r="Q1929" t="s">
        <v>25</v>
      </c>
      <c r="R1929" t="s">
        <v>17132</v>
      </c>
    </row>
    <row r="1930" spans="1:27">
      <c r="A1930" t="s">
        <v>17133</v>
      </c>
      <c r="B1930" t="s">
        <v>17133</v>
      </c>
      <c r="C1930" t="s">
        <v>17134</v>
      </c>
      <c r="D1930" t="s">
        <v>21</v>
      </c>
      <c r="E1930" s="14" t="s">
        <v>16949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17927</v>
      </c>
      <c r="M1930" s="3">
        <v>91</v>
      </c>
      <c r="N1930" t="s">
        <v>16950</v>
      </c>
      <c r="O1930" t="s">
        <v>477</v>
      </c>
      <c r="P1930" t="s">
        <v>17135</v>
      </c>
      <c r="Q1930" t="s">
        <v>25</v>
      </c>
      <c r="R1930" t="s">
        <v>17136</v>
      </c>
    </row>
    <row r="1931" spans="1:27">
      <c r="A1931" t="s">
        <v>17137</v>
      </c>
      <c r="B1931" t="s">
        <v>17137</v>
      </c>
      <c r="C1931" t="s">
        <v>17138</v>
      </c>
      <c r="D1931" t="s">
        <v>21</v>
      </c>
      <c r="E1931" s="14" t="s">
        <v>16949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17927</v>
      </c>
      <c r="M1931" s="3">
        <v>100</v>
      </c>
      <c r="N1931" t="s">
        <v>16950</v>
      </c>
      <c r="O1931" t="s">
        <v>477</v>
      </c>
      <c r="P1931" t="s">
        <v>17139</v>
      </c>
      <c r="Q1931" t="s">
        <v>25</v>
      </c>
      <c r="R1931" t="s">
        <v>17140</v>
      </c>
      <c r="S1931" t="s">
        <v>477</v>
      </c>
      <c r="T1931" t="s">
        <v>17141</v>
      </c>
      <c r="U1931" t="s">
        <v>25</v>
      </c>
      <c r="V1931" t="s">
        <v>17142</v>
      </c>
    </row>
    <row r="1932" spans="1:27">
      <c r="A1932" t="s">
        <v>17143</v>
      </c>
      <c r="B1932" t="s">
        <v>17143</v>
      </c>
      <c r="C1932" t="s">
        <v>17144</v>
      </c>
      <c r="D1932" t="s">
        <v>21</v>
      </c>
      <c r="E1932" s="14" t="s">
        <v>16949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17927</v>
      </c>
      <c r="M1932" s="3">
        <v>110</v>
      </c>
      <c r="N1932" t="s">
        <v>16950</v>
      </c>
      <c r="O1932" t="s">
        <v>477</v>
      </c>
      <c r="P1932" t="s">
        <v>17145</v>
      </c>
      <c r="Q1932" t="s">
        <v>25</v>
      </c>
      <c r="R1932" t="s">
        <v>17146</v>
      </c>
    </row>
    <row r="1933" spans="1:27">
      <c r="A1933" t="s">
        <v>17147</v>
      </c>
      <c r="B1933" t="s">
        <v>17147</v>
      </c>
      <c r="C1933" t="s">
        <v>17148</v>
      </c>
      <c r="D1933" t="s">
        <v>21</v>
      </c>
      <c r="E1933" s="14" t="s">
        <v>16949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17927</v>
      </c>
      <c r="M1933" s="3">
        <v>120</v>
      </c>
      <c r="N1933" t="s">
        <v>16950</v>
      </c>
      <c r="O1933" t="s">
        <v>477</v>
      </c>
      <c r="P1933" t="s">
        <v>17149</v>
      </c>
      <c r="Q1933" t="s">
        <v>25</v>
      </c>
      <c r="R1933" t="s">
        <v>17150</v>
      </c>
      <c r="S1933" t="s">
        <v>477</v>
      </c>
      <c r="T1933" t="s">
        <v>17151</v>
      </c>
      <c r="U1933" t="s">
        <v>25</v>
      </c>
      <c r="V1933" t="s">
        <v>17152</v>
      </c>
    </row>
    <row r="1934" spans="1:27">
      <c r="A1934" t="s">
        <v>17153</v>
      </c>
      <c r="B1934" t="s">
        <v>17153</v>
      </c>
      <c r="C1934" t="s">
        <v>17154</v>
      </c>
      <c r="D1934" t="s">
        <v>21</v>
      </c>
      <c r="E1934" s="14" t="s">
        <v>16949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17927</v>
      </c>
      <c r="M1934" s="3">
        <v>130</v>
      </c>
      <c r="N1934" t="s">
        <v>16950</v>
      </c>
      <c r="O1934" t="s">
        <v>477</v>
      </c>
      <c r="P1934" t="s">
        <v>17155</v>
      </c>
      <c r="Q1934" t="s">
        <v>25</v>
      </c>
      <c r="R1934" t="s">
        <v>17156</v>
      </c>
    </row>
    <row r="1935" spans="1:27">
      <c r="A1935" t="s">
        <v>17157</v>
      </c>
      <c r="B1935" t="s">
        <v>17157</v>
      </c>
      <c r="C1935" t="s">
        <v>17158</v>
      </c>
      <c r="D1935" t="s">
        <v>21</v>
      </c>
      <c r="E1935" s="14" t="s">
        <v>16949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17927</v>
      </c>
      <c r="M1935" s="3">
        <v>150</v>
      </c>
      <c r="N1935" t="s">
        <v>16950</v>
      </c>
      <c r="O1935" t="s">
        <v>477</v>
      </c>
      <c r="P1935" t="s">
        <v>17159</v>
      </c>
      <c r="Q1935" t="s">
        <v>25</v>
      </c>
      <c r="R1935" t="s">
        <v>17160</v>
      </c>
      <c r="S1935" t="s">
        <v>477</v>
      </c>
      <c r="T1935" t="s">
        <v>17161</v>
      </c>
      <c r="U1935" t="s">
        <v>25</v>
      </c>
      <c r="V1935" t="s">
        <v>17162</v>
      </c>
    </row>
    <row r="1936" spans="1:27">
      <c r="A1936" t="s">
        <v>17163</v>
      </c>
      <c r="B1936" t="s">
        <v>17163</v>
      </c>
      <c r="C1936" t="s">
        <v>17164</v>
      </c>
      <c r="D1936" t="s">
        <v>21</v>
      </c>
      <c r="E1936" s="14" t="s">
        <v>16949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17927</v>
      </c>
      <c r="M1936" s="3">
        <v>160</v>
      </c>
      <c r="N1936" t="s">
        <v>16950</v>
      </c>
      <c r="O1936" t="s">
        <v>477</v>
      </c>
      <c r="P1936" t="s">
        <v>17165</v>
      </c>
      <c r="Q1936" t="s">
        <v>25</v>
      </c>
      <c r="R1936" t="s">
        <v>17166</v>
      </c>
      <c r="W1936" t="s">
        <v>477</v>
      </c>
      <c r="X1936" t="s">
        <v>17165</v>
      </c>
      <c r="Y1936" t="s">
        <v>4559</v>
      </c>
      <c r="Z1936" t="s">
        <v>18526</v>
      </c>
      <c r="AA1936" t="s">
        <v>4727</v>
      </c>
    </row>
    <row r="1937" spans="1:22">
      <c r="A1937" t="s">
        <v>17167</v>
      </c>
      <c r="B1937" t="s">
        <v>17167</v>
      </c>
      <c r="C1937" t="s">
        <v>17168</v>
      </c>
      <c r="D1937" t="s">
        <v>21</v>
      </c>
      <c r="E1937" s="14" t="s">
        <v>16949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17927</v>
      </c>
      <c r="M1937" s="3">
        <v>180</v>
      </c>
      <c r="N1937" t="s">
        <v>16950</v>
      </c>
      <c r="O1937" t="s">
        <v>477</v>
      </c>
      <c r="P1937" t="s">
        <v>17169</v>
      </c>
      <c r="Q1937" t="s">
        <v>25</v>
      </c>
      <c r="R1937" t="s">
        <v>17170</v>
      </c>
    </row>
    <row r="1938" spans="1:22">
      <c r="A1938" t="s">
        <v>17171</v>
      </c>
      <c r="B1938" t="s">
        <v>17171</v>
      </c>
      <c r="C1938" t="s">
        <v>17172</v>
      </c>
      <c r="D1938" t="s">
        <v>21</v>
      </c>
      <c r="E1938" s="14" t="s">
        <v>16949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17927</v>
      </c>
      <c r="M1938" s="3">
        <v>200</v>
      </c>
      <c r="N1938" t="s">
        <v>16950</v>
      </c>
      <c r="O1938" t="s">
        <v>477</v>
      </c>
      <c r="P1938" t="s">
        <v>17173</v>
      </c>
      <c r="Q1938" t="s">
        <v>25</v>
      </c>
      <c r="R1938" t="s">
        <v>17174</v>
      </c>
      <c r="S1938" t="s">
        <v>477</v>
      </c>
      <c r="T1938" t="s">
        <v>17175</v>
      </c>
      <c r="U1938" t="s">
        <v>25</v>
      </c>
      <c r="V1938" t="s">
        <v>17176</v>
      </c>
    </row>
    <row r="1939" spans="1:22">
      <c r="A1939" t="s">
        <v>17177</v>
      </c>
      <c r="B1939" t="s">
        <v>17177</v>
      </c>
      <c r="C1939" t="s">
        <v>17178</v>
      </c>
      <c r="D1939" t="s">
        <v>21</v>
      </c>
      <c r="E1939" s="14" t="s">
        <v>16949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17927</v>
      </c>
      <c r="M1939" s="3">
        <v>220</v>
      </c>
      <c r="N1939" t="s">
        <v>16950</v>
      </c>
      <c r="O1939" t="s">
        <v>477</v>
      </c>
      <c r="P1939" t="s">
        <v>17179</v>
      </c>
      <c r="Q1939" t="s">
        <v>25</v>
      </c>
      <c r="R1939" t="s">
        <v>17180</v>
      </c>
      <c r="S1939" t="s">
        <v>477</v>
      </c>
      <c r="T1939" t="s">
        <v>17181</v>
      </c>
      <c r="U1939" t="s">
        <v>25</v>
      </c>
      <c r="V1939" t="s">
        <v>17182</v>
      </c>
    </row>
    <row r="1940" spans="1:22">
      <c r="A1940" t="s">
        <v>17183</v>
      </c>
      <c r="B1940" t="s">
        <v>17183</v>
      </c>
      <c r="C1940" t="s">
        <v>17184</v>
      </c>
      <c r="D1940" t="s">
        <v>21</v>
      </c>
      <c r="E1940" s="14" t="s">
        <v>16949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17927</v>
      </c>
      <c r="M1940" s="3">
        <v>240</v>
      </c>
      <c r="N1940" t="s">
        <v>16950</v>
      </c>
      <c r="O1940" t="s">
        <v>477</v>
      </c>
      <c r="P1940" t="s">
        <v>17185</v>
      </c>
      <c r="Q1940" t="s">
        <v>25</v>
      </c>
      <c r="R1940" t="s">
        <v>17186</v>
      </c>
      <c r="S1940" t="s">
        <v>477</v>
      </c>
      <c r="T1940" t="s">
        <v>17187</v>
      </c>
      <c r="U1940" t="s">
        <v>25</v>
      </c>
      <c r="V1940" t="s">
        <v>17188</v>
      </c>
    </row>
    <row r="1941" spans="1:22">
      <c r="A1941" t="s">
        <v>17189</v>
      </c>
      <c r="B1941" t="s">
        <v>17189</v>
      </c>
      <c r="C1941" t="s">
        <v>17190</v>
      </c>
      <c r="D1941" t="s">
        <v>21</v>
      </c>
      <c r="E1941" s="14" t="s">
        <v>16949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17927</v>
      </c>
      <c r="M1941" s="3">
        <v>270</v>
      </c>
      <c r="N1941" t="s">
        <v>16950</v>
      </c>
      <c r="O1941" t="s">
        <v>477</v>
      </c>
      <c r="P1941" t="s">
        <v>17191</v>
      </c>
      <c r="Q1941" t="s">
        <v>25</v>
      </c>
      <c r="R1941" t="s">
        <v>17192</v>
      </c>
    </row>
    <row r="1942" spans="1:22">
      <c r="A1942" t="s">
        <v>17193</v>
      </c>
      <c r="B1942" t="s">
        <v>17193</v>
      </c>
      <c r="C1942" t="s">
        <v>17194</v>
      </c>
      <c r="D1942" t="s">
        <v>21</v>
      </c>
      <c r="E1942" s="14" t="s">
        <v>16949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17927</v>
      </c>
      <c r="M1942" s="3">
        <v>300</v>
      </c>
      <c r="N1942" t="s">
        <v>16950</v>
      </c>
      <c r="O1942" t="s">
        <v>477</v>
      </c>
      <c r="P1942" t="s">
        <v>17195</v>
      </c>
      <c r="Q1942" t="s">
        <v>25</v>
      </c>
      <c r="R1942" t="s">
        <v>17196</v>
      </c>
      <c r="S1942" t="s">
        <v>477</v>
      </c>
      <c r="T1942" t="s">
        <v>17197</v>
      </c>
      <c r="U1942" t="s">
        <v>25</v>
      </c>
      <c r="V1942" t="s">
        <v>17198</v>
      </c>
    </row>
    <row r="1943" spans="1:22">
      <c r="A1943" t="s">
        <v>17199</v>
      </c>
      <c r="B1943" t="s">
        <v>17199</v>
      </c>
      <c r="C1943" t="s">
        <v>17200</v>
      </c>
      <c r="D1943" t="s">
        <v>21</v>
      </c>
      <c r="E1943" s="14" t="s">
        <v>16949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17927</v>
      </c>
      <c r="M1943" s="3">
        <v>330</v>
      </c>
      <c r="N1943" t="s">
        <v>16950</v>
      </c>
      <c r="O1943" t="s">
        <v>477</v>
      </c>
      <c r="P1943" t="s">
        <v>17201</v>
      </c>
      <c r="Q1943" t="s">
        <v>25</v>
      </c>
      <c r="R1943" t="s">
        <v>17202</v>
      </c>
    </row>
    <row r="1944" spans="1:22">
      <c r="A1944" t="s">
        <v>17203</v>
      </c>
      <c r="B1944" t="s">
        <v>17203</v>
      </c>
      <c r="C1944" t="s">
        <v>17204</v>
      </c>
      <c r="D1944" t="s">
        <v>21</v>
      </c>
      <c r="E1944" s="14" t="s">
        <v>16949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17927</v>
      </c>
      <c r="M1944" s="3">
        <v>360</v>
      </c>
      <c r="N1944" t="s">
        <v>16950</v>
      </c>
      <c r="O1944" t="s">
        <v>477</v>
      </c>
      <c r="P1944" t="s">
        <v>17205</v>
      </c>
      <c r="Q1944" t="s">
        <v>25</v>
      </c>
      <c r="R1944" t="s">
        <v>17206</v>
      </c>
    </row>
    <row r="1945" spans="1:22">
      <c r="A1945" t="s">
        <v>17207</v>
      </c>
      <c r="B1945" t="s">
        <v>17207</v>
      </c>
      <c r="C1945" t="s">
        <v>17208</v>
      </c>
      <c r="D1945" t="s">
        <v>21</v>
      </c>
      <c r="E1945" s="14" t="s">
        <v>16949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17927</v>
      </c>
      <c r="M1945" s="3">
        <v>390</v>
      </c>
      <c r="N1945" t="s">
        <v>16950</v>
      </c>
      <c r="O1945" t="s">
        <v>477</v>
      </c>
      <c r="P1945" t="s">
        <v>17209</v>
      </c>
      <c r="Q1945" t="s">
        <v>25</v>
      </c>
      <c r="R1945" t="s">
        <v>17210</v>
      </c>
      <c r="S1945" t="s">
        <v>477</v>
      </c>
      <c r="T1945" t="s">
        <v>17211</v>
      </c>
      <c r="U1945" t="s">
        <v>25</v>
      </c>
      <c r="V1945" t="s">
        <v>17212</v>
      </c>
    </row>
    <row r="1946" spans="1:22">
      <c r="A1946" t="s">
        <v>17213</v>
      </c>
      <c r="B1946" t="s">
        <v>17213</v>
      </c>
      <c r="C1946" t="s">
        <v>17214</v>
      </c>
      <c r="D1946" t="s">
        <v>21</v>
      </c>
      <c r="E1946" s="14" t="s">
        <v>16949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17927</v>
      </c>
      <c r="M1946" s="3">
        <v>430</v>
      </c>
      <c r="N1946" t="s">
        <v>16950</v>
      </c>
      <c r="O1946" t="s">
        <v>477</v>
      </c>
      <c r="P1946" t="s">
        <v>17215</v>
      </c>
      <c r="Q1946" t="s">
        <v>25</v>
      </c>
      <c r="R1946" t="s">
        <v>17216</v>
      </c>
    </row>
    <row r="1947" spans="1:22">
      <c r="A1947" t="s">
        <v>17217</v>
      </c>
      <c r="B1947" t="s">
        <v>17217</v>
      </c>
      <c r="C1947" t="s">
        <v>17218</v>
      </c>
      <c r="D1947" t="s">
        <v>21</v>
      </c>
      <c r="E1947" s="14" t="s">
        <v>16949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17927</v>
      </c>
      <c r="M1947" s="3">
        <v>470</v>
      </c>
      <c r="N1947" t="s">
        <v>16950</v>
      </c>
      <c r="O1947" t="s">
        <v>477</v>
      </c>
      <c r="P1947" t="s">
        <v>17219</v>
      </c>
      <c r="Q1947" t="s">
        <v>25</v>
      </c>
      <c r="R1947" t="s">
        <v>17220</v>
      </c>
      <c r="S1947" t="s">
        <v>477</v>
      </c>
      <c r="T1947" t="s">
        <v>17221</v>
      </c>
      <c r="U1947" t="s">
        <v>25</v>
      </c>
      <c r="V1947" t="s">
        <v>17222</v>
      </c>
    </row>
    <row r="1948" spans="1:22">
      <c r="A1948" t="s">
        <v>17223</v>
      </c>
      <c r="B1948" t="s">
        <v>17223</v>
      </c>
      <c r="C1948" t="s">
        <v>17224</v>
      </c>
      <c r="D1948" t="s">
        <v>21</v>
      </c>
      <c r="E1948" s="14" t="s">
        <v>16949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17927</v>
      </c>
      <c r="M1948" s="3">
        <v>510</v>
      </c>
      <c r="N1948" t="s">
        <v>16950</v>
      </c>
      <c r="O1948" t="s">
        <v>477</v>
      </c>
      <c r="P1948" t="s">
        <v>17225</v>
      </c>
      <c r="Q1948" t="s">
        <v>25</v>
      </c>
      <c r="R1948" t="s">
        <v>17226</v>
      </c>
    </row>
    <row r="1949" spans="1:22">
      <c r="A1949" t="s">
        <v>17227</v>
      </c>
      <c r="B1949" t="s">
        <v>17227</v>
      </c>
      <c r="C1949" t="s">
        <v>17228</v>
      </c>
      <c r="D1949" t="s">
        <v>21</v>
      </c>
      <c r="E1949" s="14" t="s">
        <v>16949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17927</v>
      </c>
      <c r="M1949" s="3">
        <v>560</v>
      </c>
      <c r="N1949" t="s">
        <v>16950</v>
      </c>
      <c r="O1949" t="s">
        <v>477</v>
      </c>
      <c r="P1949" t="s">
        <v>17229</v>
      </c>
      <c r="Q1949" t="s">
        <v>25</v>
      </c>
      <c r="R1949" t="s">
        <v>17230</v>
      </c>
    </row>
    <row r="1950" spans="1:22">
      <c r="A1950" t="s">
        <v>17231</v>
      </c>
      <c r="B1950" t="s">
        <v>17231</v>
      </c>
      <c r="C1950" t="s">
        <v>17232</v>
      </c>
      <c r="D1950" t="s">
        <v>21</v>
      </c>
      <c r="E1950" s="14" t="s">
        <v>16949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17927</v>
      </c>
      <c r="M1950" s="3">
        <v>620</v>
      </c>
      <c r="N1950" t="s">
        <v>16950</v>
      </c>
      <c r="O1950" t="s">
        <v>477</v>
      </c>
      <c r="P1950" t="s">
        <v>17233</v>
      </c>
      <c r="Q1950" t="s">
        <v>25</v>
      </c>
      <c r="R1950" t="s">
        <v>17234</v>
      </c>
    </row>
    <row r="1951" spans="1:22">
      <c r="A1951" t="s">
        <v>17235</v>
      </c>
      <c r="B1951" t="s">
        <v>17235</v>
      </c>
      <c r="C1951" t="s">
        <v>17236</v>
      </c>
      <c r="D1951" t="s">
        <v>21</v>
      </c>
      <c r="E1951" s="14" t="s">
        <v>16949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17927</v>
      </c>
      <c r="M1951" s="3">
        <v>680</v>
      </c>
      <c r="N1951" t="s">
        <v>16950</v>
      </c>
      <c r="O1951" t="s">
        <v>477</v>
      </c>
      <c r="P1951" t="s">
        <v>17237</v>
      </c>
      <c r="Q1951" t="s">
        <v>25</v>
      </c>
      <c r="R1951" t="s">
        <v>17238</v>
      </c>
    </row>
    <row r="1952" spans="1:22">
      <c r="A1952" t="s">
        <v>17239</v>
      </c>
      <c r="B1952" t="s">
        <v>17239</v>
      </c>
      <c r="C1952" t="s">
        <v>17240</v>
      </c>
      <c r="D1952" t="s">
        <v>21</v>
      </c>
      <c r="E1952" s="14" t="s">
        <v>16949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17927</v>
      </c>
      <c r="M1952" s="3">
        <v>750</v>
      </c>
      <c r="N1952" t="s">
        <v>16950</v>
      </c>
      <c r="O1952" t="s">
        <v>477</v>
      </c>
      <c r="P1952" t="s">
        <v>17241</v>
      </c>
      <c r="Q1952" t="s">
        <v>25</v>
      </c>
      <c r="R1952" t="s">
        <v>17242</v>
      </c>
    </row>
    <row r="1953" spans="1:27">
      <c r="A1953" t="s">
        <v>17243</v>
      </c>
      <c r="B1953" t="s">
        <v>17243</v>
      </c>
      <c r="C1953" t="s">
        <v>17244</v>
      </c>
      <c r="D1953" t="s">
        <v>21</v>
      </c>
      <c r="E1953" s="14" t="s">
        <v>16949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17927</v>
      </c>
      <c r="M1953" s="3">
        <v>820</v>
      </c>
      <c r="N1953" t="s">
        <v>16950</v>
      </c>
      <c r="O1953" t="s">
        <v>477</v>
      </c>
      <c r="P1953" t="s">
        <v>17245</v>
      </c>
      <c r="Q1953" t="s">
        <v>25</v>
      </c>
      <c r="R1953" t="s">
        <v>17246</v>
      </c>
    </row>
    <row r="1954" spans="1:27">
      <c r="A1954" t="s">
        <v>17247</v>
      </c>
      <c r="B1954" t="s">
        <v>17247</v>
      </c>
      <c r="C1954" t="s">
        <v>17248</v>
      </c>
      <c r="D1954" t="s">
        <v>21</v>
      </c>
      <c r="E1954" s="14" t="s">
        <v>16949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17927</v>
      </c>
      <c r="M1954" s="3">
        <v>910</v>
      </c>
      <c r="N1954" t="s">
        <v>16950</v>
      </c>
      <c r="O1954" t="s">
        <v>477</v>
      </c>
      <c r="P1954" t="s">
        <v>17249</v>
      </c>
      <c r="Q1954" t="s">
        <v>25</v>
      </c>
      <c r="R1954" t="s">
        <v>17250</v>
      </c>
    </row>
    <row r="1955" spans="1:27">
      <c r="A1955" t="s">
        <v>17251</v>
      </c>
      <c r="B1955" t="s">
        <v>17251</v>
      </c>
      <c r="C1955" t="s">
        <v>17252</v>
      </c>
      <c r="D1955" t="s">
        <v>21</v>
      </c>
      <c r="E1955" s="14" t="s">
        <v>16949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17927</v>
      </c>
      <c r="M1955" s="3">
        <v>1000</v>
      </c>
      <c r="N1955" t="s">
        <v>16950</v>
      </c>
      <c r="O1955" t="s">
        <v>477</v>
      </c>
      <c r="P1955" t="s">
        <v>17253</v>
      </c>
      <c r="Q1955" t="s">
        <v>25</v>
      </c>
      <c r="R1955" t="s">
        <v>17254</v>
      </c>
      <c r="S1955" t="s">
        <v>477</v>
      </c>
      <c r="T1955" t="s">
        <v>17255</v>
      </c>
      <c r="U1955" t="s">
        <v>25</v>
      </c>
      <c r="V1955" t="s">
        <v>17256</v>
      </c>
      <c r="W1955" t="s">
        <v>477</v>
      </c>
      <c r="X1955" t="s">
        <v>17253</v>
      </c>
      <c r="Y1955" t="s">
        <v>4559</v>
      </c>
      <c r="Z1955" t="s">
        <v>18522</v>
      </c>
      <c r="AA1955" t="s">
        <v>4727</v>
      </c>
    </row>
    <row r="1956" spans="1:27">
      <c r="A1956" t="s">
        <v>17257</v>
      </c>
      <c r="B1956" t="s">
        <v>17257</v>
      </c>
      <c r="C1956" t="s">
        <v>17258</v>
      </c>
      <c r="D1956" t="s">
        <v>21</v>
      </c>
      <c r="E1956" s="14" t="s">
        <v>16949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17927</v>
      </c>
      <c r="M1956" s="3">
        <v>1100</v>
      </c>
      <c r="N1956" t="s">
        <v>16950</v>
      </c>
      <c r="O1956" t="s">
        <v>477</v>
      </c>
      <c r="P1956" t="s">
        <v>17259</v>
      </c>
      <c r="Q1956" t="s">
        <v>25</v>
      </c>
      <c r="R1956" t="s">
        <v>17260</v>
      </c>
      <c r="S1956" t="s">
        <v>477</v>
      </c>
      <c r="T1956" t="s">
        <v>17261</v>
      </c>
      <c r="U1956" t="s">
        <v>25</v>
      </c>
      <c r="V1956" t="s">
        <v>17262</v>
      </c>
    </row>
    <row r="1957" spans="1:27">
      <c r="A1957" t="s">
        <v>17263</v>
      </c>
      <c r="B1957" t="s">
        <v>17263</v>
      </c>
      <c r="C1957" t="s">
        <v>17264</v>
      </c>
      <c r="D1957" t="s">
        <v>21</v>
      </c>
      <c r="E1957" s="14" t="s">
        <v>16949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17927</v>
      </c>
      <c r="M1957" s="3">
        <v>1200</v>
      </c>
      <c r="N1957" t="s">
        <v>16950</v>
      </c>
      <c r="O1957" t="s">
        <v>477</v>
      </c>
      <c r="P1957" t="s">
        <v>17265</v>
      </c>
      <c r="Q1957" t="s">
        <v>25</v>
      </c>
      <c r="R1957" t="s">
        <v>17266</v>
      </c>
      <c r="W1957" t="s">
        <v>477</v>
      </c>
      <c r="X1957" t="s">
        <v>17265</v>
      </c>
      <c r="Y1957" t="s">
        <v>4559</v>
      </c>
      <c r="Z1957" t="s">
        <v>18533</v>
      </c>
      <c r="AA1957" t="s">
        <v>4727</v>
      </c>
    </row>
    <row r="1958" spans="1:27">
      <c r="A1958" t="s">
        <v>17267</v>
      </c>
      <c r="B1958" t="s">
        <v>17267</v>
      </c>
      <c r="C1958" t="s">
        <v>17268</v>
      </c>
      <c r="D1958" t="s">
        <v>21</v>
      </c>
      <c r="E1958" s="14" t="s">
        <v>16949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17927</v>
      </c>
      <c r="M1958" s="3">
        <v>1300</v>
      </c>
      <c r="N1958" t="s">
        <v>16950</v>
      </c>
      <c r="O1958" t="s">
        <v>477</v>
      </c>
      <c r="P1958" t="s">
        <v>17269</v>
      </c>
      <c r="Q1958" t="s">
        <v>25</v>
      </c>
      <c r="R1958" t="s">
        <v>17270</v>
      </c>
    </row>
    <row r="1959" spans="1:27">
      <c r="A1959" t="s">
        <v>17271</v>
      </c>
      <c r="B1959" t="s">
        <v>17271</v>
      </c>
      <c r="C1959" t="s">
        <v>17272</v>
      </c>
      <c r="D1959" t="s">
        <v>21</v>
      </c>
      <c r="E1959" s="14" t="s">
        <v>16949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17927</v>
      </c>
      <c r="M1959" s="3">
        <v>1500</v>
      </c>
      <c r="N1959" t="s">
        <v>16950</v>
      </c>
      <c r="O1959" t="s">
        <v>477</v>
      </c>
      <c r="P1959" t="s">
        <v>17273</v>
      </c>
      <c r="Q1959" t="s">
        <v>25</v>
      </c>
      <c r="R1959" t="s">
        <v>17274</v>
      </c>
      <c r="S1959" t="s">
        <v>477</v>
      </c>
      <c r="T1959" t="s">
        <v>17275</v>
      </c>
      <c r="U1959" t="s">
        <v>25</v>
      </c>
      <c r="V1959" t="s">
        <v>17276</v>
      </c>
      <c r="W1959" t="s">
        <v>477</v>
      </c>
      <c r="X1959" t="s">
        <v>17273</v>
      </c>
      <c r="Y1959" t="s">
        <v>4559</v>
      </c>
      <c r="Z1959" t="s">
        <v>18536</v>
      </c>
      <c r="AA1959" t="s">
        <v>4727</v>
      </c>
    </row>
    <row r="1960" spans="1:27">
      <c r="A1960" t="s">
        <v>17277</v>
      </c>
      <c r="B1960" t="s">
        <v>17277</v>
      </c>
      <c r="C1960" t="s">
        <v>17278</v>
      </c>
      <c r="D1960" t="s">
        <v>21</v>
      </c>
      <c r="E1960" s="14" t="s">
        <v>16949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17927</v>
      </c>
      <c r="M1960" s="3">
        <v>1600</v>
      </c>
      <c r="N1960" t="s">
        <v>16950</v>
      </c>
      <c r="O1960" t="s">
        <v>477</v>
      </c>
      <c r="P1960" t="s">
        <v>17279</v>
      </c>
      <c r="Q1960" t="s">
        <v>25</v>
      </c>
      <c r="R1960" t="s">
        <v>17280</v>
      </c>
    </row>
    <row r="1961" spans="1:27">
      <c r="A1961" t="s">
        <v>17281</v>
      </c>
      <c r="B1961" t="s">
        <v>17281</v>
      </c>
      <c r="C1961" t="s">
        <v>17282</v>
      </c>
      <c r="D1961" t="s">
        <v>21</v>
      </c>
      <c r="E1961" s="14" t="s">
        <v>16949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17927</v>
      </c>
      <c r="M1961" s="3">
        <v>1800</v>
      </c>
      <c r="N1961" t="s">
        <v>16950</v>
      </c>
      <c r="O1961" t="s">
        <v>477</v>
      </c>
      <c r="P1961" t="s">
        <v>17283</v>
      </c>
      <c r="Q1961" t="s">
        <v>25</v>
      </c>
      <c r="R1961" t="s">
        <v>17284</v>
      </c>
    </row>
    <row r="1962" spans="1:27">
      <c r="A1962" t="s">
        <v>17285</v>
      </c>
      <c r="B1962" t="s">
        <v>17285</v>
      </c>
      <c r="C1962" t="s">
        <v>17286</v>
      </c>
      <c r="D1962" t="s">
        <v>21</v>
      </c>
      <c r="E1962" s="14" t="s">
        <v>16949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17927</v>
      </c>
      <c r="M1962" s="3">
        <v>2000</v>
      </c>
      <c r="N1962" t="s">
        <v>16950</v>
      </c>
      <c r="O1962" t="s">
        <v>477</v>
      </c>
      <c r="P1962" t="s">
        <v>17287</v>
      </c>
      <c r="Q1962" t="s">
        <v>25</v>
      </c>
      <c r="R1962" t="s">
        <v>17288</v>
      </c>
      <c r="S1962" t="s">
        <v>477</v>
      </c>
      <c r="T1962" t="s">
        <v>17289</v>
      </c>
      <c r="U1962" t="s">
        <v>25</v>
      </c>
      <c r="V1962" t="s">
        <v>17290</v>
      </c>
      <c r="W1962" t="s">
        <v>477</v>
      </c>
      <c r="X1962" t="s">
        <v>18517</v>
      </c>
      <c r="Y1962" t="s">
        <v>4559</v>
      </c>
      <c r="Z1962" t="s">
        <v>18518</v>
      </c>
      <c r="AA1962" t="s">
        <v>4727</v>
      </c>
    </row>
    <row r="1963" spans="1:27">
      <c r="A1963" t="s">
        <v>17291</v>
      </c>
      <c r="B1963" t="s">
        <v>17291</v>
      </c>
      <c r="C1963" t="s">
        <v>17292</v>
      </c>
      <c r="D1963" t="s">
        <v>21</v>
      </c>
      <c r="E1963" s="14" t="s">
        <v>16949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17927</v>
      </c>
      <c r="M1963" s="3">
        <v>2200</v>
      </c>
      <c r="N1963" t="s">
        <v>16950</v>
      </c>
      <c r="O1963" t="s">
        <v>477</v>
      </c>
      <c r="P1963" t="s">
        <v>17293</v>
      </c>
      <c r="Q1963" t="s">
        <v>25</v>
      </c>
      <c r="R1963" t="s">
        <v>17294</v>
      </c>
      <c r="S1963" t="s">
        <v>477</v>
      </c>
      <c r="T1963" t="s">
        <v>17295</v>
      </c>
      <c r="U1963" t="s">
        <v>25</v>
      </c>
      <c r="V1963" t="s">
        <v>17296</v>
      </c>
    </row>
    <row r="1964" spans="1:27">
      <c r="A1964" t="s">
        <v>17297</v>
      </c>
      <c r="B1964" t="s">
        <v>17297</v>
      </c>
      <c r="C1964" t="s">
        <v>17298</v>
      </c>
      <c r="D1964" t="s">
        <v>21</v>
      </c>
      <c r="E1964" s="14" t="s">
        <v>16949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17927</v>
      </c>
      <c r="M1964" s="3">
        <v>2400</v>
      </c>
      <c r="N1964" t="s">
        <v>16950</v>
      </c>
      <c r="O1964" t="s">
        <v>477</v>
      </c>
      <c r="P1964" t="s">
        <v>17299</v>
      </c>
      <c r="Q1964" t="s">
        <v>25</v>
      </c>
      <c r="R1964" t="s">
        <v>17300</v>
      </c>
    </row>
    <row r="1965" spans="1:27">
      <c r="A1965" t="s">
        <v>17301</v>
      </c>
      <c r="B1965" t="s">
        <v>17301</v>
      </c>
      <c r="C1965" t="s">
        <v>17302</v>
      </c>
      <c r="D1965" t="s">
        <v>21</v>
      </c>
      <c r="E1965" s="14" t="s">
        <v>16949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17927</v>
      </c>
      <c r="M1965" s="3">
        <v>2700</v>
      </c>
      <c r="N1965" t="s">
        <v>16950</v>
      </c>
      <c r="O1965" t="s">
        <v>477</v>
      </c>
      <c r="P1965" t="s">
        <v>17303</v>
      </c>
      <c r="Q1965" t="s">
        <v>25</v>
      </c>
      <c r="R1965" t="s">
        <v>17304</v>
      </c>
    </row>
    <row r="1966" spans="1:27">
      <c r="A1966" t="s">
        <v>17305</v>
      </c>
      <c r="B1966" t="s">
        <v>17305</v>
      </c>
      <c r="C1966" t="s">
        <v>17306</v>
      </c>
      <c r="D1966" t="s">
        <v>21</v>
      </c>
      <c r="E1966" s="14" t="s">
        <v>16949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17927</v>
      </c>
      <c r="M1966" s="3">
        <v>3000</v>
      </c>
      <c r="N1966" t="s">
        <v>16950</v>
      </c>
      <c r="O1966" t="s">
        <v>477</v>
      </c>
      <c r="P1966" t="s">
        <v>17307</v>
      </c>
      <c r="Q1966" t="s">
        <v>25</v>
      </c>
      <c r="R1966" t="s">
        <v>17308</v>
      </c>
    </row>
    <row r="1967" spans="1:27">
      <c r="A1967" t="s">
        <v>17309</v>
      </c>
      <c r="B1967" t="s">
        <v>17309</v>
      </c>
      <c r="C1967" t="s">
        <v>17310</v>
      </c>
      <c r="D1967" t="s">
        <v>21</v>
      </c>
      <c r="E1967" s="14" t="s">
        <v>16949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17927</v>
      </c>
      <c r="M1967" s="3">
        <v>3300</v>
      </c>
      <c r="N1967" t="s">
        <v>16950</v>
      </c>
      <c r="O1967" t="s">
        <v>477</v>
      </c>
      <c r="P1967" t="s">
        <v>17311</v>
      </c>
      <c r="Q1967" t="s">
        <v>25</v>
      </c>
      <c r="R1967" t="s">
        <v>17312</v>
      </c>
      <c r="S1967" t="s">
        <v>477</v>
      </c>
      <c r="T1967" t="s">
        <v>17313</v>
      </c>
      <c r="U1967" t="s">
        <v>25</v>
      </c>
      <c r="V1967" t="s">
        <v>17314</v>
      </c>
    </row>
    <row r="1968" spans="1:27">
      <c r="A1968" t="s">
        <v>17315</v>
      </c>
      <c r="B1968" t="s">
        <v>17315</v>
      </c>
      <c r="C1968" t="s">
        <v>17316</v>
      </c>
      <c r="D1968" t="s">
        <v>21</v>
      </c>
      <c r="E1968" s="14" t="s">
        <v>16949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17927</v>
      </c>
      <c r="M1968" s="3">
        <v>3600</v>
      </c>
      <c r="N1968" t="s">
        <v>16950</v>
      </c>
      <c r="O1968" t="s">
        <v>477</v>
      </c>
      <c r="P1968" t="s">
        <v>17317</v>
      </c>
      <c r="Q1968" t="s">
        <v>25</v>
      </c>
      <c r="R1968" t="s">
        <v>17318</v>
      </c>
    </row>
    <row r="1969" spans="1:27">
      <c r="A1969" t="s">
        <v>17319</v>
      </c>
      <c r="B1969" t="s">
        <v>17319</v>
      </c>
      <c r="C1969" t="s">
        <v>17320</v>
      </c>
      <c r="D1969" t="s">
        <v>21</v>
      </c>
      <c r="E1969" s="14" t="s">
        <v>16949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17927</v>
      </c>
      <c r="M1969" s="3">
        <v>3900</v>
      </c>
      <c r="N1969" t="s">
        <v>16950</v>
      </c>
      <c r="O1969" t="s">
        <v>477</v>
      </c>
      <c r="P1969" t="s">
        <v>17321</v>
      </c>
      <c r="Q1969" t="s">
        <v>25</v>
      </c>
      <c r="R1969" t="s">
        <v>17322</v>
      </c>
    </row>
    <row r="1970" spans="1:27">
      <c r="A1970" t="s">
        <v>17323</v>
      </c>
      <c r="B1970" t="s">
        <v>17323</v>
      </c>
      <c r="C1970" t="s">
        <v>17324</v>
      </c>
      <c r="D1970" t="s">
        <v>21</v>
      </c>
      <c r="E1970" s="14" t="s">
        <v>16949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17927</v>
      </c>
      <c r="M1970" s="3">
        <v>4300</v>
      </c>
      <c r="N1970" t="s">
        <v>16950</v>
      </c>
      <c r="O1970" t="s">
        <v>477</v>
      </c>
      <c r="P1970" t="s">
        <v>17325</v>
      </c>
      <c r="Q1970" t="s">
        <v>25</v>
      </c>
      <c r="R1970" t="s">
        <v>17326</v>
      </c>
    </row>
    <row r="1971" spans="1:27">
      <c r="A1971" t="s">
        <v>17327</v>
      </c>
      <c r="B1971" t="s">
        <v>17327</v>
      </c>
      <c r="C1971" t="s">
        <v>17328</v>
      </c>
      <c r="D1971" t="s">
        <v>21</v>
      </c>
      <c r="E1971" s="14" t="s">
        <v>16949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17927</v>
      </c>
      <c r="M1971" s="3">
        <v>4700</v>
      </c>
      <c r="N1971" t="s">
        <v>16950</v>
      </c>
      <c r="O1971" t="s">
        <v>477</v>
      </c>
      <c r="P1971" t="s">
        <v>17329</v>
      </c>
      <c r="Q1971" t="s">
        <v>25</v>
      </c>
      <c r="R1971" t="s">
        <v>17330</v>
      </c>
      <c r="S1971" t="s">
        <v>477</v>
      </c>
      <c r="T1971" t="s">
        <v>17331</v>
      </c>
      <c r="U1971" t="s">
        <v>25</v>
      </c>
      <c r="V1971" t="s">
        <v>17332</v>
      </c>
    </row>
    <row r="1972" spans="1:27">
      <c r="A1972" t="s">
        <v>17333</v>
      </c>
      <c r="B1972" t="s">
        <v>17333</v>
      </c>
      <c r="C1972" t="s">
        <v>17334</v>
      </c>
      <c r="D1972" t="s">
        <v>21</v>
      </c>
      <c r="E1972" s="14" t="s">
        <v>16949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17927</v>
      </c>
      <c r="M1972" s="3">
        <v>5100</v>
      </c>
      <c r="N1972" t="s">
        <v>16950</v>
      </c>
      <c r="O1972" t="s">
        <v>477</v>
      </c>
      <c r="P1972" t="s">
        <v>17335</v>
      </c>
      <c r="Q1972" t="s">
        <v>25</v>
      </c>
      <c r="R1972" t="s">
        <v>17336</v>
      </c>
      <c r="S1972" t="s">
        <v>477</v>
      </c>
      <c r="T1972" t="s">
        <v>17337</v>
      </c>
      <c r="U1972" t="s">
        <v>25</v>
      </c>
      <c r="V1972" t="s">
        <v>17338</v>
      </c>
    </row>
    <row r="1973" spans="1:27">
      <c r="A1973" t="s">
        <v>17339</v>
      </c>
      <c r="B1973" t="s">
        <v>17339</v>
      </c>
      <c r="C1973" t="s">
        <v>17340</v>
      </c>
      <c r="D1973" t="s">
        <v>21</v>
      </c>
      <c r="E1973" s="14" t="s">
        <v>16949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17927</v>
      </c>
      <c r="M1973" s="3">
        <v>5600</v>
      </c>
      <c r="N1973" t="s">
        <v>16950</v>
      </c>
      <c r="O1973" t="s">
        <v>477</v>
      </c>
      <c r="P1973" t="s">
        <v>17341</v>
      </c>
      <c r="Q1973" t="s">
        <v>25</v>
      </c>
      <c r="R1973" t="s">
        <v>17342</v>
      </c>
      <c r="S1973" t="s">
        <v>477</v>
      </c>
      <c r="T1973" t="s">
        <v>17343</v>
      </c>
      <c r="U1973" t="s">
        <v>25</v>
      </c>
      <c r="V1973" t="s">
        <v>17344</v>
      </c>
    </row>
    <row r="1974" spans="1:27">
      <c r="A1974" t="s">
        <v>17345</v>
      </c>
      <c r="B1974" t="s">
        <v>17345</v>
      </c>
      <c r="C1974" t="s">
        <v>17346</v>
      </c>
      <c r="D1974" t="s">
        <v>21</v>
      </c>
      <c r="E1974" s="14" t="s">
        <v>16949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17927</v>
      </c>
      <c r="M1974" s="3">
        <v>6200</v>
      </c>
      <c r="N1974" t="s">
        <v>16950</v>
      </c>
      <c r="O1974" t="s">
        <v>477</v>
      </c>
      <c r="P1974" t="s">
        <v>17347</v>
      </c>
      <c r="Q1974" t="s">
        <v>25</v>
      </c>
      <c r="R1974" t="s">
        <v>17348</v>
      </c>
    </row>
    <row r="1975" spans="1:27">
      <c r="A1975" t="s">
        <v>17349</v>
      </c>
      <c r="B1975" t="s">
        <v>17349</v>
      </c>
      <c r="C1975" t="s">
        <v>17350</v>
      </c>
      <c r="D1975" t="s">
        <v>21</v>
      </c>
      <c r="E1975" s="14" t="s">
        <v>16949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17927</v>
      </c>
      <c r="M1975" s="3">
        <v>6800</v>
      </c>
      <c r="N1975" t="s">
        <v>16950</v>
      </c>
      <c r="O1975" t="s">
        <v>477</v>
      </c>
      <c r="P1975" t="s">
        <v>17351</v>
      </c>
      <c r="Q1975" t="s">
        <v>25</v>
      </c>
      <c r="R1975" t="s">
        <v>17352</v>
      </c>
      <c r="W1975" t="s">
        <v>477</v>
      </c>
      <c r="X1975" t="s">
        <v>17351</v>
      </c>
      <c r="Y1975" t="s">
        <v>4559</v>
      </c>
      <c r="Z1975" t="s">
        <v>18535</v>
      </c>
      <c r="AA1975" t="s">
        <v>4727</v>
      </c>
    </row>
    <row r="1976" spans="1:27">
      <c r="A1976" t="s">
        <v>17353</v>
      </c>
      <c r="B1976" t="s">
        <v>17353</v>
      </c>
      <c r="C1976" t="s">
        <v>17354</v>
      </c>
      <c r="D1976" t="s">
        <v>21</v>
      </c>
      <c r="E1976" s="14" t="s">
        <v>16949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17927</v>
      </c>
      <c r="M1976" s="3">
        <v>7500</v>
      </c>
      <c r="N1976" t="s">
        <v>16950</v>
      </c>
      <c r="O1976" t="s">
        <v>477</v>
      </c>
      <c r="P1976" t="s">
        <v>17355</v>
      </c>
      <c r="Q1976" t="s">
        <v>25</v>
      </c>
      <c r="R1976" t="s">
        <v>17356</v>
      </c>
      <c r="W1976" t="s">
        <v>477</v>
      </c>
      <c r="X1976" t="s">
        <v>17355</v>
      </c>
      <c r="Y1976" t="s">
        <v>4559</v>
      </c>
      <c r="Z1976" t="s">
        <v>18534</v>
      </c>
      <c r="AA1976" t="s">
        <v>4727</v>
      </c>
    </row>
    <row r="1977" spans="1:27">
      <c r="A1977" t="s">
        <v>17357</v>
      </c>
      <c r="B1977" t="s">
        <v>17357</v>
      </c>
      <c r="C1977" t="s">
        <v>17358</v>
      </c>
      <c r="D1977" t="s">
        <v>21</v>
      </c>
      <c r="E1977" s="14" t="s">
        <v>16949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17927</v>
      </c>
      <c r="M1977" s="3">
        <v>8200</v>
      </c>
      <c r="N1977" t="s">
        <v>16950</v>
      </c>
      <c r="O1977" t="s">
        <v>477</v>
      </c>
      <c r="P1977" t="s">
        <v>17359</v>
      </c>
      <c r="Q1977" t="s">
        <v>25</v>
      </c>
      <c r="R1977" t="s">
        <v>17360</v>
      </c>
    </row>
    <row r="1978" spans="1:27">
      <c r="A1978" t="s">
        <v>17361</v>
      </c>
      <c r="B1978" t="s">
        <v>17361</v>
      </c>
      <c r="C1978" t="s">
        <v>17362</v>
      </c>
      <c r="D1978" t="s">
        <v>21</v>
      </c>
      <c r="E1978" s="14" t="s">
        <v>16949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17927</v>
      </c>
      <c r="M1978" s="3">
        <v>9100</v>
      </c>
      <c r="N1978" t="s">
        <v>16950</v>
      </c>
      <c r="O1978" t="s">
        <v>477</v>
      </c>
      <c r="P1978" t="s">
        <v>17363</v>
      </c>
      <c r="Q1978" t="s">
        <v>25</v>
      </c>
      <c r="R1978" t="s">
        <v>17364</v>
      </c>
    </row>
    <row r="1979" spans="1:27">
      <c r="A1979" t="s">
        <v>17365</v>
      </c>
      <c r="B1979" t="s">
        <v>17365</v>
      </c>
      <c r="C1979" t="s">
        <v>17366</v>
      </c>
      <c r="D1979" t="s">
        <v>21</v>
      </c>
      <c r="E1979" s="14" t="s">
        <v>16949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17927</v>
      </c>
      <c r="M1979" s="3">
        <v>10000</v>
      </c>
      <c r="N1979" t="s">
        <v>16950</v>
      </c>
      <c r="O1979" t="s">
        <v>477</v>
      </c>
      <c r="P1979" t="s">
        <v>17367</v>
      </c>
      <c r="Q1979" t="s">
        <v>25</v>
      </c>
      <c r="R1979" t="s">
        <v>17368</v>
      </c>
      <c r="S1979" t="s">
        <v>477</v>
      </c>
      <c r="T1979" t="s">
        <v>17369</v>
      </c>
      <c r="U1979" t="s">
        <v>25</v>
      </c>
      <c r="V1979" t="s">
        <v>17370</v>
      </c>
      <c r="W1979" t="s">
        <v>477</v>
      </c>
      <c r="X1979" t="s">
        <v>17367</v>
      </c>
      <c r="Y1979" t="s">
        <v>4559</v>
      </c>
      <c r="Z1979" t="s">
        <v>18524</v>
      </c>
      <c r="AA1979" t="s">
        <v>4727</v>
      </c>
    </row>
    <row r="1980" spans="1:27">
      <c r="A1980" t="s">
        <v>17371</v>
      </c>
      <c r="B1980" t="s">
        <v>17371</v>
      </c>
      <c r="C1980" t="s">
        <v>17372</v>
      </c>
      <c r="D1980" t="s">
        <v>21</v>
      </c>
      <c r="E1980" s="14" t="s">
        <v>16949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17927</v>
      </c>
      <c r="M1980" s="3">
        <v>11000</v>
      </c>
      <c r="N1980" t="s">
        <v>16950</v>
      </c>
      <c r="O1980" t="s">
        <v>477</v>
      </c>
      <c r="P1980" t="s">
        <v>17373</v>
      </c>
      <c r="Q1980" t="s">
        <v>25</v>
      </c>
      <c r="R1980" t="s">
        <v>17374</v>
      </c>
      <c r="W1980" t="s">
        <v>477</v>
      </c>
      <c r="X1980" t="s">
        <v>17373</v>
      </c>
      <c r="Y1980" t="s">
        <v>4559</v>
      </c>
      <c r="Z1980" t="s">
        <v>18537</v>
      </c>
      <c r="AA1980" t="s">
        <v>4727</v>
      </c>
    </row>
    <row r="1981" spans="1:27">
      <c r="A1981" t="s">
        <v>17375</v>
      </c>
      <c r="B1981" t="s">
        <v>17375</v>
      </c>
      <c r="C1981" t="s">
        <v>17376</v>
      </c>
      <c r="D1981" t="s">
        <v>21</v>
      </c>
      <c r="E1981" s="14" t="s">
        <v>16949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17927</v>
      </c>
      <c r="M1981" s="3">
        <v>12000</v>
      </c>
      <c r="N1981" t="s">
        <v>16950</v>
      </c>
      <c r="O1981" t="s">
        <v>477</v>
      </c>
      <c r="P1981" t="s">
        <v>17377</v>
      </c>
      <c r="Q1981" t="s">
        <v>25</v>
      </c>
      <c r="R1981" t="s">
        <v>17378</v>
      </c>
    </row>
    <row r="1982" spans="1:27">
      <c r="A1982" t="s">
        <v>17379</v>
      </c>
      <c r="B1982" t="s">
        <v>17379</v>
      </c>
      <c r="C1982" t="s">
        <v>17380</v>
      </c>
      <c r="D1982" t="s">
        <v>21</v>
      </c>
      <c r="E1982" s="14" t="s">
        <v>16949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17927</v>
      </c>
      <c r="M1982" s="3">
        <v>13000</v>
      </c>
      <c r="N1982" t="s">
        <v>16950</v>
      </c>
      <c r="O1982" t="s">
        <v>477</v>
      </c>
      <c r="P1982" t="s">
        <v>17381</v>
      </c>
      <c r="Q1982" t="s">
        <v>25</v>
      </c>
      <c r="R1982" t="s">
        <v>17382</v>
      </c>
    </row>
    <row r="1983" spans="1:27">
      <c r="A1983" t="s">
        <v>17383</v>
      </c>
      <c r="B1983" t="s">
        <v>17383</v>
      </c>
      <c r="C1983" t="s">
        <v>17384</v>
      </c>
      <c r="D1983" t="s">
        <v>21</v>
      </c>
      <c r="E1983" s="14" t="s">
        <v>16949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17927</v>
      </c>
      <c r="M1983" s="3">
        <v>15000</v>
      </c>
      <c r="N1983" t="s">
        <v>16950</v>
      </c>
      <c r="O1983" t="s">
        <v>477</v>
      </c>
      <c r="P1983" t="s">
        <v>17385</v>
      </c>
      <c r="Q1983" t="s">
        <v>25</v>
      </c>
      <c r="R1983" t="s">
        <v>17386</v>
      </c>
      <c r="S1983" t="s">
        <v>477</v>
      </c>
      <c r="T1983" t="s">
        <v>17387</v>
      </c>
      <c r="U1983" t="s">
        <v>25</v>
      </c>
      <c r="V1983" t="s">
        <v>17388</v>
      </c>
      <c r="W1983" t="s">
        <v>477</v>
      </c>
      <c r="X1983" t="s">
        <v>17385</v>
      </c>
      <c r="Y1983" t="s">
        <v>4559</v>
      </c>
      <c r="Z1983" t="s">
        <v>18538</v>
      </c>
      <c r="AA1983" t="s">
        <v>4727</v>
      </c>
    </row>
    <row r="1984" spans="1:27">
      <c r="A1984" t="s">
        <v>17389</v>
      </c>
      <c r="B1984" t="s">
        <v>17389</v>
      </c>
      <c r="C1984" t="s">
        <v>17390</v>
      </c>
      <c r="D1984" t="s">
        <v>21</v>
      </c>
      <c r="E1984" s="14" t="s">
        <v>16949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17927</v>
      </c>
      <c r="M1984" s="3">
        <v>16000</v>
      </c>
      <c r="N1984" t="s">
        <v>16950</v>
      </c>
      <c r="O1984" t="s">
        <v>477</v>
      </c>
      <c r="P1984" t="s">
        <v>17391</v>
      </c>
      <c r="Q1984" t="s">
        <v>25</v>
      </c>
      <c r="R1984" t="s">
        <v>17392</v>
      </c>
    </row>
    <row r="1985" spans="1:27">
      <c r="A1985" t="s">
        <v>17393</v>
      </c>
      <c r="B1985" t="s">
        <v>17393</v>
      </c>
      <c r="C1985" t="s">
        <v>17394</v>
      </c>
      <c r="D1985" t="s">
        <v>21</v>
      </c>
      <c r="E1985" s="14" t="s">
        <v>16949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17927</v>
      </c>
      <c r="M1985" s="3">
        <v>18000</v>
      </c>
      <c r="N1985" t="s">
        <v>16950</v>
      </c>
      <c r="O1985" t="s">
        <v>477</v>
      </c>
      <c r="P1985" t="s">
        <v>17395</v>
      </c>
      <c r="Q1985" t="s">
        <v>25</v>
      </c>
      <c r="R1985" t="s">
        <v>17396</v>
      </c>
    </row>
    <row r="1986" spans="1:27">
      <c r="A1986" t="s">
        <v>17397</v>
      </c>
      <c r="B1986" t="s">
        <v>17397</v>
      </c>
      <c r="C1986" t="s">
        <v>17398</v>
      </c>
      <c r="D1986" t="s">
        <v>21</v>
      </c>
      <c r="E1986" s="14" t="s">
        <v>16949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17927</v>
      </c>
      <c r="M1986" s="3">
        <v>20000</v>
      </c>
      <c r="N1986" t="s">
        <v>16950</v>
      </c>
      <c r="O1986" t="s">
        <v>477</v>
      </c>
      <c r="P1986" t="s">
        <v>17399</v>
      </c>
      <c r="Q1986" t="s">
        <v>25</v>
      </c>
      <c r="R1986" t="s">
        <v>17400</v>
      </c>
      <c r="S1986" t="s">
        <v>477</v>
      </c>
      <c r="T1986" t="s">
        <v>17401</v>
      </c>
      <c r="U1986" t="s">
        <v>25</v>
      </c>
      <c r="V1986" t="s">
        <v>17402</v>
      </c>
    </row>
    <row r="1987" spans="1:27">
      <c r="A1987" t="s">
        <v>17403</v>
      </c>
      <c r="B1987" t="s">
        <v>17403</v>
      </c>
      <c r="C1987" t="s">
        <v>17404</v>
      </c>
      <c r="D1987" t="s">
        <v>21</v>
      </c>
      <c r="E1987" s="14" t="s">
        <v>16949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17927</v>
      </c>
      <c r="M1987" s="3">
        <v>22000</v>
      </c>
      <c r="N1987" t="s">
        <v>16950</v>
      </c>
      <c r="O1987" t="s">
        <v>477</v>
      </c>
      <c r="P1987" t="s">
        <v>17405</v>
      </c>
      <c r="Q1987" t="s">
        <v>25</v>
      </c>
      <c r="R1987" t="s">
        <v>17406</v>
      </c>
      <c r="S1987" t="s">
        <v>477</v>
      </c>
      <c r="T1987" t="s">
        <v>17407</v>
      </c>
      <c r="U1987" t="s">
        <v>25</v>
      </c>
      <c r="V1987" t="s">
        <v>17408</v>
      </c>
      <c r="W1987" t="s">
        <v>477</v>
      </c>
      <c r="X1987" t="s">
        <v>17405</v>
      </c>
      <c r="Y1987" t="s">
        <v>4559</v>
      </c>
      <c r="Z1987" t="s">
        <v>18523</v>
      </c>
      <c r="AA1987" t="s">
        <v>4727</v>
      </c>
    </row>
    <row r="1988" spans="1:27">
      <c r="A1988" t="s">
        <v>17409</v>
      </c>
      <c r="B1988" t="s">
        <v>17409</v>
      </c>
      <c r="C1988" t="s">
        <v>17410</v>
      </c>
      <c r="D1988" t="s">
        <v>21</v>
      </c>
      <c r="E1988" s="14" t="s">
        <v>16949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17927</v>
      </c>
      <c r="M1988" s="3">
        <v>24000</v>
      </c>
      <c r="N1988" t="s">
        <v>16950</v>
      </c>
      <c r="O1988" t="s">
        <v>477</v>
      </c>
      <c r="P1988" t="s">
        <v>17411</v>
      </c>
      <c r="Q1988" t="s">
        <v>25</v>
      </c>
      <c r="R1988" t="s">
        <v>17412</v>
      </c>
    </row>
    <row r="1989" spans="1:27">
      <c r="A1989" t="s">
        <v>17413</v>
      </c>
      <c r="B1989" t="s">
        <v>17413</v>
      </c>
      <c r="C1989" t="s">
        <v>17414</v>
      </c>
      <c r="D1989" t="s">
        <v>21</v>
      </c>
      <c r="E1989" s="14" t="s">
        <v>16949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17927</v>
      </c>
      <c r="M1989" s="3">
        <v>27000</v>
      </c>
      <c r="N1989" t="s">
        <v>16950</v>
      </c>
      <c r="O1989" t="s">
        <v>477</v>
      </c>
      <c r="P1989" t="s">
        <v>17415</v>
      </c>
      <c r="Q1989" t="s">
        <v>25</v>
      </c>
      <c r="R1989" t="s">
        <v>17416</v>
      </c>
      <c r="S1989" t="s">
        <v>477</v>
      </c>
      <c r="T1989" t="s">
        <v>17417</v>
      </c>
      <c r="U1989" t="s">
        <v>25</v>
      </c>
      <c r="V1989" t="s">
        <v>17418</v>
      </c>
    </row>
    <row r="1990" spans="1:27">
      <c r="A1990" t="s">
        <v>17419</v>
      </c>
      <c r="B1990" t="s">
        <v>17419</v>
      </c>
      <c r="C1990" t="s">
        <v>17420</v>
      </c>
      <c r="D1990" t="s">
        <v>21</v>
      </c>
      <c r="E1990" s="14" t="s">
        <v>16949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17927</v>
      </c>
      <c r="M1990" s="3">
        <v>30000</v>
      </c>
      <c r="N1990" t="s">
        <v>16950</v>
      </c>
      <c r="O1990" t="s">
        <v>477</v>
      </c>
      <c r="P1990" t="s">
        <v>17421</v>
      </c>
      <c r="Q1990" t="s">
        <v>25</v>
      </c>
      <c r="R1990" t="s">
        <v>17422</v>
      </c>
      <c r="S1990" t="s">
        <v>477</v>
      </c>
      <c r="T1990" t="s">
        <v>17423</v>
      </c>
      <c r="U1990" t="s">
        <v>25</v>
      </c>
      <c r="V1990" t="s">
        <v>17424</v>
      </c>
    </row>
    <row r="1991" spans="1:27">
      <c r="A1991" t="s">
        <v>17425</v>
      </c>
      <c r="B1991" t="s">
        <v>17425</v>
      </c>
      <c r="C1991" t="s">
        <v>17426</v>
      </c>
      <c r="D1991" t="s">
        <v>21</v>
      </c>
      <c r="E1991" s="14" t="s">
        <v>16949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17927</v>
      </c>
      <c r="M1991" s="3">
        <v>33000</v>
      </c>
      <c r="N1991" t="s">
        <v>16950</v>
      </c>
      <c r="O1991" t="s">
        <v>477</v>
      </c>
      <c r="P1991" t="s">
        <v>17427</v>
      </c>
      <c r="Q1991" t="s">
        <v>25</v>
      </c>
      <c r="R1991" t="s">
        <v>17428</v>
      </c>
      <c r="S1991" t="s">
        <v>477</v>
      </c>
      <c r="T1991" t="s">
        <v>17429</v>
      </c>
      <c r="U1991" t="s">
        <v>25</v>
      </c>
      <c r="V1991" t="s">
        <v>17430</v>
      </c>
    </row>
    <row r="1992" spans="1:27">
      <c r="A1992" t="s">
        <v>17431</v>
      </c>
      <c r="B1992" t="s">
        <v>17431</v>
      </c>
      <c r="C1992" t="s">
        <v>17432</v>
      </c>
      <c r="D1992" t="s">
        <v>21</v>
      </c>
      <c r="E1992" s="14" t="s">
        <v>16949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17927</v>
      </c>
      <c r="M1992" s="3">
        <v>36000</v>
      </c>
      <c r="N1992" t="s">
        <v>16950</v>
      </c>
      <c r="O1992" t="s">
        <v>477</v>
      </c>
      <c r="P1992" t="s">
        <v>17433</v>
      </c>
      <c r="Q1992" t="s">
        <v>25</v>
      </c>
      <c r="R1992" t="s">
        <v>17434</v>
      </c>
    </row>
    <row r="1993" spans="1:27">
      <c r="A1993" t="s">
        <v>17435</v>
      </c>
      <c r="B1993" t="s">
        <v>17435</v>
      </c>
      <c r="C1993" t="s">
        <v>17436</v>
      </c>
      <c r="D1993" t="s">
        <v>21</v>
      </c>
      <c r="E1993" s="14" t="s">
        <v>16949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17927</v>
      </c>
      <c r="M1993" s="3">
        <v>39000</v>
      </c>
      <c r="N1993" t="s">
        <v>16950</v>
      </c>
      <c r="O1993" t="s">
        <v>477</v>
      </c>
      <c r="P1993" t="s">
        <v>17437</v>
      </c>
      <c r="Q1993" t="s">
        <v>25</v>
      </c>
      <c r="R1993" t="s">
        <v>17438</v>
      </c>
      <c r="S1993" t="s">
        <v>477</v>
      </c>
      <c r="T1993" t="s">
        <v>17439</v>
      </c>
      <c r="U1993" t="s">
        <v>25</v>
      </c>
      <c r="V1993" t="s">
        <v>17440</v>
      </c>
    </row>
    <row r="1994" spans="1:27">
      <c r="A1994" t="s">
        <v>17441</v>
      </c>
      <c r="B1994" t="s">
        <v>17441</v>
      </c>
      <c r="C1994" t="s">
        <v>17442</v>
      </c>
      <c r="D1994" t="s">
        <v>21</v>
      </c>
      <c r="E1994" s="14" t="s">
        <v>16949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17927</v>
      </c>
      <c r="M1994" s="3">
        <v>43000</v>
      </c>
      <c r="N1994" t="s">
        <v>16950</v>
      </c>
      <c r="O1994" t="s">
        <v>477</v>
      </c>
      <c r="P1994" t="s">
        <v>17443</v>
      </c>
      <c r="Q1994" t="s">
        <v>25</v>
      </c>
      <c r="R1994" t="s">
        <v>17444</v>
      </c>
    </row>
    <row r="1995" spans="1:27">
      <c r="A1995" t="s">
        <v>17445</v>
      </c>
      <c r="B1995" t="s">
        <v>17445</v>
      </c>
      <c r="C1995" t="s">
        <v>17446</v>
      </c>
      <c r="D1995" t="s">
        <v>21</v>
      </c>
      <c r="E1995" s="14" t="s">
        <v>16949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17927</v>
      </c>
      <c r="M1995" s="3">
        <v>47000</v>
      </c>
      <c r="N1995" t="s">
        <v>16950</v>
      </c>
      <c r="O1995" t="s">
        <v>477</v>
      </c>
      <c r="P1995" t="s">
        <v>17447</v>
      </c>
      <c r="Q1995" t="s">
        <v>25</v>
      </c>
      <c r="R1995" t="s">
        <v>17448</v>
      </c>
      <c r="S1995" t="s">
        <v>477</v>
      </c>
      <c r="T1995" t="s">
        <v>17449</v>
      </c>
      <c r="U1995" t="s">
        <v>25</v>
      </c>
      <c r="V1995" t="s">
        <v>17450</v>
      </c>
    </row>
    <row r="1996" spans="1:27">
      <c r="A1996" t="s">
        <v>17451</v>
      </c>
      <c r="B1996" t="s">
        <v>17451</v>
      </c>
      <c r="C1996" t="s">
        <v>17452</v>
      </c>
      <c r="D1996" t="s">
        <v>21</v>
      </c>
      <c r="E1996" s="14" t="s">
        <v>16949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17927</v>
      </c>
      <c r="M1996" s="3">
        <v>51000</v>
      </c>
      <c r="N1996" t="s">
        <v>16950</v>
      </c>
      <c r="O1996" t="s">
        <v>477</v>
      </c>
      <c r="P1996" t="s">
        <v>17453</v>
      </c>
      <c r="Q1996" t="s">
        <v>25</v>
      </c>
      <c r="R1996" t="s">
        <v>17454</v>
      </c>
      <c r="S1996" t="s">
        <v>477</v>
      </c>
      <c r="T1996" t="s">
        <v>17455</v>
      </c>
      <c r="U1996" t="s">
        <v>25</v>
      </c>
      <c r="V1996" t="s">
        <v>17456</v>
      </c>
    </row>
    <row r="1997" spans="1:27">
      <c r="A1997" t="s">
        <v>17457</v>
      </c>
      <c r="B1997" t="s">
        <v>17457</v>
      </c>
      <c r="C1997" t="s">
        <v>17458</v>
      </c>
      <c r="D1997" t="s">
        <v>21</v>
      </c>
      <c r="E1997" s="14" t="s">
        <v>16949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17927</v>
      </c>
      <c r="M1997" s="3">
        <v>56000</v>
      </c>
      <c r="N1997" t="s">
        <v>16950</v>
      </c>
      <c r="O1997" t="s">
        <v>477</v>
      </c>
      <c r="P1997" t="s">
        <v>17459</v>
      </c>
      <c r="Q1997" t="s">
        <v>25</v>
      </c>
      <c r="R1997" t="s">
        <v>17460</v>
      </c>
      <c r="S1997" t="s">
        <v>477</v>
      </c>
      <c r="T1997" t="s">
        <v>17461</v>
      </c>
      <c r="U1997" t="s">
        <v>25</v>
      </c>
      <c r="V1997" t="s">
        <v>17462</v>
      </c>
    </row>
    <row r="1998" spans="1:27">
      <c r="A1998" t="s">
        <v>17463</v>
      </c>
      <c r="B1998" t="s">
        <v>17463</v>
      </c>
      <c r="C1998" t="s">
        <v>17464</v>
      </c>
      <c r="D1998" t="s">
        <v>21</v>
      </c>
      <c r="E1998" s="14" t="s">
        <v>16949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17927</v>
      </c>
      <c r="M1998" s="3">
        <v>62000</v>
      </c>
      <c r="N1998" t="s">
        <v>16950</v>
      </c>
      <c r="O1998" t="s">
        <v>477</v>
      </c>
      <c r="P1998" t="s">
        <v>17465</v>
      </c>
      <c r="Q1998" t="s">
        <v>25</v>
      </c>
      <c r="R1998" t="s">
        <v>17466</v>
      </c>
    </row>
    <row r="1999" spans="1:27">
      <c r="A1999" t="s">
        <v>17467</v>
      </c>
      <c r="B1999" t="s">
        <v>17467</v>
      </c>
      <c r="C1999" t="s">
        <v>17468</v>
      </c>
      <c r="D1999" t="s">
        <v>21</v>
      </c>
      <c r="E1999" s="14" t="s">
        <v>16949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17927</v>
      </c>
      <c r="M1999" s="3">
        <v>68000</v>
      </c>
      <c r="N1999" t="s">
        <v>16950</v>
      </c>
      <c r="O1999" t="s">
        <v>477</v>
      </c>
      <c r="P1999" t="s">
        <v>17469</v>
      </c>
      <c r="Q1999" t="s">
        <v>25</v>
      </c>
      <c r="R1999" t="s">
        <v>17470</v>
      </c>
      <c r="S1999" t="s">
        <v>477</v>
      </c>
      <c r="T1999" t="s">
        <v>17471</v>
      </c>
      <c r="U1999" t="s">
        <v>25</v>
      </c>
      <c r="V1999" t="s">
        <v>17472</v>
      </c>
    </row>
    <row r="2000" spans="1:27">
      <c r="A2000" t="s">
        <v>17473</v>
      </c>
      <c r="B2000" t="s">
        <v>17473</v>
      </c>
      <c r="C2000" t="s">
        <v>17474</v>
      </c>
      <c r="D2000" t="s">
        <v>21</v>
      </c>
      <c r="E2000" s="14" t="s">
        <v>16949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17927</v>
      </c>
      <c r="M2000" s="3">
        <v>75000</v>
      </c>
      <c r="N2000" t="s">
        <v>16950</v>
      </c>
      <c r="O2000" t="s">
        <v>477</v>
      </c>
      <c r="P2000" t="s">
        <v>17475</v>
      </c>
      <c r="Q2000" t="s">
        <v>25</v>
      </c>
      <c r="R2000" t="s">
        <v>17476</v>
      </c>
      <c r="S2000" t="s">
        <v>477</v>
      </c>
      <c r="T2000" t="s">
        <v>17477</v>
      </c>
      <c r="U2000" t="s">
        <v>25</v>
      </c>
      <c r="V2000" t="s">
        <v>17478</v>
      </c>
    </row>
    <row r="2001" spans="1:27">
      <c r="A2001" t="s">
        <v>17479</v>
      </c>
      <c r="B2001" t="s">
        <v>17479</v>
      </c>
      <c r="C2001" t="s">
        <v>17480</v>
      </c>
      <c r="D2001" t="s">
        <v>21</v>
      </c>
      <c r="E2001" s="14" t="s">
        <v>16949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17927</v>
      </c>
      <c r="M2001" s="3">
        <v>82000</v>
      </c>
      <c r="N2001" t="s">
        <v>16950</v>
      </c>
      <c r="O2001" t="s">
        <v>477</v>
      </c>
      <c r="P2001" t="s">
        <v>17481</v>
      </c>
      <c r="Q2001" t="s">
        <v>25</v>
      </c>
      <c r="R2001" t="s">
        <v>17482</v>
      </c>
    </row>
    <row r="2002" spans="1:27">
      <c r="A2002" t="s">
        <v>17483</v>
      </c>
      <c r="B2002" t="s">
        <v>17483</v>
      </c>
      <c r="C2002" t="s">
        <v>17484</v>
      </c>
      <c r="D2002" t="s">
        <v>21</v>
      </c>
      <c r="E2002" s="14" t="s">
        <v>16949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17927</v>
      </c>
      <c r="M2002" s="3">
        <v>91000</v>
      </c>
      <c r="N2002" t="s">
        <v>16950</v>
      </c>
      <c r="O2002" t="s">
        <v>477</v>
      </c>
      <c r="P2002" t="s">
        <v>17485</v>
      </c>
      <c r="Q2002" t="s">
        <v>25</v>
      </c>
      <c r="R2002" t="s">
        <v>17486</v>
      </c>
    </row>
    <row r="2003" spans="1:27">
      <c r="A2003" t="s">
        <v>17487</v>
      </c>
      <c r="B2003" t="s">
        <v>17487</v>
      </c>
      <c r="C2003" t="s">
        <v>17488</v>
      </c>
      <c r="D2003" t="s">
        <v>21</v>
      </c>
      <c r="E2003" s="14" t="s">
        <v>16949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17927</v>
      </c>
      <c r="M2003" s="3">
        <v>100000</v>
      </c>
      <c r="N2003" t="s">
        <v>16950</v>
      </c>
      <c r="O2003" t="s">
        <v>477</v>
      </c>
      <c r="P2003" t="s">
        <v>17489</v>
      </c>
      <c r="Q2003" t="s">
        <v>25</v>
      </c>
      <c r="R2003" t="s">
        <v>17490</v>
      </c>
      <c r="S2003" t="s">
        <v>477</v>
      </c>
      <c r="T2003" t="s">
        <v>17491</v>
      </c>
      <c r="U2003" t="s">
        <v>25</v>
      </c>
      <c r="V2003" t="s">
        <v>17492</v>
      </c>
      <c r="W2003" t="s">
        <v>477</v>
      </c>
      <c r="X2003" t="s">
        <v>17489</v>
      </c>
      <c r="Y2003" t="s">
        <v>4559</v>
      </c>
      <c r="Z2003" t="s">
        <v>18519</v>
      </c>
      <c r="AA2003" t="s">
        <v>4727</v>
      </c>
    </row>
    <row r="2004" spans="1:27">
      <c r="A2004" t="s">
        <v>17493</v>
      </c>
      <c r="B2004" t="s">
        <v>17493</v>
      </c>
      <c r="C2004" t="s">
        <v>17494</v>
      </c>
      <c r="D2004" t="s">
        <v>21</v>
      </c>
      <c r="E2004" s="14" t="s">
        <v>16949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17927</v>
      </c>
      <c r="M2004" s="3">
        <v>110000</v>
      </c>
      <c r="N2004" t="s">
        <v>16950</v>
      </c>
      <c r="O2004" t="s">
        <v>477</v>
      </c>
      <c r="P2004" t="s">
        <v>17495</v>
      </c>
      <c r="Q2004" t="s">
        <v>25</v>
      </c>
      <c r="R2004" t="s">
        <v>17496</v>
      </c>
    </row>
    <row r="2005" spans="1:27">
      <c r="A2005" t="s">
        <v>17497</v>
      </c>
      <c r="B2005" t="s">
        <v>17497</v>
      </c>
      <c r="C2005" t="s">
        <v>17498</v>
      </c>
      <c r="D2005" t="s">
        <v>21</v>
      </c>
      <c r="E2005" s="14" t="s">
        <v>16949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17927</v>
      </c>
      <c r="M2005" s="3">
        <v>120000</v>
      </c>
      <c r="N2005" t="s">
        <v>16950</v>
      </c>
      <c r="O2005" t="s">
        <v>477</v>
      </c>
      <c r="P2005" t="s">
        <v>17499</v>
      </c>
      <c r="Q2005" t="s">
        <v>25</v>
      </c>
      <c r="R2005" t="s">
        <v>17500</v>
      </c>
      <c r="S2005" t="s">
        <v>477</v>
      </c>
      <c r="T2005" t="s">
        <v>17501</v>
      </c>
      <c r="U2005" t="s">
        <v>25</v>
      </c>
      <c r="V2005" t="s">
        <v>17502</v>
      </c>
    </row>
    <row r="2006" spans="1:27">
      <c r="A2006" t="s">
        <v>17503</v>
      </c>
      <c r="B2006" t="s">
        <v>17503</v>
      </c>
      <c r="C2006" t="s">
        <v>17504</v>
      </c>
      <c r="D2006" t="s">
        <v>21</v>
      </c>
      <c r="E2006" s="14" t="s">
        <v>16949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17927</v>
      </c>
      <c r="M2006" s="3">
        <v>130000</v>
      </c>
      <c r="N2006" t="s">
        <v>16950</v>
      </c>
      <c r="O2006" t="s">
        <v>477</v>
      </c>
      <c r="P2006" t="s">
        <v>17505</v>
      </c>
      <c r="Q2006" t="s">
        <v>25</v>
      </c>
      <c r="R2006" t="s">
        <v>17506</v>
      </c>
    </row>
    <row r="2007" spans="1:27">
      <c r="A2007" t="s">
        <v>17507</v>
      </c>
      <c r="B2007" t="s">
        <v>17507</v>
      </c>
      <c r="C2007" t="s">
        <v>17508</v>
      </c>
      <c r="D2007" t="s">
        <v>21</v>
      </c>
      <c r="E2007" s="14" t="s">
        <v>16949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17927</v>
      </c>
      <c r="M2007" s="3">
        <v>150000</v>
      </c>
      <c r="N2007" t="s">
        <v>16950</v>
      </c>
      <c r="O2007" t="s">
        <v>477</v>
      </c>
      <c r="P2007" t="s">
        <v>17509</v>
      </c>
      <c r="Q2007" t="s">
        <v>25</v>
      </c>
      <c r="R2007" t="s">
        <v>17510</v>
      </c>
      <c r="S2007" t="s">
        <v>477</v>
      </c>
      <c r="T2007" t="s">
        <v>17511</v>
      </c>
      <c r="U2007" t="s">
        <v>25</v>
      </c>
      <c r="V2007" t="s">
        <v>17512</v>
      </c>
    </row>
    <row r="2008" spans="1:27">
      <c r="A2008" t="s">
        <v>17513</v>
      </c>
      <c r="B2008" t="s">
        <v>17513</v>
      </c>
      <c r="C2008" t="s">
        <v>17514</v>
      </c>
      <c r="D2008" t="s">
        <v>21</v>
      </c>
      <c r="E2008" s="14" t="s">
        <v>16949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17927</v>
      </c>
      <c r="M2008" s="3">
        <v>160000</v>
      </c>
      <c r="N2008" t="s">
        <v>16950</v>
      </c>
      <c r="O2008" t="s">
        <v>477</v>
      </c>
      <c r="P2008" t="s">
        <v>17515</v>
      </c>
      <c r="Q2008" t="s">
        <v>25</v>
      </c>
      <c r="R2008" t="s">
        <v>17516</v>
      </c>
    </row>
    <row r="2009" spans="1:27">
      <c r="A2009" t="s">
        <v>17517</v>
      </c>
      <c r="B2009" t="s">
        <v>17517</v>
      </c>
      <c r="C2009" t="s">
        <v>17518</v>
      </c>
      <c r="D2009" t="s">
        <v>21</v>
      </c>
      <c r="E2009" s="14" t="s">
        <v>16949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17927</v>
      </c>
      <c r="M2009" s="3">
        <v>180000</v>
      </c>
      <c r="N2009" t="s">
        <v>16950</v>
      </c>
      <c r="O2009" t="s">
        <v>477</v>
      </c>
      <c r="P2009" t="s">
        <v>17519</v>
      </c>
      <c r="Q2009" t="s">
        <v>25</v>
      </c>
      <c r="R2009" t="s">
        <v>17520</v>
      </c>
    </row>
    <row r="2010" spans="1:27">
      <c r="A2010" t="s">
        <v>17521</v>
      </c>
      <c r="B2010" t="s">
        <v>17521</v>
      </c>
      <c r="C2010" t="s">
        <v>17522</v>
      </c>
      <c r="D2010" t="s">
        <v>21</v>
      </c>
      <c r="E2010" s="14" t="s">
        <v>16949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17927</v>
      </c>
      <c r="M2010" s="3">
        <v>200000</v>
      </c>
      <c r="N2010" t="s">
        <v>16950</v>
      </c>
      <c r="O2010" t="s">
        <v>477</v>
      </c>
      <c r="P2010" t="s">
        <v>17523</v>
      </c>
      <c r="Q2010" t="s">
        <v>25</v>
      </c>
      <c r="R2010" t="s">
        <v>17524</v>
      </c>
      <c r="S2010" t="s">
        <v>477</v>
      </c>
      <c r="T2010" t="s">
        <v>17525</v>
      </c>
      <c r="U2010" t="s">
        <v>25</v>
      </c>
      <c r="V2010" t="s">
        <v>17526</v>
      </c>
    </row>
    <row r="2011" spans="1:27">
      <c r="A2011" t="s">
        <v>17527</v>
      </c>
      <c r="B2011" t="s">
        <v>17527</v>
      </c>
      <c r="C2011" t="s">
        <v>17528</v>
      </c>
      <c r="D2011" t="s">
        <v>21</v>
      </c>
      <c r="E2011" s="14" t="s">
        <v>16949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17927</v>
      </c>
      <c r="M2011" s="3">
        <v>220000</v>
      </c>
      <c r="N2011" t="s">
        <v>16950</v>
      </c>
      <c r="O2011" t="s">
        <v>477</v>
      </c>
      <c r="P2011" t="s">
        <v>17529</v>
      </c>
      <c r="Q2011" t="s">
        <v>25</v>
      </c>
      <c r="R2011" t="s">
        <v>17530</v>
      </c>
    </row>
    <row r="2012" spans="1:27">
      <c r="A2012" t="s">
        <v>17531</v>
      </c>
      <c r="B2012" t="s">
        <v>17531</v>
      </c>
      <c r="C2012" t="s">
        <v>17532</v>
      </c>
      <c r="D2012" t="s">
        <v>21</v>
      </c>
      <c r="E2012" s="14" t="s">
        <v>16949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17927</v>
      </c>
      <c r="M2012" s="3">
        <v>240000</v>
      </c>
      <c r="N2012" t="s">
        <v>16950</v>
      </c>
      <c r="O2012" t="s">
        <v>477</v>
      </c>
      <c r="P2012" t="s">
        <v>17533</v>
      </c>
      <c r="Q2012" t="s">
        <v>25</v>
      </c>
      <c r="R2012" t="s">
        <v>17534</v>
      </c>
    </row>
    <row r="2013" spans="1:27">
      <c r="A2013" t="s">
        <v>17535</v>
      </c>
      <c r="B2013" t="s">
        <v>17535</v>
      </c>
      <c r="C2013" t="s">
        <v>17536</v>
      </c>
      <c r="D2013" t="s">
        <v>21</v>
      </c>
      <c r="E2013" s="14" t="s">
        <v>16949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17927</v>
      </c>
      <c r="M2013" s="3">
        <v>270000</v>
      </c>
      <c r="N2013" t="s">
        <v>16950</v>
      </c>
      <c r="O2013" t="s">
        <v>477</v>
      </c>
      <c r="P2013" t="s">
        <v>17537</v>
      </c>
      <c r="Q2013" t="s">
        <v>25</v>
      </c>
      <c r="R2013" t="s">
        <v>17538</v>
      </c>
    </row>
    <row r="2014" spans="1:27">
      <c r="A2014" t="s">
        <v>17539</v>
      </c>
      <c r="B2014" t="s">
        <v>17539</v>
      </c>
      <c r="C2014" t="s">
        <v>17540</v>
      </c>
      <c r="D2014" t="s">
        <v>21</v>
      </c>
      <c r="E2014" s="14" t="s">
        <v>16949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17927</v>
      </c>
      <c r="M2014" s="3">
        <v>300000</v>
      </c>
      <c r="N2014" t="s">
        <v>16950</v>
      </c>
      <c r="O2014" t="s">
        <v>477</v>
      </c>
      <c r="P2014" t="s">
        <v>17541</v>
      </c>
      <c r="Q2014" t="s">
        <v>25</v>
      </c>
      <c r="R2014" t="s">
        <v>17542</v>
      </c>
    </row>
    <row r="2015" spans="1:27">
      <c r="A2015" t="s">
        <v>17543</v>
      </c>
      <c r="B2015" t="s">
        <v>17543</v>
      </c>
      <c r="C2015" t="s">
        <v>17544</v>
      </c>
      <c r="D2015" t="s">
        <v>21</v>
      </c>
      <c r="E2015" s="14" t="s">
        <v>16949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17927</v>
      </c>
      <c r="M2015" s="3">
        <v>330000</v>
      </c>
      <c r="N2015" t="s">
        <v>16950</v>
      </c>
      <c r="O2015" t="s">
        <v>477</v>
      </c>
      <c r="P2015" t="s">
        <v>17545</v>
      </c>
      <c r="Q2015" t="s">
        <v>25</v>
      </c>
      <c r="R2015" t="s">
        <v>17546</v>
      </c>
    </row>
    <row r="2016" spans="1:27">
      <c r="A2016" t="s">
        <v>17547</v>
      </c>
      <c r="B2016" t="s">
        <v>17547</v>
      </c>
      <c r="C2016" t="s">
        <v>17548</v>
      </c>
      <c r="D2016" t="s">
        <v>21</v>
      </c>
      <c r="E2016" s="14" t="s">
        <v>16949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17927</v>
      </c>
      <c r="M2016" s="3">
        <v>360000</v>
      </c>
      <c r="N2016" t="s">
        <v>16950</v>
      </c>
      <c r="O2016" t="s">
        <v>477</v>
      </c>
      <c r="P2016" t="s">
        <v>17549</v>
      </c>
      <c r="Q2016" t="s">
        <v>25</v>
      </c>
      <c r="R2016" t="s">
        <v>17550</v>
      </c>
    </row>
    <row r="2017" spans="1:27">
      <c r="A2017" t="s">
        <v>17551</v>
      </c>
      <c r="B2017" t="s">
        <v>17551</v>
      </c>
      <c r="C2017" t="s">
        <v>17552</v>
      </c>
      <c r="D2017" t="s">
        <v>21</v>
      </c>
      <c r="E2017" s="14" t="s">
        <v>16949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17927</v>
      </c>
      <c r="M2017" s="3">
        <v>390000</v>
      </c>
      <c r="N2017" t="s">
        <v>16950</v>
      </c>
      <c r="O2017" t="s">
        <v>477</v>
      </c>
      <c r="P2017" t="s">
        <v>17553</v>
      </c>
      <c r="Q2017" t="s">
        <v>25</v>
      </c>
      <c r="R2017" t="s">
        <v>17554</v>
      </c>
    </row>
    <row r="2018" spans="1:27">
      <c r="A2018" t="s">
        <v>17555</v>
      </c>
      <c r="B2018" t="s">
        <v>17555</v>
      </c>
      <c r="C2018" t="s">
        <v>17556</v>
      </c>
      <c r="D2018" t="s">
        <v>21</v>
      </c>
      <c r="E2018" s="14" t="s">
        <v>16949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17927</v>
      </c>
      <c r="M2018" s="3">
        <v>430000</v>
      </c>
      <c r="N2018" t="s">
        <v>16950</v>
      </c>
      <c r="O2018" t="s">
        <v>477</v>
      </c>
      <c r="P2018" t="s">
        <v>17557</v>
      </c>
      <c r="Q2018" t="s">
        <v>25</v>
      </c>
      <c r="R2018" t="s">
        <v>17558</v>
      </c>
    </row>
    <row r="2019" spans="1:27">
      <c r="A2019" t="s">
        <v>17559</v>
      </c>
      <c r="B2019" t="s">
        <v>17559</v>
      </c>
      <c r="C2019" t="s">
        <v>17560</v>
      </c>
      <c r="D2019" t="s">
        <v>21</v>
      </c>
      <c r="E2019" s="14" t="s">
        <v>16949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17927</v>
      </c>
      <c r="M2019" s="3">
        <v>470000</v>
      </c>
      <c r="N2019" t="s">
        <v>16950</v>
      </c>
      <c r="O2019" t="s">
        <v>477</v>
      </c>
      <c r="P2019" t="s">
        <v>17561</v>
      </c>
      <c r="Q2019" t="s">
        <v>25</v>
      </c>
      <c r="R2019" t="s">
        <v>17562</v>
      </c>
      <c r="S2019" t="s">
        <v>477</v>
      </c>
      <c r="T2019" t="s">
        <v>17563</v>
      </c>
      <c r="U2019" t="s">
        <v>25</v>
      </c>
      <c r="V2019" t="s">
        <v>17564</v>
      </c>
    </row>
    <row r="2020" spans="1:27">
      <c r="A2020" t="s">
        <v>17565</v>
      </c>
      <c r="B2020" t="s">
        <v>17565</v>
      </c>
      <c r="C2020" t="s">
        <v>17566</v>
      </c>
      <c r="D2020" t="s">
        <v>21</v>
      </c>
      <c r="E2020" s="14" t="s">
        <v>16949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17927</v>
      </c>
      <c r="M2020" s="3">
        <v>510000</v>
      </c>
      <c r="N2020" t="s">
        <v>16950</v>
      </c>
      <c r="O2020" t="s">
        <v>477</v>
      </c>
      <c r="P2020" t="s">
        <v>17567</v>
      </c>
      <c r="Q2020" t="s">
        <v>25</v>
      </c>
      <c r="R2020" t="s">
        <v>17568</v>
      </c>
    </row>
    <row r="2021" spans="1:27">
      <c r="A2021" t="s">
        <v>17569</v>
      </c>
      <c r="B2021" t="s">
        <v>17569</v>
      </c>
      <c r="C2021" t="s">
        <v>17570</v>
      </c>
      <c r="D2021" t="s">
        <v>21</v>
      </c>
      <c r="E2021" s="14" t="s">
        <v>16949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17927</v>
      </c>
      <c r="M2021" s="3">
        <v>560000</v>
      </c>
      <c r="N2021" t="s">
        <v>16950</v>
      </c>
      <c r="O2021" t="s">
        <v>477</v>
      </c>
      <c r="P2021" t="s">
        <v>17571</v>
      </c>
      <c r="Q2021" t="s">
        <v>25</v>
      </c>
      <c r="R2021" t="s">
        <v>17572</v>
      </c>
    </row>
    <row r="2022" spans="1:27">
      <c r="A2022" t="s">
        <v>17573</v>
      </c>
      <c r="B2022" t="s">
        <v>17573</v>
      </c>
      <c r="C2022" t="s">
        <v>17574</v>
      </c>
      <c r="D2022" t="s">
        <v>21</v>
      </c>
      <c r="E2022" s="14" t="s">
        <v>16949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17927</v>
      </c>
      <c r="M2022" s="3">
        <v>620000</v>
      </c>
      <c r="N2022" t="s">
        <v>16950</v>
      </c>
      <c r="O2022" t="s">
        <v>477</v>
      </c>
      <c r="P2022" t="s">
        <v>17575</v>
      </c>
      <c r="Q2022" t="s">
        <v>25</v>
      </c>
      <c r="R2022" t="s">
        <v>17576</v>
      </c>
    </row>
    <row r="2023" spans="1:27">
      <c r="A2023" t="s">
        <v>17577</v>
      </c>
      <c r="B2023" t="s">
        <v>17577</v>
      </c>
      <c r="C2023" t="s">
        <v>17578</v>
      </c>
      <c r="D2023" t="s">
        <v>21</v>
      </c>
      <c r="E2023" s="14" t="s">
        <v>16949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17927</v>
      </c>
      <c r="M2023" s="3">
        <v>680000</v>
      </c>
      <c r="N2023" t="s">
        <v>16950</v>
      </c>
      <c r="O2023" t="s">
        <v>477</v>
      </c>
      <c r="P2023" t="s">
        <v>17579</v>
      </c>
      <c r="Q2023" t="s">
        <v>25</v>
      </c>
      <c r="R2023" t="s">
        <v>17580</v>
      </c>
    </row>
    <row r="2024" spans="1:27">
      <c r="A2024" t="s">
        <v>17581</v>
      </c>
      <c r="B2024" t="s">
        <v>17581</v>
      </c>
      <c r="C2024" t="s">
        <v>17582</v>
      </c>
      <c r="D2024" t="s">
        <v>21</v>
      </c>
      <c r="E2024" s="14" t="s">
        <v>16949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17927</v>
      </c>
      <c r="M2024" s="3">
        <v>750000</v>
      </c>
      <c r="N2024" t="s">
        <v>16950</v>
      </c>
      <c r="O2024" t="s">
        <v>477</v>
      </c>
      <c r="P2024" t="s">
        <v>17583</v>
      </c>
      <c r="Q2024" t="s">
        <v>25</v>
      </c>
      <c r="R2024" t="s">
        <v>17584</v>
      </c>
    </row>
    <row r="2025" spans="1:27">
      <c r="A2025" t="s">
        <v>17585</v>
      </c>
      <c r="B2025" t="s">
        <v>17585</v>
      </c>
      <c r="C2025" t="s">
        <v>17586</v>
      </c>
      <c r="D2025" t="s">
        <v>21</v>
      </c>
      <c r="E2025" s="14" t="s">
        <v>16949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17927</v>
      </c>
      <c r="M2025" s="3">
        <v>820000</v>
      </c>
      <c r="N2025" t="s">
        <v>16950</v>
      </c>
      <c r="O2025" t="s">
        <v>477</v>
      </c>
      <c r="P2025" t="s">
        <v>17587</v>
      </c>
      <c r="Q2025" t="s">
        <v>25</v>
      </c>
      <c r="R2025" t="s">
        <v>17588</v>
      </c>
    </row>
    <row r="2026" spans="1:27">
      <c r="A2026" t="s">
        <v>17589</v>
      </c>
      <c r="B2026" t="s">
        <v>17589</v>
      </c>
      <c r="C2026" t="s">
        <v>17590</v>
      </c>
      <c r="D2026" t="s">
        <v>21</v>
      </c>
      <c r="E2026" s="14" t="s">
        <v>16949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17927</v>
      </c>
      <c r="M2026" s="3">
        <v>910000</v>
      </c>
      <c r="N2026" t="s">
        <v>16950</v>
      </c>
      <c r="O2026" t="s">
        <v>477</v>
      </c>
      <c r="P2026" t="s">
        <v>17591</v>
      </c>
      <c r="Q2026" t="s">
        <v>25</v>
      </c>
      <c r="R2026" t="s">
        <v>17592</v>
      </c>
    </row>
    <row r="2027" spans="1:27">
      <c r="A2027" t="s">
        <v>17593</v>
      </c>
      <c r="B2027" t="s">
        <v>17593</v>
      </c>
      <c r="C2027" t="s">
        <v>17594</v>
      </c>
      <c r="D2027" t="s">
        <v>21</v>
      </c>
      <c r="E2027" s="14" t="s">
        <v>16949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17927</v>
      </c>
      <c r="M2027" s="3">
        <v>1000000</v>
      </c>
      <c r="N2027" t="s">
        <v>16950</v>
      </c>
      <c r="O2027" t="s">
        <v>477</v>
      </c>
      <c r="P2027" t="s">
        <v>17595</v>
      </c>
      <c r="Q2027" t="s">
        <v>25</v>
      </c>
      <c r="R2027" t="s">
        <v>17596</v>
      </c>
      <c r="S2027" t="s">
        <v>477</v>
      </c>
      <c r="T2027" t="s">
        <v>17597</v>
      </c>
      <c r="U2027" t="s">
        <v>25</v>
      </c>
      <c r="V2027" t="s">
        <v>17598</v>
      </c>
      <c r="W2027" t="s">
        <v>477</v>
      </c>
      <c r="X2027" t="s">
        <v>18520</v>
      </c>
      <c r="Y2027" t="s">
        <v>4559</v>
      </c>
      <c r="Z2027" t="s">
        <v>18521</v>
      </c>
      <c r="AA2027" t="s">
        <v>4727</v>
      </c>
    </row>
    <row r="2028" spans="1:27">
      <c r="A2028" t="s">
        <v>17599</v>
      </c>
      <c r="B2028" t="s">
        <v>17599</v>
      </c>
      <c r="C2028" t="s">
        <v>17600</v>
      </c>
      <c r="D2028" t="s">
        <v>21</v>
      </c>
      <c r="E2028" s="14" t="s">
        <v>16949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17927</v>
      </c>
      <c r="M2028" s="3">
        <v>1100000</v>
      </c>
      <c r="N2028" t="s">
        <v>16950</v>
      </c>
      <c r="O2028" t="s">
        <v>477</v>
      </c>
      <c r="P2028" t="s">
        <v>17601</v>
      </c>
      <c r="Q2028" t="s">
        <v>25</v>
      </c>
      <c r="R2028" t="s">
        <v>17602</v>
      </c>
    </row>
    <row r="2029" spans="1:27">
      <c r="A2029" t="s">
        <v>17603</v>
      </c>
      <c r="B2029" t="s">
        <v>17603</v>
      </c>
      <c r="C2029" t="s">
        <v>17604</v>
      </c>
      <c r="D2029" t="s">
        <v>21</v>
      </c>
      <c r="E2029" s="14" t="s">
        <v>16949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17927</v>
      </c>
      <c r="M2029" s="3">
        <v>1200000</v>
      </c>
      <c r="N2029" t="s">
        <v>16950</v>
      </c>
      <c r="O2029" t="s">
        <v>477</v>
      </c>
      <c r="P2029" t="s">
        <v>17605</v>
      </c>
      <c r="Q2029" t="s">
        <v>25</v>
      </c>
      <c r="R2029" t="s">
        <v>17606</v>
      </c>
    </row>
    <row r="2030" spans="1:27">
      <c r="A2030" t="s">
        <v>17607</v>
      </c>
      <c r="B2030" t="s">
        <v>17607</v>
      </c>
      <c r="C2030" t="s">
        <v>17608</v>
      </c>
      <c r="D2030" t="s">
        <v>21</v>
      </c>
      <c r="E2030" s="14" t="s">
        <v>16949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17927</v>
      </c>
      <c r="M2030" s="3">
        <v>1300000</v>
      </c>
      <c r="N2030" t="s">
        <v>16950</v>
      </c>
      <c r="O2030" t="s">
        <v>477</v>
      </c>
      <c r="P2030" t="s">
        <v>17609</v>
      </c>
      <c r="Q2030" t="s">
        <v>25</v>
      </c>
      <c r="R2030" t="s">
        <v>17610</v>
      </c>
    </row>
    <row r="2031" spans="1:27">
      <c r="A2031" t="s">
        <v>17611</v>
      </c>
      <c r="B2031" t="s">
        <v>17611</v>
      </c>
      <c r="C2031" t="s">
        <v>17612</v>
      </c>
      <c r="D2031" t="s">
        <v>21</v>
      </c>
      <c r="E2031" s="14" t="s">
        <v>16949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17927</v>
      </c>
      <c r="M2031" s="3">
        <v>1500000</v>
      </c>
      <c r="N2031" t="s">
        <v>16950</v>
      </c>
      <c r="O2031" t="s">
        <v>477</v>
      </c>
      <c r="P2031" t="s">
        <v>17613</v>
      </c>
      <c r="Q2031" t="s">
        <v>25</v>
      </c>
      <c r="R2031" t="s">
        <v>17614</v>
      </c>
    </row>
    <row r="2032" spans="1:27">
      <c r="A2032" t="s">
        <v>17615</v>
      </c>
      <c r="B2032" t="s">
        <v>17615</v>
      </c>
      <c r="C2032" t="s">
        <v>17616</v>
      </c>
      <c r="D2032" t="s">
        <v>21</v>
      </c>
      <c r="E2032" s="14" t="s">
        <v>16949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17927</v>
      </c>
      <c r="M2032" s="3">
        <v>1800000</v>
      </c>
      <c r="N2032" t="s">
        <v>16950</v>
      </c>
      <c r="O2032" t="s">
        <v>477</v>
      </c>
      <c r="P2032" t="s">
        <v>17617</v>
      </c>
      <c r="Q2032" t="s">
        <v>25</v>
      </c>
      <c r="R2032" t="s">
        <v>17618</v>
      </c>
    </row>
    <row r="2033" spans="1:18">
      <c r="A2033" t="s">
        <v>17619</v>
      </c>
      <c r="B2033" t="s">
        <v>17619</v>
      </c>
      <c r="C2033" t="s">
        <v>17620</v>
      </c>
      <c r="D2033" t="s">
        <v>21</v>
      </c>
      <c r="E2033" s="14" t="s">
        <v>16949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17927</v>
      </c>
      <c r="M2033" s="3">
        <v>2000000</v>
      </c>
      <c r="N2033" t="s">
        <v>16950</v>
      </c>
      <c r="O2033" t="s">
        <v>477</v>
      </c>
      <c r="P2033" t="s">
        <v>17621</v>
      </c>
      <c r="Q2033" t="s">
        <v>25</v>
      </c>
      <c r="R2033" t="s">
        <v>17622</v>
      </c>
    </row>
    <row r="2034" spans="1:18">
      <c r="A2034" t="s">
        <v>17623</v>
      </c>
      <c r="B2034" t="s">
        <v>17623</v>
      </c>
      <c r="C2034" t="s">
        <v>17624</v>
      </c>
      <c r="D2034" t="s">
        <v>21</v>
      </c>
      <c r="E2034" s="14" t="s">
        <v>16949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17927</v>
      </c>
      <c r="M2034" s="3">
        <v>2200000</v>
      </c>
      <c r="N2034" t="s">
        <v>16950</v>
      </c>
      <c r="O2034" t="s">
        <v>477</v>
      </c>
      <c r="P2034" t="s">
        <v>17625</v>
      </c>
      <c r="Q2034" t="s">
        <v>25</v>
      </c>
      <c r="R2034" t="s">
        <v>17626</v>
      </c>
    </row>
    <row r="2035" spans="1:18">
      <c r="A2035" t="s">
        <v>17627</v>
      </c>
      <c r="B2035" t="s">
        <v>17627</v>
      </c>
      <c r="C2035" t="s">
        <v>17628</v>
      </c>
      <c r="D2035" t="s">
        <v>21</v>
      </c>
      <c r="E2035" s="14" t="s">
        <v>16949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17927</v>
      </c>
      <c r="M2035" s="3">
        <v>2400000</v>
      </c>
      <c r="N2035" t="s">
        <v>16950</v>
      </c>
      <c r="O2035" t="s">
        <v>477</v>
      </c>
      <c r="P2035" t="s">
        <v>17629</v>
      </c>
      <c r="Q2035" t="s">
        <v>25</v>
      </c>
      <c r="R2035" t="s">
        <v>17630</v>
      </c>
    </row>
    <row r="2036" spans="1:18">
      <c r="A2036" t="s">
        <v>17631</v>
      </c>
      <c r="B2036" t="s">
        <v>17631</v>
      </c>
      <c r="C2036" t="s">
        <v>17632</v>
      </c>
      <c r="D2036" t="s">
        <v>21</v>
      </c>
      <c r="E2036" s="14" t="s">
        <v>16949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17927</v>
      </c>
      <c r="M2036" s="3">
        <v>2700000</v>
      </c>
      <c r="N2036" t="s">
        <v>16950</v>
      </c>
      <c r="O2036" t="s">
        <v>477</v>
      </c>
      <c r="P2036" t="s">
        <v>17633</v>
      </c>
      <c r="Q2036" t="s">
        <v>25</v>
      </c>
      <c r="R2036" t="s">
        <v>17634</v>
      </c>
    </row>
    <row r="2037" spans="1:18">
      <c r="A2037" t="s">
        <v>17635</v>
      </c>
      <c r="B2037" t="s">
        <v>17635</v>
      </c>
      <c r="C2037" t="s">
        <v>17636</v>
      </c>
      <c r="D2037" t="s">
        <v>21</v>
      </c>
      <c r="E2037" s="14" t="s">
        <v>16949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17927</v>
      </c>
      <c r="M2037" s="3">
        <v>3000000</v>
      </c>
      <c r="N2037" t="s">
        <v>16950</v>
      </c>
      <c r="O2037" t="s">
        <v>477</v>
      </c>
      <c r="P2037" t="s">
        <v>17637</v>
      </c>
      <c r="Q2037" t="s">
        <v>25</v>
      </c>
      <c r="R2037" t="s">
        <v>17638</v>
      </c>
    </row>
    <row r="2038" spans="1:18">
      <c r="A2038" t="s">
        <v>17639</v>
      </c>
      <c r="B2038" t="s">
        <v>17639</v>
      </c>
      <c r="C2038" t="s">
        <v>17640</v>
      </c>
      <c r="D2038" t="s">
        <v>21</v>
      </c>
      <c r="E2038" s="14" t="s">
        <v>16949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17927</v>
      </c>
      <c r="M2038" s="3">
        <v>3300000</v>
      </c>
      <c r="N2038" t="s">
        <v>16950</v>
      </c>
      <c r="O2038" t="s">
        <v>477</v>
      </c>
      <c r="P2038" t="s">
        <v>17641</v>
      </c>
      <c r="Q2038" t="s">
        <v>25</v>
      </c>
      <c r="R2038" t="s">
        <v>17642</v>
      </c>
    </row>
    <row r="2039" spans="1:18">
      <c r="A2039" t="s">
        <v>17643</v>
      </c>
      <c r="B2039" t="s">
        <v>17643</v>
      </c>
      <c r="C2039" t="s">
        <v>17644</v>
      </c>
      <c r="D2039" t="s">
        <v>21</v>
      </c>
      <c r="E2039" s="14" t="s">
        <v>16949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17927</v>
      </c>
      <c r="M2039" s="3">
        <v>3600000</v>
      </c>
      <c r="N2039" t="s">
        <v>16950</v>
      </c>
      <c r="O2039" t="s">
        <v>477</v>
      </c>
      <c r="P2039" t="s">
        <v>17645</v>
      </c>
      <c r="Q2039" t="s">
        <v>25</v>
      </c>
      <c r="R2039" t="s">
        <v>17646</v>
      </c>
    </row>
    <row r="2040" spans="1:18">
      <c r="A2040" t="s">
        <v>17647</v>
      </c>
      <c r="B2040" t="s">
        <v>17647</v>
      </c>
      <c r="C2040" t="s">
        <v>17648</v>
      </c>
      <c r="D2040" t="s">
        <v>21</v>
      </c>
      <c r="E2040" s="14" t="s">
        <v>16949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17927</v>
      </c>
      <c r="M2040" s="3">
        <v>3900000</v>
      </c>
      <c r="N2040" t="s">
        <v>16950</v>
      </c>
      <c r="O2040" t="s">
        <v>477</v>
      </c>
      <c r="P2040" t="s">
        <v>17649</v>
      </c>
      <c r="Q2040" t="s">
        <v>25</v>
      </c>
      <c r="R2040" t="s">
        <v>17650</v>
      </c>
    </row>
    <row r="2041" spans="1:18">
      <c r="A2041" t="s">
        <v>17651</v>
      </c>
      <c r="B2041" t="s">
        <v>17651</v>
      </c>
      <c r="C2041" t="s">
        <v>17652</v>
      </c>
      <c r="D2041" t="s">
        <v>21</v>
      </c>
      <c r="E2041" s="14" t="s">
        <v>16949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17927</v>
      </c>
      <c r="M2041" s="3">
        <v>4300000</v>
      </c>
      <c r="N2041" t="s">
        <v>16950</v>
      </c>
      <c r="O2041" t="s">
        <v>477</v>
      </c>
      <c r="P2041" t="s">
        <v>17653</v>
      </c>
      <c r="Q2041" t="s">
        <v>25</v>
      </c>
      <c r="R2041" t="s">
        <v>17654</v>
      </c>
    </row>
    <row r="2042" spans="1:18">
      <c r="A2042" t="s">
        <v>17655</v>
      </c>
      <c r="B2042" t="s">
        <v>17655</v>
      </c>
      <c r="C2042" t="s">
        <v>17656</v>
      </c>
      <c r="D2042" t="s">
        <v>21</v>
      </c>
      <c r="E2042" s="14" t="s">
        <v>16949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17927</v>
      </c>
      <c r="M2042" s="3">
        <v>4700000</v>
      </c>
      <c r="N2042" t="s">
        <v>16950</v>
      </c>
      <c r="O2042" t="s">
        <v>477</v>
      </c>
      <c r="P2042" t="s">
        <v>17657</v>
      </c>
      <c r="Q2042" t="s">
        <v>25</v>
      </c>
      <c r="R2042" t="s">
        <v>17658</v>
      </c>
    </row>
    <row r="2043" spans="1:18">
      <c r="A2043" t="s">
        <v>17659</v>
      </c>
      <c r="B2043" t="s">
        <v>17659</v>
      </c>
      <c r="C2043" t="s">
        <v>17660</v>
      </c>
      <c r="D2043" t="s">
        <v>21</v>
      </c>
      <c r="E2043" s="14" t="s">
        <v>16949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17927</v>
      </c>
      <c r="M2043" s="3">
        <v>5100000</v>
      </c>
      <c r="N2043" t="s">
        <v>16950</v>
      </c>
      <c r="O2043" t="s">
        <v>477</v>
      </c>
      <c r="P2043" t="s">
        <v>17661</v>
      </c>
      <c r="Q2043" t="s">
        <v>25</v>
      </c>
      <c r="R2043" t="s">
        <v>17662</v>
      </c>
    </row>
    <row r="2044" spans="1:18">
      <c r="A2044" t="s">
        <v>17663</v>
      </c>
      <c r="B2044" t="s">
        <v>17663</v>
      </c>
      <c r="C2044" t="s">
        <v>17664</v>
      </c>
      <c r="D2044" t="s">
        <v>21</v>
      </c>
      <c r="E2044" s="14" t="s">
        <v>16949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17927</v>
      </c>
      <c r="M2044" s="3">
        <v>5600000</v>
      </c>
      <c r="N2044" t="s">
        <v>16950</v>
      </c>
      <c r="O2044" t="s">
        <v>477</v>
      </c>
      <c r="P2044" t="s">
        <v>17665</v>
      </c>
      <c r="Q2044" t="s">
        <v>25</v>
      </c>
      <c r="R2044" t="s">
        <v>17666</v>
      </c>
    </row>
    <row r="2045" spans="1:18">
      <c r="A2045" t="s">
        <v>17667</v>
      </c>
      <c r="B2045" t="s">
        <v>17667</v>
      </c>
      <c r="C2045" t="s">
        <v>17668</v>
      </c>
      <c r="D2045" t="s">
        <v>21</v>
      </c>
      <c r="E2045" s="14" t="s">
        <v>16949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17927</v>
      </c>
      <c r="M2045" s="3">
        <v>9100000</v>
      </c>
      <c r="N2045" t="s">
        <v>16950</v>
      </c>
      <c r="O2045" t="s">
        <v>477</v>
      </c>
      <c r="P2045" t="s">
        <v>17669</v>
      </c>
      <c r="Q2045" t="s">
        <v>25</v>
      </c>
      <c r="R2045" t="s">
        <v>17670</v>
      </c>
    </row>
    <row r="2046" spans="1:18">
      <c r="A2046" t="s">
        <v>17671</v>
      </c>
      <c r="B2046" t="s">
        <v>17671</v>
      </c>
      <c r="C2046" t="s">
        <v>17672</v>
      </c>
      <c r="D2046" t="s">
        <v>21</v>
      </c>
      <c r="E2046" s="14" t="s">
        <v>16949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17927</v>
      </c>
      <c r="M2046" s="3">
        <v>10000000</v>
      </c>
      <c r="N2046" t="s">
        <v>16950</v>
      </c>
      <c r="O2046" t="s">
        <v>477</v>
      </c>
      <c r="P2046" t="s">
        <v>17673</v>
      </c>
      <c r="Q2046" t="s">
        <v>25</v>
      </c>
      <c r="R2046" t="s">
        <v>17674</v>
      </c>
    </row>
    <row r="2047" spans="1:18">
      <c r="A2047" t="s">
        <v>18744</v>
      </c>
      <c r="B2047" t="s">
        <v>18744</v>
      </c>
      <c r="C2047" t="s">
        <v>18745</v>
      </c>
      <c r="D2047" t="s">
        <v>21</v>
      </c>
      <c r="E2047" s="14" t="s">
        <v>22</v>
      </c>
      <c r="F2047" t="s">
        <v>18734</v>
      </c>
      <c r="G2047" s="17" t="str">
        <f>Config!$B$3</f>
        <v>SCH/R_IEC.SchLib</v>
      </c>
      <c r="H2047" t="s">
        <v>419</v>
      </c>
      <c r="I2047" t="s">
        <v>461</v>
      </c>
      <c r="J2047" s="16" t="s">
        <v>462</v>
      </c>
      <c r="M2047" s="3">
        <v>2E-3</v>
      </c>
      <c r="N2047" t="s">
        <v>18735</v>
      </c>
      <c r="O2047" t="s">
        <v>18736</v>
      </c>
      <c r="P2047" t="s">
        <v>18737</v>
      </c>
      <c r="Q2047" t="s">
        <v>25</v>
      </c>
      <c r="R2047" t="s">
        <v>18738</v>
      </c>
    </row>
    <row r="2048" spans="1:18">
      <c r="A2048" t="s">
        <v>18739</v>
      </c>
      <c r="B2048" t="s">
        <v>18739</v>
      </c>
      <c r="C2048" t="s">
        <v>18740</v>
      </c>
      <c r="D2048" t="s">
        <v>21</v>
      </c>
      <c r="E2048" s="14" t="s">
        <v>6447</v>
      </c>
      <c r="F2048" t="s">
        <v>18741</v>
      </c>
      <c r="G2048" s="17" t="str">
        <f>Config!$B$3</f>
        <v>SCH/R_IEC.SchLib</v>
      </c>
      <c r="H2048" t="s">
        <v>419</v>
      </c>
      <c r="I2048" t="s">
        <v>461</v>
      </c>
      <c r="J2048" s="17" t="s">
        <v>4821</v>
      </c>
      <c r="M2048" s="3">
        <v>1620</v>
      </c>
      <c r="N2048" t="s">
        <v>16950</v>
      </c>
      <c r="O2048" t="s">
        <v>477</v>
      </c>
      <c r="P2048" t="s">
        <v>18743</v>
      </c>
      <c r="Q2048" t="s">
        <v>25</v>
      </c>
      <c r="R2048" t="s">
        <v>18742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75"/>
  <sheetViews>
    <sheetView zoomScaleNormal="100" workbookViewId="0">
      <pane xSplit="2" ySplit="1" topLeftCell="C249" activePane="bottomRight" state="frozen"/>
      <selection pane="topRight" activeCell="C1" sqref="C1"/>
      <selection pane="bottomLeft" activeCell="A2" sqref="A2"/>
      <selection pane="bottomRight" activeCell="M287" sqref="M287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6443</v>
      </c>
    </row>
    <row r="2" spans="1:26" ht="15.75">
      <c r="A2" t="s">
        <v>10593</v>
      </c>
      <c r="B2" t="s">
        <v>10593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6486</v>
      </c>
    </row>
    <row r="3" spans="1:26">
      <c r="A3" t="s">
        <v>10582</v>
      </c>
      <c r="B3" t="s">
        <v>10582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6487</v>
      </c>
    </row>
    <row r="4" spans="1:26">
      <c r="A4" t="s">
        <v>10583</v>
      </c>
      <c r="B4" t="s">
        <v>10583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6488</v>
      </c>
    </row>
    <row r="5" spans="1:26">
      <c r="A5" t="s">
        <v>10584</v>
      </c>
      <c r="B5" t="s">
        <v>10584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6489</v>
      </c>
    </row>
    <row r="6" spans="1:26">
      <c r="A6" t="s">
        <v>10585</v>
      </c>
      <c r="B6" t="s">
        <v>10585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6490</v>
      </c>
    </row>
    <row r="7" spans="1:26">
      <c r="A7" t="s">
        <v>10586</v>
      </c>
      <c r="B7" t="s">
        <v>10586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6491</v>
      </c>
    </row>
    <row r="8" spans="1:26">
      <c r="A8" t="s">
        <v>10587</v>
      </c>
      <c r="B8" t="s">
        <v>10587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6492</v>
      </c>
    </row>
    <row r="9" spans="1:26">
      <c r="A9" t="s">
        <v>10588</v>
      </c>
      <c r="B9" t="s">
        <v>10588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6493</v>
      </c>
    </row>
    <row r="10" spans="1:26" ht="16.5">
      <c r="A10" t="s">
        <v>10589</v>
      </c>
      <c r="B10" t="s">
        <v>10589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13578</v>
      </c>
      <c r="W10" t="s">
        <v>4559</v>
      </c>
      <c r="X10" s="9" t="s">
        <v>13577</v>
      </c>
      <c r="Z10" t="s">
        <v>6494</v>
      </c>
    </row>
    <row r="11" spans="1:26">
      <c r="A11" t="s">
        <v>10590</v>
      </c>
      <c r="B11" t="s">
        <v>10590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6495</v>
      </c>
    </row>
    <row r="12" spans="1:26">
      <c r="A12" t="s">
        <v>10591</v>
      </c>
      <c r="B12" t="s">
        <v>10591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6496</v>
      </c>
    </row>
    <row r="13" spans="1:26">
      <c r="A13" t="s">
        <v>10592</v>
      </c>
      <c r="B13" t="s">
        <v>10592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6497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13462</v>
      </c>
      <c r="W14" t="s">
        <v>4559</v>
      </c>
      <c r="X14" s="8" t="s">
        <v>13461</v>
      </c>
      <c r="Z14" t="s">
        <v>6498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6499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16730</v>
      </c>
      <c r="Y16" t="s">
        <v>4728</v>
      </c>
      <c r="Z16" t="s">
        <v>6500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6501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6502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6503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6504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6505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13460</v>
      </c>
      <c r="W22" t="s">
        <v>4559</v>
      </c>
      <c r="X22" s="8" t="s">
        <v>13459</v>
      </c>
      <c r="Y22" t="s">
        <v>4728</v>
      </c>
      <c r="Z22" t="s">
        <v>6506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6507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6508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6509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13593</v>
      </c>
      <c r="W26" t="s">
        <v>4559</v>
      </c>
      <c r="X26" t="s">
        <v>13594</v>
      </c>
      <c r="Y26" t="s">
        <v>4728</v>
      </c>
      <c r="Z26" t="s">
        <v>6510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6511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6512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6513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6514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6515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6516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6517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6518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16738</v>
      </c>
      <c r="Y35" t="s">
        <v>4727</v>
      </c>
      <c r="Z35" t="s">
        <v>6519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6520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6521</v>
      </c>
    </row>
    <row r="38" spans="1:26">
      <c r="A38" t="s">
        <v>10603</v>
      </c>
      <c r="B38" t="s">
        <v>10603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13566</v>
      </c>
      <c r="W38" t="s">
        <v>4559</v>
      </c>
      <c r="X38" t="s">
        <v>13567</v>
      </c>
      <c r="Y38" t="s">
        <v>4727</v>
      </c>
      <c r="Z38" t="s">
        <v>6522</v>
      </c>
    </row>
    <row r="39" spans="1:26">
      <c r="A39" t="s">
        <v>10594</v>
      </c>
      <c r="B39" t="s">
        <v>10594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6523</v>
      </c>
    </row>
    <row r="40" spans="1:26">
      <c r="A40" t="s">
        <v>10595</v>
      </c>
      <c r="B40" t="s">
        <v>10595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6524</v>
      </c>
    </row>
    <row r="41" spans="1:26">
      <c r="A41" t="s">
        <v>10596</v>
      </c>
      <c r="B41" t="s">
        <v>10596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6525</v>
      </c>
    </row>
    <row r="42" spans="1:26">
      <c r="A42" t="s">
        <v>10597</v>
      </c>
      <c r="B42" t="s">
        <v>10597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6526</v>
      </c>
    </row>
    <row r="43" spans="1:26">
      <c r="A43" t="s">
        <v>10598</v>
      </c>
      <c r="B43" t="s">
        <v>10598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18531</v>
      </c>
      <c r="W43" t="s">
        <v>4559</v>
      </c>
      <c r="X43" t="s">
        <v>18532</v>
      </c>
      <c r="Y43" t="s">
        <v>4727</v>
      </c>
      <c r="Z43" t="s">
        <v>6527</v>
      </c>
    </row>
    <row r="44" spans="1:26">
      <c r="A44" t="s">
        <v>10599</v>
      </c>
      <c r="B44" t="s">
        <v>10599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6528</v>
      </c>
    </row>
    <row r="45" spans="1:26">
      <c r="A45" t="s">
        <v>10600</v>
      </c>
      <c r="B45" t="s">
        <v>10600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6529</v>
      </c>
    </row>
    <row r="46" spans="1:26">
      <c r="A46" t="s">
        <v>10601</v>
      </c>
      <c r="B46" t="s">
        <v>10601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6530</v>
      </c>
    </row>
    <row r="47" spans="1:26">
      <c r="A47" t="s">
        <v>10602</v>
      </c>
      <c r="B47" t="s">
        <v>10602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6531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18501</v>
      </c>
      <c r="W48" t="s">
        <v>4559</v>
      </c>
      <c r="X48" t="s">
        <v>18502</v>
      </c>
      <c r="Y48" t="s">
        <v>4727</v>
      </c>
      <c r="Z48" t="s">
        <v>6532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10615</v>
      </c>
      <c r="B61" t="s">
        <v>10615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13568</v>
      </c>
      <c r="W61" t="s">
        <v>4559</v>
      </c>
      <c r="X61" t="s">
        <v>13569</v>
      </c>
      <c r="Y61" t="s">
        <v>4728</v>
      </c>
      <c r="Z61" t="str">
        <f t="shared" si="0"/>
        <v>GPC0603102</v>
      </c>
    </row>
    <row r="62" spans="1:26">
      <c r="A62" t="s">
        <v>10604</v>
      </c>
      <c r="B62" t="s">
        <v>10604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10605</v>
      </c>
      <c r="B63" t="s">
        <v>10605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10606</v>
      </c>
      <c r="B64" t="s">
        <v>10606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10607</v>
      </c>
      <c r="B65" t="s">
        <v>10607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13458</v>
      </c>
      <c r="W65" t="s">
        <v>4559</v>
      </c>
      <c r="X65" s="8" t="s">
        <v>13457</v>
      </c>
      <c r="Y65" t="s">
        <v>4728</v>
      </c>
      <c r="Z65" t="str">
        <f t="shared" si="0"/>
        <v>GPC0603222</v>
      </c>
    </row>
    <row r="66" spans="1:26">
      <c r="A66" t="s">
        <v>10608</v>
      </c>
      <c r="B66" t="s">
        <v>10608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10609</v>
      </c>
      <c r="B67" t="s">
        <v>10609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10610</v>
      </c>
      <c r="B68" t="s">
        <v>10610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10611</v>
      </c>
      <c r="B69" t="s">
        <v>10611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10612</v>
      </c>
      <c r="B70" t="s">
        <v>10612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10613</v>
      </c>
      <c r="B71" t="s">
        <v>10613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16733</v>
      </c>
      <c r="V71" t="s">
        <v>16734</v>
      </c>
      <c r="W71" t="s">
        <v>4559</v>
      </c>
      <c r="X71" t="s">
        <v>16735</v>
      </c>
      <c r="Y71" t="s">
        <v>4728</v>
      </c>
      <c r="Z71" t="str">
        <f t="shared" si="0"/>
        <v>GPC0603682</v>
      </c>
    </row>
    <row r="72" spans="1:26">
      <c r="A72" t="s">
        <v>10614</v>
      </c>
      <c r="B72" t="s">
        <v>10614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6600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13452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13581</v>
      </c>
      <c r="B88" t="s">
        <v>13581</v>
      </c>
      <c r="C88" t="s">
        <v>13582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13584</v>
      </c>
      <c r="W88" t="s">
        <v>4559</v>
      </c>
      <c r="X88" s="44" t="s">
        <v>13583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13522</v>
      </c>
      <c r="W89" t="s">
        <v>4559</v>
      </c>
      <c r="X89" s="8" t="s">
        <v>13521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13969</v>
      </c>
      <c r="B90" t="s">
        <v>13969</v>
      </c>
      <c r="C90" t="s">
        <v>13970</v>
      </c>
      <c r="D90" t="s">
        <v>21</v>
      </c>
      <c r="E90" s="14" t="s">
        <v>22</v>
      </c>
      <c r="F90" t="s">
        <v>13971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13972</v>
      </c>
      <c r="M90" t="s">
        <v>477</v>
      </c>
      <c r="N90" t="s">
        <v>13973</v>
      </c>
      <c r="O90" t="s">
        <v>25</v>
      </c>
      <c r="P90" t="s">
        <v>13974</v>
      </c>
      <c r="Q90" t="s">
        <v>477</v>
      </c>
      <c r="R90" t="s">
        <v>13975</v>
      </c>
      <c r="S90" t="s">
        <v>25</v>
      </c>
      <c r="T90" t="s">
        <v>13976</v>
      </c>
      <c r="U90" s="8" t="s">
        <v>477</v>
      </c>
      <c r="V90" s="8" t="s">
        <v>13973</v>
      </c>
      <c r="W90" t="s">
        <v>4559</v>
      </c>
      <c r="X90" s="8" t="s">
        <v>13977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10660</v>
      </c>
      <c r="B92" t="s">
        <v>10660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16731</v>
      </c>
      <c r="W92" t="s">
        <v>4559</v>
      </c>
      <c r="X92" t="s">
        <v>16732</v>
      </c>
      <c r="Y92" s="8" t="s">
        <v>4727</v>
      </c>
      <c r="Z92" t="str">
        <f t="shared" si="0"/>
        <v>GPC0603105</v>
      </c>
    </row>
    <row r="93" spans="1:26">
      <c r="A93" t="s">
        <v>10661</v>
      </c>
      <c r="B93" t="s">
        <v>10661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6553</v>
      </c>
    </row>
    <row r="94" spans="1:26">
      <c r="A94" t="s">
        <v>10662</v>
      </c>
      <c r="B94" t="s">
        <v>10662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6448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6552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13451</v>
      </c>
      <c r="W96" t="s">
        <v>4559</v>
      </c>
      <c r="X96" s="8" t="s">
        <v>13450</v>
      </c>
      <c r="Z96" t="s">
        <v>6551</v>
      </c>
    </row>
    <row r="97" spans="1:26">
      <c r="A97" t="s">
        <v>6417</v>
      </c>
      <c r="B97" t="s">
        <v>6417</v>
      </c>
      <c r="C97" t="s">
        <v>6418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6419</v>
      </c>
      <c r="M97" t="s">
        <v>6420</v>
      </c>
      <c r="N97" t="s">
        <v>6421</v>
      </c>
      <c r="O97" t="s">
        <v>25</v>
      </c>
      <c r="P97" t="s">
        <v>6422</v>
      </c>
      <c r="U97" t="s">
        <v>4592</v>
      </c>
      <c r="V97" t="s">
        <v>6423</v>
      </c>
      <c r="W97" t="s">
        <v>4559</v>
      </c>
      <c r="X97" t="s">
        <v>6424</v>
      </c>
      <c r="Z97" t="s">
        <v>6550</v>
      </c>
    </row>
    <row r="98" spans="1:26">
      <c r="A98" t="s">
        <v>13280</v>
      </c>
      <c r="B98" t="s">
        <v>13280</v>
      </c>
      <c r="C98" t="s">
        <v>13281</v>
      </c>
      <c r="D98" t="s">
        <v>21</v>
      </c>
      <c r="E98" s="14" t="s">
        <v>22</v>
      </c>
      <c r="F98" t="s">
        <v>13282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13283</v>
      </c>
      <c r="M98" t="s">
        <v>1032</v>
      </c>
      <c r="N98" t="s">
        <v>13284</v>
      </c>
      <c r="O98" t="s">
        <v>25</v>
      </c>
      <c r="P98" t="s">
        <v>13285</v>
      </c>
      <c r="U98" t="s">
        <v>6196</v>
      </c>
      <c r="V98" t="s">
        <v>13286</v>
      </c>
      <c r="W98" t="s">
        <v>4559</v>
      </c>
      <c r="X98" t="s">
        <v>13287</v>
      </c>
    </row>
    <row r="99" spans="1:26">
      <c r="K99" s="3"/>
    </row>
    <row r="100" spans="1:26">
      <c r="A100" t="s">
        <v>10627</v>
      </c>
      <c r="B100" t="s">
        <v>10627</v>
      </c>
      <c r="C100" t="s">
        <v>5746</v>
      </c>
      <c r="D100" t="s">
        <v>21</v>
      </c>
      <c r="E100" s="14" t="s">
        <v>6447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6449</v>
      </c>
    </row>
    <row r="101" spans="1:26">
      <c r="A101" t="s">
        <v>10616</v>
      </c>
      <c r="B101" t="s">
        <v>10616</v>
      </c>
      <c r="C101" t="s">
        <v>5752</v>
      </c>
      <c r="D101" t="s">
        <v>21</v>
      </c>
      <c r="E101" s="14" t="s">
        <v>6447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6450</v>
      </c>
    </row>
    <row r="102" spans="1:26">
      <c r="A102" t="s">
        <v>10617</v>
      </c>
      <c r="B102" t="s">
        <v>10617</v>
      </c>
      <c r="C102" t="s">
        <v>5757</v>
      </c>
      <c r="D102" t="s">
        <v>21</v>
      </c>
      <c r="E102" s="14" t="s">
        <v>6447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6451</v>
      </c>
    </row>
    <row r="103" spans="1:26">
      <c r="A103" t="s">
        <v>10618</v>
      </c>
      <c r="B103" t="s">
        <v>10618</v>
      </c>
      <c r="C103" t="s">
        <v>5762</v>
      </c>
      <c r="D103" t="s">
        <v>21</v>
      </c>
      <c r="E103" s="14" t="s">
        <v>6447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6452</v>
      </c>
    </row>
    <row r="104" spans="1:26">
      <c r="A104" t="s">
        <v>10619</v>
      </c>
      <c r="B104" t="s">
        <v>10619</v>
      </c>
      <c r="C104" t="s">
        <v>5767</v>
      </c>
      <c r="D104" t="s">
        <v>21</v>
      </c>
      <c r="E104" s="14" t="s">
        <v>6447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6453</v>
      </c>
    </row>
    <row r="105" spans="1:26">
      <c r="A105" t="s">
        <v>10620</v>
      </c>
      <c r="B105" t="s">
        <v>10620</v>
      </c>
      <c r="C105" t="s">
        <v>5772</v>
      </c>
      <c r="D105" t="s">
        <v>21</v>
      </c>
      <c r="E105" s="14" t="s">
        <v>6447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6454</v>
      </c>
    </row>
    <row r="106" spans="1:26">
      <c r="A106" t="s">
        <v>10621</v>
      </c>
      <c r="B106" t="s">
        <v>10621</v>
      </c>
      <c r="C106" t="s">
        <v>5777</v>
      </c>
      <c r="D106" t="s">
        <v>21</v>
      </c>
      <c r="E106" s="14" t="s">
        <v>6447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6455</v>
      </c>
    </row>
    <row r="107" spans="1:26">
      <c r="A107" t="s">
        <v>10622</v>
      </c>
      <c r="B107" t="s">
        <v>10622</v>
      </c>
      <c r="C107" t="s">
        <v>5782</v>
      </c>
      <c r="D107" t="s">
        <v>21</v>
      </c>
      <c r="E107" s="14" t="s">
        <v>6447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6456</v>
      </c>
    </row>
    <row r="108" spans="1:26">
      <c r="A108" t="s">
        <v>10623</v>
      </c>
      <c r="B108" t="s">
        <v>10623</v>
      </c>
      <c r="C108" t="s">
        <v>5787</v>
      </c>
      <c r="D108" t="s">
        <v>21</v>
      </c>
      <c r="E108" s="14" t="s">
        <v>6447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6457</v>
      </c>
    </row>
    <row r="109" spans="1:26">
      <c r="A109" t="s">
        <v>10624</v>
      </c>
      <c r="B109" t="s">
        <v>10624</v>
      </c>
      <c r="C109" t="s">
        <v>5792</v>
      </c>
      <c r="D109" t="s">
        <v>21</v>
      </c>
      <c r="E109" s="14" t="s">
        <v>6447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6458</v>
      </c>
    </row>
    <row r="110" spans="1:26">
      <c r="A110" t="s">
        <v>10625</v>
      </c>
      <c r="B110" t="s">
        <v>10625</v>
      </c>
      <c r="C110" t="s">
        <v>5797</v>
      </c>
      <c r="D110" t="s">
        <v>21</v>
      </c>
      <c r="E110" s="14" t="s">
        <v>6447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6459</v>
      </c>
    </row>
    <row r="111" spans="1:26">
      <c r="A111" t="s">
        <v>10626</v>
      </c>
      <c r="B111" t="s">
        <v>10626</v>
      </c>
      <c r="C111" t="s">
        <v>5802</v>
      </c>
      <c r="D111" t="s">
        <v>21</v>
      </c>
      <c r="E111" s="14" t="s">
        <v>6447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6460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6447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6461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6447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6462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6447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6463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6447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6464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6447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6465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6447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6601</v>
      </c>
      <c r="Z117" t="s">
        <v>6466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6447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6467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6447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6468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6447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6469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6447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6470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6447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6471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6447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6472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6447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6473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6447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6474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6447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6475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6447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6476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6447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6477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6447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6478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6447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6479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6447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6480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6447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6481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6447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6482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6447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6483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6447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6484</v>
      </c>
    </row>
    <row r="136" spans="1:26">
      <c r="A136" t="s">
        <v>10628</v>
      </c>
      <c r="B136" t="s">
        <v>10628</v>
      </c>
      <c r="C136" t="s">
        <v>5949</v>
      </c>
      <c r="D136" t="s">
        <v>21</v>
      </c>
      <c r="E136" s="14" t="s">
        <v>6447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6485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6447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6447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6447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6447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6447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6447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6447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6447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6447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6447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6447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6447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10640</v>
      </c>
      <c r="B149" t="s">
        <v>10640</v>
      </c>
      <c r="C149" t="s">
        <v>6027</v>
      </c>
      <c r="D149" t="s">
        <v>21</v>
      </c>
      <c r="E149" s="14" t="s">
        <v>6447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10629</v>
      </c>
      <c r="B150" t="s">
        <v>10629</v>
      </c>
      <c r="C150" t="s">
        <v>6032</v>
      </c>
      <c r="D150" t="s">
        <v>21</v>
      </c>
      <c r="E150" s="14" t="s">
        <v>6447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10630</v>
      </c>
      <c r="B151" t="s">
        <v>10630</v>
      </c>
      <c r="C151" t="s">
        <v>6037</v>
      </c>
      <c r="D151" t="s">
        <v>21</v>
      </c>
      <c r="E151" s="14" t="s">
        <v>6447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10631</v>
      </c>
      <c r="B152" t="s">
        <v>10631</v>
      </c>
      <c r="C152" t="s">
        <v>6042</v>
      </c>
      <c r="D152" t="s">
        <v>21</v>
      </c>
      <c r="E152" s="14" t="s">
        <v>6447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10632</v>
      </c>
      <c r="B153" t="s">
        <v>10632</v>
      </c>
      <c r="C153" t="s">
        <v>6047</v>
      </c>
      <c r="D153" t="s">
        <v>21</v>
      </c>
      <c r="E153" s="14" t="s">
        <v>6447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10633</v>
      </c>
      <c r="B154" t="s">
        <v>10633</v>
      </c>
      <c r="C154" t="s">
        <v>6052</v>
      </c>
      <c r="D154" t="s">
        <v>21</v>
      </c>
      <c r="E154" s="14" t="s">
        <v>6447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10634</v>
      </c>
      <c r="B155" t="s">
        <v>10634</v>
      </c>
      <c r="C155" t="s">
        <v>6057</v>
      </c>
      <c r="D155" t="s">
        <v>21</v>
      </c>
      <c r="E155" s="14" t="s">
        <v>6447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10635</v>
      </c>
      <c r="B156" t="s">
        <v>10635</v>
      </c>
      <c r="C156" t="s">
        <v>6062</v>
      </c>
      <c r="D156" t="s">
        <v>21</v>
      </c>
      <c r="E156" s="14" t="s">
        <v>6447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10636</v>
      </c>
      <c r="B157" t="s">
        <v>10636</v>
      </c>
      <c r="C157" t="s">
        <v>6067</v>
      </c>
      <c r="D157" t="s">
        <v>21</v>
      </c>
      <c r="E157" s="14" t="s">
        <v>6447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10637</v>
      </c>
      <c r="B158" t="s">
        <v>10637</v>
      </c>
      <c r="C158" t="s">
        <v>6072</v>
      </c>
      <c r="D158" t="s">
        <v>21</v>
      </c>
      <c r="E158" s="14" t="s">
        <v>6447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10638</v>
      </c>
      <c r="B159" t="s">
        <v>10638</v>
      </c>
      <c r="C159" t="s">
        <v>6077</v>
      </c>
      <c r="D159" t="s">
        <v>21</v>
      </c>
      <c r="E159" s="14" t="s">
        <v>6447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10639</v>
      </c>
      <c r="B160" t="s">
        <v>10639</v>
      </c>
      <c r="C160" t="s">
        <v>6082</v>
      </c>
      <c r="D160" t="s">
        <v>21</v>
      </c>
      <c r="E160" s="14" t="s">
        <v>6447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6447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6447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6447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6447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6447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6447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6447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6447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6447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6447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6447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6447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16647</v>
      </c>
      <c r="B173" t="s">
        <v>16647</v>
      </c>
      <c r="C173" t="s">
        <v>16648</v>
      </c>
      <c r="D173" t="s">
        <v>21</v>
      </c>
      <c r="E173" s="14" t="s">
        <v>6446</v>
      </c>
      <c r="F173" t="s">
        <v>16649</v>
      </c>
      <c r="G173" t="str">
        <f>Config!$B$4</f>
        <v>SCH/C_IEC.SchLib</v>
      </c>
      <c r="H173" t="s">
        <v>425</v>
      </c>
      <c r="I173" t="s">
        <v>461</v>
      </c>
      <c r="J173" t="s">
        <v>16650</v>
      </c>
      <c r="K173" s="3">
        <v>1.9999999999999999E-11</v>
      </c>
      <c r="L173" t="s">
        <v>16651</v>
      </c>
      <c r="M173" t="s">
        <v>1032</v>
      </c>
      <c r="N173" t="s">
        <v>16652</v>
      </c>
      <c r="O173" t="s">
        <v>25</v>
      </c>
      <c r="P173" t="s">
        <v>16653</v>
      </c>
      <c r="U173" t="s">
        <v>1032</v>
      </c>
      <c r="V173" t="s">
        <v>16652</v>
      </c>
      <c r="W173" t="s">
        <v>4559</v>
      </c>
      <c r="X173" t="s">
        <v>16654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6446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6599</v>
      </c>
      <c r="Y174" t="s">
        <v>4728</v>
      </c>
      <c r="Z174" t="s">
        <v>6545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6446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6533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6446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6546</v>
      </c>
    </row>
    <row r="177" spans="1:26" ht="15.75">
      <c r="A177" t="s">
        <v>17976</v>
      </c>
      <c r="B177" t="s">
        <v>17976</v>
      </c>
      <c r="C177" t="s">
        <v>17977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17980</v>
      </c>
      <c r="M177" t="s">
        <v>4298</v>
      </c>
      <c r="N177" t="s">
        <v>17978</v>
      </c>
      <c r="O177" t="s">
        <v>25</v>
      </c>
      <c r="P177" t="s">
        <v>17979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6547</v>
      </c>
    </row>
    <row r="178" spans="1:26" ht="16.5">
      <c r="A178" t="s">
        <v>10641</v>
      </c>
      <c r="B178" t="s">
        <v>10641</v>
      </c>
      <c r="C178" t="s">
        <v>6182</v>
      </c>
      <c r="D178" t="s">
        <v>21</v>
      </c>
      <c r="E178" s="14" t="s">
        <v>6446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17982</v>
      </c>
      <c r="V178" s="9" t="s">
        <v>17981</v>
      </c>
      <c r="W178" t="s">
        <v>4559</v>
      </c>
      <c r="X178" s="9" t="s">
        <v>17983</v>
      </c>
      <c r="Z178" t="s">
        <v>6547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6446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6548</v>
      </c>
    </row>
    <row r="180" spans="1:26">
      <c r="A180" t="s">
        <v>14471</v>
      </c>
      <c r="B180" t="s">
        <v>14471</v>
      </c>
      <c r="C180" t="s">
        <v>14472</v>
      </c>
      <c r="D180" t="s">
        <v>21</v>
      </c>
      <c r="E180" s="14" t="s">
        <v>6762</v>
      </c>
      <c r="F180" t="s">
        <v>13282</v>
      </c>
      <c r="G180" t="str">
        <f>Config!$B$4</f>
        <v>SCH/C_IEC.SchLib</v>
      </c>
      <c r="H180" t="s">
        <v>425</v>
      </c>
      <c r="I180" t="s">
        <v>461</v>
      </c>
      <c r="J180" t="s">
        <v>12470</v>
      </c>
      <c r="K180" s="3">
        <v>2.2000000000000001E-6</v>
      </c>
      <c r="L180" t="s">
        <v>13972</v>
      </c>
      <c r="M180" t="s">
        <v>477</v>
      </c>
      <c r="N180" t="s">
        <v>14473</v>
      </c>
      <c r="O180" t="s">
        <v>25</v>
      </c>
      <c r="P180" t="s">
        <v>14474</v>
      </c>
      <c r="U180" t="s">
        <v>477</v>
      </c>
      <c r="V180" t="s">
        <v>14473</v>
      </c>
      <c r="W180" t="s">
        <v>4559</v>
      </c>
      <c r="X180" t="s">
        <v>14475</v>
      </c>
      <c r="Y180" t="s">
        <v>4727</v>
      </c>
    </row>
    <row r="181" spans="1:26">
      <c r="A181" t="s">
        <v>10642</v>
      </c>
      <c r="B181" t="s">
        <v>10642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6534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6549</v>
      </c>
    </row>
    <row r="183" spans="1:26">
      <c r="A183" t="s">
        <v>6280</v>
      </c>
      <c r="B183" t="s">
        <v>6280</v>
      </c>
      <c r="C183" t="s">
        <v>6281</v>
      </c>
      <c r="D183" t="s">
        <v>21</v>
      </c>
      <c r="E183" s="14" t="s">
        <v>6282</v>
      </c>
      <c r="F183" t="s">
        <v>6283</v>
      </c>
      <c r="G183" t="str">
        <f>Config!$B$4</f>
        <v>SCH/C_IEC.SchLib</v>
      </c>
      <c r="H183" t="s">
        <v>6284</v>
      </c>
      <c r="I183" t="s">
        <v>6285</v>
      </c>
      <c r="J183" t="s">
        <v>6659</v>
      </c>
      <c r="K183" s="3">
        <v>10</v>
      </c>
      <c r="L183" t="s">
        <v>6286</v>
      </c>
      <c r="M183" t="s">
        <v>6287</v>
      </c>
      <c r="N183" t="s">
        <v>6279</v>
      </c>
      <c r="O183" t="s">
        <v>25</v>
      </c>
      <c r="P183" t="s">
        <v>6288</v>
      </c>
      <c r="U183" t="s">
        <v>4592</v>
      </c>
      <c r="V183" t="s">
        <v>6290</v>
      </c>
      <c r="W183" t="s">
        <v>4559</v>
      </c>
      <c r="X183" s="5" t="s">
        <v>6289</v>
      </c>
    </row>
    <row r="184" spans="1:26">
      <c r="A184" t="s">
        <v>6402</v>
      </c>
      <c r="B184" t="s">
        <v>6402</v>
      </c>
      <c r="C184" t="s">
        <v>6403</v>
      </c>
      <c r="D184" t="s">
        <v>21</v>
      </c>
      <c r="E184" s="14" t="s">
        <v>6282</v>
      </c>
      <c r="F184" t="s">
        <v>6404</v>
      </c>
      <c r="G184" t="str">
        <f>Config!$B$4</f>
        <v>SCH/C_IEC.SchLib</v>
      </c>
      <c r="H184" t="s">
        <v>6284</v>
      </c>
      <c r="I184" t="s">
        <v>6285</v>
      </c>
      <c r="J184" t="s">
        <v>6659</v>
      </c>
      <c r="K184" s="3">
        <v>8.2000000000000001E-5</v>
      </c>
      <c r="L184" t="s">
        <v>6405</v>
      </c>
      <c r="M184" t="s">
        <v>6406</v>
      </c>
      <c r="N184" t="s">
        <v>6408</v>
      </c>
      <c r="O184" t="s">
        <v>25</v>
      </c>
      <c r="P184" t="s">
        <v>6407</v>
      </c>
    </row>
    <row r="185" spans="1:26">
      <c r="A185" t="s">
        <v>6763</v>
      </c>
      <c r="B185" t="s">
        <v>6763</v>
      </c>
      <c r="C185" t="s">
        <v>6764</v>
      </c>
      <c r="D185" t="s">
        <v>21</v>
      </c>
      <c r="E185" s="14" t="s">
        <v>6770</v>
      </c>
      <c r="F185" t="s">
        <v>6771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6815</v>
      </c>
      <c r="M185" t="s">
        <v>6807</v>
      </c>
      <c r="N185" t="s">
        <v>6806</v>
      </c>
      <c r="O185" t="s">
        <v>25</v>
      </c>
      <c r="P185" s="17" t="s">
        <v>6805</v>
      </c>
      <c r="U185" t="s">
        <v>4592</v>
      </c>
      <c r="V185" s="5" t="s">
        <v>6808</v>
      </c>
      <c r="W185" t="s">
        <v>4559</v>
      </c>
      <c r="X185" s="5" t="s">
        <v>6809</v>
      </c>
    </row>
    <row r="186" spans="1:26">
      <c r="A186" t="s">
        <v>6819</v>
      </c>
      <c r="B186" t="s">
        <v>6819</v>
      </c>
      <c r="C186" t="s">
        <v>6826</v>
      </c>
      <c r="D186" t="s">
        <v>21</v>
      </c>
      <c r="E186" s="14" t="s">
        <v>6282</v>
      </c>
      <c r="F186" t="s">
        <v>6769</v>
      </c>
      <c r="G186" t="str">
        <f>Config!$B$4</f>
        <v>SCH/C_IEC.SchLib</v>
      </c>
      <c r="H186" t="s">
        <v>6284</v>
      </c>
      <c r="I186" t="s">
        <v>6285</v>
      </c>
      <c r="J186" t="s">
        <v>6821</v>
      </c>
      <c r="K186" s="3">
        <v>4.6999999999999997E-5</v>
      </c>
      <c r="L186" t="s">
        <v>6820</v>
      </c>
      <c r="M186" t="s">
        <v>6818</v>
      </c>
      <c r="N186" t="s">
        <v>6816</v>
      </c>
      <c r="O186" t="s">
        <v>25</v>
      </c>
      <c r="P186" t="s">
        <v>6817</v>
      </c>
      <c r="U186" t="s">
        <v>6824</v>
      </c>
      <c r="V186" s="5" t="s">
        <v>6823</v>
      </c>
      <c r="W186" t="s">
        <v>4559</v>
      </c>
      <c r="X186" s="5" t="s">
        <v>6822</v>
      </c>
    </row>
    <row r="187" spans="1:26">
      <c r="A187" t="s">
        <v>6828</v>
      </c>
      <c r="B187" t="s">
        <v>6828</v>
      </c>
      <c r="C187" t="s">
        <v>6827</v>
      </c>
      <c r="D187" t="s">
        <v>21</v>
      </c>
      <c r="E187" s="14" t="s">
        <v>6282</v>
      </c>
      <c r="F187" t="s">
        <v>6768</v>
      </c>
      <c r="G187" t="str">
        <f>Config!$B$4</f>
        <v>SCH/C_IEC.SchLib</v>
      </c>
      <c r="H187" t="s">
        <v>6284</v>
      </c>
      <c r="I187" t="s">
        <v>6285</v>
      </c>
      <c r="J187" t="s">
        <v>6825</v>
      </c>
      <c r="K187" s="3">
        <v>6.7999999999999999E-5</v>
      </c>
      <c r="L187" t="s">
        <v>6829</v>
      </c>
      <c r="M187" t="s">
        <v>6223</v>
      </c>
      <c r="N187" s="14" t="s">
        <v>6831</v>
      </c>
      <c r="O187" t="s">
        <v>25</v>
      </c>
      <c r="P187" t="s">
        <v>6830</v>
      </c>
      <c r="U187" t="s">
        <v>6834</v>
      </c>
      <c r="V187" s="5" t="s">
        <v>6832</v>
      </c>
      <c r="W187" t="s">
        <v>4559</v>
      </c>
      <c r="X187" s="5" t="s">
        <v>6833</v>
      </c>
    </row>
    <row r="188" spans="1:26">
      <c r="A188" t="s">
        <v>7809</v>
      </c>
      <c r="B188" t="s">
        <v>7809</v>
      </c>
      <c r="C188" t="s">
        <v>6772</v>
      </c>
      <c r="D188" t="s">
        <v>21</v>
      </c>
      <c r="E188" s="14" t="s">
        <v>6770</v>
      </c>
      <c r="F188" t="s">
        <v>6773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6814</v>
      </c>
      <c r="M188" t="s">
        <v>1032</v>
      </c>
      <c r="N188" t="s">
        <v>6810</v>
      </c>
      <c r="O188" t="s">
        <v>25</v>
      </c>
      <c r="P188" t="s">
        <v>6811</v>
      </c>
      <c r="U188" t="s">
        <v>6173</v>
      </c>
      <c r="V188" s="5" t="s">
        <v>6812</v>
      </c>
      <c r="W188" t="s">
        <v>4559</v>
      </c>
      <c r="X188" s="5" t="s">
        <v>6813</v>
      </c>
    </row>
    <row r="189" spans="1:26">
      <c r="A189" t="s">
        <v>8048</v>
      </c>
      <c r="B189" t="s">
        <v>8048</v>
      </c>
      <c r="C189" t="s">
        <v>8049</v>
      </c>
      <c r="D189" t="s">
        <v>21</v>
      </c>
      <c r="F189" t="s">
        <v>8050</v>
      </c>
      <c r="G189" t="str">
        <f>Config!$B$4</f>
        <v>SCH/C_IEC.SchLib</v>
      </c>
      <c r="H189" t="s">
        <v>425</v>
      </c>
      <c r="I189" t="s">
        <v>6285</v>
      </c>
      <c r="J189" t="s">
        <v>8067</v>
      </c>
      <c r="K189" s="3">
        <v>9.9999999999999995E-7</v>
      </c>
      <c r="L189" t="s">
        <v>8051</v>
      </c>
      <c r="M189" t="s">
        <v>7496</v>
      </c>
      <c r="N189" t="s">
        <v>8052</v>
      </c>
      <c r="O189" t="s">
        <v>25</v>
      </c>
      <c r="P189" t="s">
        <v>8053</v>
      </c>
    </row>
    <row r="190" spans="1:26">
      <c r="A190" t="s">
        <v>8054</v>
      </c>
      <c r="B190" t="s">
        <v>8054</v>
      </c>
      <c r="C190" t="s">
        <v>8055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6285</v>
      </c>
      <c r="J190" t="s">
        <v>8066</v>
      </c>
      <c r="K190" s="3">
        <v>2.1999999999999998E-9</v>
      </c>
      <c r="L190" t="s">
        <v>8056</v>
      </c>
      <c r="M190" t="s">
        <v>7496</v>
      </c>
      <c r="N190" t="s">
        <v>8057</v>
      </c>
      <c r="O190" t="s">
        <v>25</v>
      </c>
      <c r="P190" t="s">
        <v>8058</v>
      </c>
    </row>
    <row r="191" spans="1:26">
      <c r="A191" t="s">
        <v>10804</v>
      </c>
      <c r="B191" t="s">
        <v>10804</v>
      </c>
      <c r="C191" t="s">
        <v>10805</v>
      </c>
      <c r="D191" t="s">
        <v>21</v>
      </c>
      <c r="E191" s="14" t="s">
        <v>6770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10808</v>
      </c>
      <c r="M191" t="s">
        <v>6162</v>
      </c>
      <c r="N191" t="s">
        <v>10809</v>
      </c>
      <c r="O191" t="s">
        <v>25</v>
      </c>
      <c r="P191" t="s">
        <v>10810</v>
      </c>
    </row>
    <row r="192" spans="1:26">
      <c r="A192" t="s">
        <v>10806</v>
      </c>
      <c r="B192" t="s">
        <v>10806</v>
      </c>
      <c r="C192" t="s">
        <v>10807</v>
      </c>
      <c r="D192" t="s">
        <v>21</v>
      </c>
      <c r="E192" s="14" t="s">
        <v>6770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10811</v>
      </c>
      <c r="M192" t="s">
        <v>1029</v>
      </c>
      <c r="N192" t="s">
        <v>10812</v>
      </c>
      <c r="O192" t="s">
        <v>25</v>
      </c>
      <c r="P192" t="s">
        <v>10813</v>
      </c>
    </row>
    <row r="193" spans="1:24">
      <c r="A193" t="s">
        <v>10838</v>
      </c>
      <c r="B193" t="s">
        <v>10838</v>
      </c>
      <c r="C193" t="s">
        <v>10814</v>
      </c>
      <c r="D193" t="s">
        <v>21</v>
      </c>
      <c r="E193" s="14" t="s">
        <v>6282</v>
      </c>
      <c r="F193" t="s">
        <v>10815</v>
      </c>
      <c r="G193" t="str">
        <f>Config!$B$4</f>
        <v>SCH/C_IEC.SchLib</v>
      </c>
      <c r="H193" t="s">
        <v>6284</v>
      </c>
      <c r="I193" t="s">
        <v>6285</v>
      </c>
      <c r="J193" t="s">
        <v>12471</v>
      </c>
      <c r="K193" s="3">
        <v>1.5E-5</v>
      </c>
      <c r="L193" t="s">
        <v>10816</v>
      </c>
      <c r="M193" t="s">
        <v>10817</v>
      </c>
      <c r="N193" t="s">
        <v>10818</v>
      </c>
      <c r="O193" t="s">
        <v>25</v>
      </c>
      <c r="P193" t="s">
        <v>10819</v>
      </c>
    </row>
    <row r="194" spans="1:24" ht="16.5">
      <c r="A194" t="s">
        <v>13574</v>
      </c>
      <c r="B194" t="s">
        <v>13574</v>
      </c>
      <c r="C194" t="s">
        <v>13575</v>
      </c>
      <c r="D194" t="s">
        <v>21</v>
      </c>
      <c r="E194" s="14" t="s">
        <v>6762</v>
      </c>
      <c r="F194" t="s">
        <v>8050</v>
      </c>
      <c r="G194" t="str">
        <f>Config!$B$4</f>
        <v>SCH/C_IEC.SchLib</v>
      </c>
      <c r="H194" t="s">
        <v>425</v>
      </c>
      <c r="I194" t="s">
        <v>461</v>
      </c>
      <c r="J194" t="s">
        <v>12470</v>
      </c>
      <c r="K194" s="3">
        <v>9.9999999999999995E-7</v>
      </c>
      <c r="L194" t="s">
        <v>10828</v>
      </c>
      <c r="M194" t="s">
        <v>1032</v>
      </c>
      <c r="N194" t="s">
        <v>10829</v>
      </c>
      <c r="O194" t="s">
        <v>25</v>
      </c>
      <c r="P194" t="s">
        <v>10830</v>
      </c>
      <c r="U194" s="9" t="s">
        <v>6186</v>
      </c>
      <c r="V194" s="9" t="s">
        <v>13573</v>
      </c>
      <c r="W194" t="s">
        <v>4559</v>
      </c>
      <c r="X194" s="9" t="s">
        <v>13572</v>
      </c>
    </row>
    <row r="195" spans="1:24">
      <c r="A195" t="s">
        <v>10837</v>
      </c>
      <c r="B195" t="s">
        <v>10837</v>
      </c>
      <c r="C195" t="s">
        <v>10831</v>
      </c>
      <c r="D195" t="s">
        <v>21</v>
      </c>
      <c r="E195" s="14" t="s">
        <v>6282</v>
      </c>
      <c r="F195" t="s">
        <v>10832</v>
      </c>
      <c r="G195" t="str">
        <f>Config!$B$4</f>
        <v>SCH/C_IEC.SchLib</v>
      </c>
      <c r="H195" t="s">
        <v>6284</v>
      </c>
      <c r="I195" t="s">
        <v>6285</v>
      </c>
      <c r="J195" t="s">
        <v>12472</v>
      </c>
      <c r="K195" s="3">
        <v>6.8000000000000005E-4</v>
      </c>
      <c r="L195" t="s">
        <v>10833</v>
      </c>
      <c r="M195" t="s">
        <v>6162</v>
      </c>
      <c r="N195" t="s">
        <v>10834</v>
      </c>
      <c r="O195" t="s">
        <v>25</v>
      </c>
      <c r="P195" t="s">
        <v>10835</v>
      </c>
    </row>
    <row r="196" spans="1:24" ht="16.5">
      <c r="A196" t="s">
        <v>10836</v>
      </c>
      <c r="B196" t="s">
        <v>10836</v>
      </c>
      <c r="C196" t="s">
        <v>10839</v>
      </c>
      <c r="D196" t="s">
        <v>21</v>
      </c>
      <c r="E196" s="14" t="s">
        <v>6446</v>
      </c>
      <c r="F196" t="s">
        <v>10840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10841</v>
      </c>
      <c r="M196" t="s">
        <v>1032</v>
      </c>
      <c r="N196" t="s">
        <v>10842</v>
      </c>
      <c r="O196" t="s">
        <v>25</v>
      </c>
      <c r="P196" t="s">
        <v>10843</v>
      </c>
      <c r="U196" s="43" t="s">
        <v>1032</v>
      </c>
      <c r="V196" s="9" t="s">
        <v>10842</v>
      </c>
      <c r="W196" t="s">
        <v>4559</v>
      </c>
      <c r="X196" s="9" t="s">
        <v>13576</v>
      </c>
    </row>
    <row r="197" spans="1:24" ht="15.75">
      <c r="A197" t="s">
        <v>13537</v>
      </c>
      <c r="B197" t="s">
        <v>13537</v>
      </c>
      <c r="C197" t="s">
        <v>13540</v>
      </c>
      <c r="D197" t="s">
        <v>21</v>
      </c>
      <c r="E197" s="14" t="s">
        <v>6770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13543</v>
      </c>
      <c r="M197" t="s">
        <v>6807</v>
      </c>
      <c r="N197" t="s">
        <v>13542</v>
      </c>
      <c r="O197" t="s">
        <v>25</v>
      </c>
      <c r="P197" t="s">
        <v>13541</v>
      </c>
      <c r="U197" s="42" t="s">
        <v>4592</v>
      </c>
      <c r="V197" s="8" t="s">
        <v>13539</v>
      </c>
      <c r="W197" t="s">
        <v>4559</v>
      </c>
      <c r="X197" s="8" t="s">
        <v>13538</v>
      </c>
    </row>
    <row r="198" spans="1:24">
      <c r="A198" t="s">
        <v>17675</v>
      </c>
      <c r="B198" t="s">
        <v>17675</v>
      </c>
      <c r="C198" t="s">
        <v>17676</v>
      </c>
      <c r="D198" t="s">
        <v>21</v>
      </c>
      <c r="E198" s="14" t="s">
        <v>16949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17677</v>
      </c>
      <c r="K198" s="3">
        <v>9.9999999999999998E-13</v>
      </c>
      <c r="L198" t="s">
        <v>17678</v>
      </c>
      <c r="M198" t="s">
        <v>477</v>
      </c>
      <c r="N198" t="s">
        <v>17679</v>
      </c>
      <c r="O198" t="s">
        <v>25</v>
      </c>
      <c r="P198" t="s">
        <v>17680</v>
      </c>
    </row>
    <row r="199" spans="1:24">
      <c r="A199" t="s">
        <v>17681</v>
      </c>
      <c r="B199" t="s">
        <v>17681</v>
      </c>
      <c r="C199" t="s">
        <v>17682</v>
      </c>
      <c r="D199" t="s">
        <v>21</v>
      </c>
      <c r="E199" s="14" t="s">
        <v>16949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17677</v>
      </c>
      <c r="K199" s="3">
        <v>1.1999999999999999E-12</v>
      </c>
      <c r="L199" t="s">
        <v>17683</v>
      </c>
      <c r="M199" t="s">
        <v>477</v>
      </c>
      <c r="N199" t="s">
        <v>17684</v>
      </c>
      <c r="O199" t="s">
        <v>25</v>
      </c>
      <c r="P199" t="s">
        <v>17685</v>
      </c>
    </row>
    <row r="200" spans="1:24">
      <c r="A200" t="s">
        <v>17686</v>
      </c>
      <c r="B200" t="s">
        <v>17686</v>
      </c>
      <c r="C200" t="s">
        <v>17687</v>
      </c>
      <c r="D200" t="s">
        <v>21</v>
      </c>
      <c r="E200" s="14" t="s">
        <v>16949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17677</v>
      </c>
      <c r="K200" s="3">
        <v>1.5000000000000001E-12</v>
      </c>
      <c r="L200" t="s">
        <v>17688</v>
      </c>
      <c r="M200" t="s">
        <v>477</v>
      </c>
      <c r="N200" t="s">
        <v>17689</v>
      </c>
      <c r="O200" t="s">
        <v>25</v>
      </c>
      <c r="P200" t="s">
        <v>17690</v>
      </c>
    </row>
    <row r="201" spans="1:24">
      <c r="A201" t="s">
        <v>17691</v>
      </c>
      <c r="B201" t="s">
        <v>17691</v>
      </c>
      <c r="C201" t="s">
        <v>17692</v>
      </c>
      <c r="D201" t="s">
        <v>21</v>
      </c>
      <c r="E201" s="14" t="s">
        <v>16949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17677</v>
      </c>
      <c r="K201" s="3">
        <v>1.8E-12</v>
      </c>
      <c r="L201" t="s">
        <v>17693</v>
      </c>
      <c r="M201" t="s">
        <v>477</v>
      </c>
      <c r="N201" t="s">
        <v>17694</v>
      </c>
      <c r="O201" t="s">
        <v>25</v>
      </c>
      <c r="P201" t="s">
        <v>17695</v>
      </c>
    </row>
    <row r="202" spans="1:24">
      <c r="A202" t="s">
        <v>17696</v>
      </c>
      <c r="B202" t="s">
        <v>17696</v>
      </c>
      <c r="C202" t="s">
        <v>17697</v>
      </c>
      <c r="D202" t="s">
        <v>21</v>
      </c>
      <c r="E202" s="14" t="s">
        <v>16949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17677</v>
      </c>
      <c r="K202" s="3">
        <v>2.1999999999999999E-12</v>
      </c>
      <c r="L202" t="s">
        <v>17698</v>
      </c>
      <c r="M202" t="s">
        <v>477</v>
      </c>
      <c r="N202" t="s">
        <v>17699</v>
      </c>
      <c r="O202" t="s">
        <v>25</v>
      </c>
      <c r="P202" t="s">
        <v>17700</v>
      </c>
    </row>
    <row r="203" spans="1:24">
      <c r="A203" t="s">
        <v>17701</v>
      </c>
      <c r="B203" t="s">
        <v>17701</v>
      </c>
      <c r="C203" t="s">
        <v>17702</v>
      </c>
      <c r="D203" t="s">
        <v>21</v>
      </c>
      <c r="E203" s="14" t="s">
        <v>16949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17677</v>
      </c>
      <c r="K203" s="3">
        <v>2.6999999999999998E-12</v>
      </c>
      <c r="L203" t="s">
        <v>17703</v>
      </c>
      <c r="M203" t="s">
        <v>477</v>
      </c>
      <c r="N203" t="s">
        <v>17704</v>
      </c>
      <c r="O203" t="s">
        <v>25</v>
      </c>
      <c r="P203" t="s">
        <v>17705</v>
      </c>
    </row>
    <row r="204" spans="1:24">
      <c r="A204" t="s">
        <v>17706</v>
      </c>
      <c r="B204" t="s">
        <v>17706</v>
      </c>
      <c r="C204" t="s">
        <v>17707</v>
      </c>
      <c r="D204" t="s">
        <v>21</v>
      </c>
      <c r="E204" s="14" t="s">
        <v>16949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17677</v>
      </c>
      <c r="K204" s="3">
        <v>3.3000000000000001E-12</v>
      </c>
      <c r="L204" t="s">
        <v>17708</v>
      </c>
      <c r="M204" t="s">
        <v>477</v>
      </c>
      <c r="N204" t="s">
        <v>17709</v>
      </c>
      <c r="O204" t="s">
        <v>25</v>
      </c>
      <c r="P204" t="s">
        <v>17710</v>
      </c>
    </row>
    <row r="205" spans="1:24">
      <c r="A205" t="s">
        <v>17711</v>
      </c>
      <c r="B205" t="s">
        <v>17711</v>
      </c>
      <c r="C205" t="s">
        <v>17712</v>
      </c>
      <c r="D205" t="s">
        <v>21</v>
      </c>
      <c r="E205" s="14" t="s">
        <v>16949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17677</v>
      </c>
      <c r="K205" s="3">
        <v>3.8999999999999999E-12</v>
      </c>
      <c r="L205" t="s">
        <v>17713</v>
      </c>
      <c r="M205" t="s">
        <v>477</v>
      </c>
      <c r="N205" t="s">
        <v>17714</v>
      </c>
      <c r="O205" t="s">
        <v>25</v>
      </c>
      <c r="P205" t="s">
        <v>17715</v>
      </c>
    </row>
    <row r="206" spans="1:24">
      <c r="A206" t="s">
        <v>17716</v>
      </c>
      <c r="B206" t="s">
        <v>17716</v>
      </c>
      <c r="C206" t="s">
        <v>17717</v>
      </c>
      <c r="D206" t="s">
        <v>21</v>
      </c>
      <c r="E206" s="14" t="s">
        <v>16949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17677</v>
      </c>
      <c r="K206" s="3">
        <v>4.6999999999999998E-12</v>
      </c>
      <c r="L206" t="s">
        <v>17718</v>
      </c>
      <c r="M206" t="s">
        <v>477</v>
      </c>
      <c r="N206" t="s">
        <v>17719</v>
      </c>
      <c r="O206" t="s">
        <v>25</v>
      </c>
      <c r="P206" t="s">
        <v>17720</v>
      </c>
    </row>
    <row r="207" spans="1:24">
      <c r="A207" t="s">
        <v>17721</v>
      </c>
      <c r="B207" t="s">
        <v>17721</v>
      </c>
      <c r="C207" t="s">
        <v>17722</v>
      </c>
      <c r="D207" t="s">
        <v>21</v>
      </c>
      <c r="E207" s="14" t="s">
        <v>16949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17677</v>
      </c>
      <c r="K207" s="3">
        <v>5.6000000000000004E-12</v>
      </c>
      <c r="L207" t="s">
        <v>17723</v>
      </c>
      <c r="M207" t="s">
        <v>477</v>
      </c>
      <c r="N207" t="s">
        <v>17724</v>
      </c>
      <c r="O207" t="s">
        <v>25</v>
      </c>
      <c r="P207" t="s">
        <v>17725</v>
      </c>
    </row>
    <row r="208" spans="1:24">
      <c r="A208" t="s">
        <v>17726</v>
      </c>
      <c r="B208" t="s">
        <v>17726</v>
      </c>
      <c r="C208" t="s">
        <v>17727</v>
      </c>
      <c r="D208" t="s">
        <v>21</v>
      </c>
      <c r="E208" s="14" t="s">
        <v>16949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17677</v>
      </c>
      <c r="K208" s="3">
        <v>6.8000000000000001E-12</v>
      </c>
      <c r="L208" t="s">
        <v>17728</v>
      </c>
      <c r="M208" t="s">
        <v>477</v>
      </c>
      <c r="N208" t="s">
        <v>17729</v>
      </c>
      <c r="O208" t="s">
        <v>25</v>
      </c>
      <c r="P208" t="s">
        <v>17730</v>
      </c>
    </row>
    <row r="209" spans="1:25">
      <c r="A209" t="s">
        <v>17731</v>
      </c>
      <c r="B209" t="s">
        <v>17731</v>
      </c>
      <c r="C209" t="s">
        <v>17732</v>
      </c>
      <c r="D209" t="s">
        <v>21</v>
      </c>
      <c r="E209" s="14" t="s">
        <v>16949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17677</v>
      </c>
      <c r="K209" s="3">
        <v>8.1999999999999998E-12</v>
      </c>
      <c r="L209" t="s">
        <v>17733</v>
      </c>
      <c r="M209" t="s">
        <v>477</v>
      </c>
      <c r="N209" t="s">
        <v>17734</v>
      </c>
      <c r="O209" t="s">
        <v>25</v>
      </c>
      <c r="P209" t="s">
        <v>17735</v>
      </c>
    </row>
    <row r="210" spans="1:25">
      <c r="A210" t="s">
        <v>17736</v>
      </c>
      <c r="B210" t="s">
        <v>17736</v>
      </c>
      <c r="C210" t="s">
        <v>17737</v>
      </c>
      <c r="D210" t="s">
        <v>21</v>
      </c>
      <c r="E210" s="14" t="s">
        <v>16949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17677</v>
      </c>
      <c r="K210" s="3">
        <v>9.9999999999999994E-12</v>
      </c>
      <c r="L210" t="s">
        <v>17738</v>
      </c>
      <c r="M210" t="s">
        <v>477</v>
      </c>
      <c r="N210" t="s">
        <v>17739</v>
      </c>
      <c r="O210" t="s">
        <v>25</v>
      </c>
      <c r="P210" t="s">
        <v>17740</v>
      </c>
      <c r="U210" t="s">
        <v>18508</v>
      </c>
      <c r="V210" t="s">
        <v>18507</v>
      </c>
      <c r="W210" t="s">
        <v>4559</v>
      </c>
      <c r="X210" t="s">
        <v>18509</v>
      </c>
      <c r="Y210" t="s">
        <v>4727</v>
      </c>
    </row>
    <row r="211" spans="1:25">
      <c r="A211" t="s">
        <v>17741</v>
      </c>
      <c r="B211" t="s">
        <v>17741</v>
      </c>
      <c r="C211" t="s">
        <v>17742</v>
      </c>
      <c r="D211" t="s">
        <v>21</v>
      </c>
      <c r="E211" s="14" t="s">
        <v>16949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17677</v>
      </c>
      <c r="K211" s="3">
        <v>1.2000000000000001E-11</v>
      </c>
      <c r="L211" t="s">
        <v>17743</v>
      </c>
      <c r="M211" t="s">
        <v>477</v>
      </c>
      <c r="N211" t="s">
        <v>17744</v>
      </c>
      <c r="O211" t="s">
        <v>25</v>
      </c>
      <c r="P211" t="s">
        <v>17745</v>
      </c>
    </row>
    <row r="212" spans="1:25">
      <c r="A212" t="s">
        <v>17746</v>
      </c>
      <c r="B212" t="s">
        <v>17746</v>
      </c>
      <c r="C212" t="s">
        <v>17747</v>
      </c>
      <c r="D212" t="s">
        <v>21</v>
      </c>
      <c r="E212" s="14" t="s">
        <v>16949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17677</v>
      </c>
      <c r="K212" s="3">
        <v>1.5E-11</v>
      </c>
      <c r="L212" t="s">
        <v>17748</v>
      </c>
      <c r="M212" t="s">
        <v>477</v>
      </c>
      <c r="N212" t="s">
        <v>17749</v>
      </c>
      <c r="O212" t="s">
        <v>25</v>
      </c>
      <c r="P212" t="s">
        <v>17750</v>
      </c>
    </row>
    <row r="213" spans="1:25">
      <c r="A213" t="s">
        <v>17751</v>
      </c>
      <c r="B213" t="s">
        <v>17751</v>
      </c>
      <c r="C213" t="s">
        <v>17752</v>
      </c>
      <c r="D213" t="s">
        <v>21</v>
      </c>
      <c r="E213" s="14" t="s">
        <v>16949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17677</v>
      </c>
      <c r="K213" s="3">
        <v>1.7999999999999999E-11</v>
      </c>
      <c r="L213" t="s">
        <v>17753</v>
      </c>
      <c r="M213" t="s">
        <v>477</v>
      </c>
      <c r="N213" t="s">
        <v>17754</v>
      </c>
      <c r="O213" t="s">
        <v>25</v>
      </c>
      <c r="P213" t="s">
        <v>17755</v>
      </c>
    </row>
    <row r="214" spans="1:25">
      <c r="A214" t="s">
        <v>17756</v>
      </c>
      <c r="B214" t="s">
        <v>17756</v>
      </c>
      <c r="C214" t="s">
        <v>17757</v>
      </c>
      <c r="D214" t="s">
        <v>21</v>
      </c>
      <c r="E214" s="14" t="s">
        <v>16949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17677</v>
      </c>
      <c r="K214" s="3">
        <v>2.2000000000000002E-11</v>
      </c>
      <c r="L214" t="s">
        <v>17758</v>
      </c>
      <c r="M214" t="s">
        <v>477</v>
      </c>
      <c r="N214" t="s">
        <v>17759</v>
      </c>
      <c r="O214" t="s">
        <v>25</v>
      </c>
      <c r="P214" t="s">
        <v>17760</v>
      </c>
    </row>
    <row r="215" spans="1:25">
      <c r="A215" t="s">
        <v>17761</v>
      </c>
      <c r="B215" t="s">
        <v>17761</v>
      </c>
      <c r="C215" t="s">
        <v>17762</v>
      </c>
      <c r="D215" t="s">
        <v>21</v>
      </c>
      <c r="E215" s="14" t="s">
        <v>16949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17677</v>
      </c>
      <c r="K215" s="3">
        <v>2.7E-11</v>
      </c>
      <c r="L215" t="s">
        <v>17763</v>
      </c>
      <c r="M215" t="s">
        <v>477</v>
      </c>
      <c r="N215" t="s">
        <v>17764</v>
      </c>
      <c r="O215" t="s">
        <v>25</v>
      </c>
      <c r="P215" t="s">
        <v>17765</v>
      </c>
    </row>
    <row r="216" spans="1:25">
      <c r="A216" t="s">
        <v>17766</v>
      </c>
      <c r="B216" t="s">
        <v>17766</v>
      </c>
      <c r="C216" t="s">
        <v>17767</v>
      </c>
      <c r="D216" t="s">
        <v>21</v>
      </c>
      <c r="E216" s="14" t="s">
        <v>16949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17677</v>
      </c>
      <c r="K216" s="3">
        <v>3.3000000000000002E-11</v>
      </c>
      <c r="L216" t="s">
        <v>17768</v>
      </c>
      <c r="M216" t="s">
        <v>477</v>
      </c>
      <c r="N216" t="s">
        <v>17769</v>
      </c>
      <c r="O216" t="s">
        <v>25</v>
      </c>
      <c r="P216" t="s">
        <v>17770</v>
      </c>
    </row>
    <row r="217" spans="1:25">
      <c r="A217" t="s">
        <v>17771</v>
      </c>
      <c r="B217" t="s">
        <v>17771</v>
      </c>
      <c r="C217" t="s">
        <v>17772</v>
      </c>
      <c r="D217" t="s">
        <v>21</v>
      </c>
      <c r="E217" s="14" t="s">
        <v>16949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17677</v>
      </c>
      <c r="K217" s="3">
        <v>3.9000000000000001E-11</v>
      </c>
      <c r="L217" t="s">
        <v>17773</v>
      </c>
      <c r="M217" t="s">
        <v>477</v>
      </c>
      <c r="N217" t="s">
        <v>17774</v>
      </c>
      <c r="O217" t="s">
        <v>25</v>
      </c>
      <c r="P217" t="s">
        <v>17775</v>
      </c>
    </row>
    <row r="218" spans="1:25">
      <c r="A218" t="s">
        <v>17776</v>
      </c>
      <c r="B218" t="s">
        <v>17776</v>
      </c>
      <c r="C218" t="s">
        <v>17777</v>
      </c>
      <c r="D218" t="s">
        <v>21</v>
      </c>
      <c r="E218" s="14" t="s">
        <v>16949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17677</v>
      </c>
      <c r="K218" s="3">
        <v>4.6999999999999999E-11</v>
      </c>
      <c r="L218" t="s">
        <v>17778</v>
      </c>
      <c r="M218" t="s">
        <v>477</v>
      </c>
      <c r="N218" t="s">
        <v>17779</v>
      </c>
      <c r="O218" t="s">
        <v>25</v>
      </c>
      <c r="P218" t="s">
        <v>17780</v>
      </c>
    </row>
    <row r="219" spans="1:25">
      <c r="A219" t="s">
        <v>17781</v>
      </c>
      <c r="B219" t="s">
        <v>17781</v>
      </c>
      <c r="C219" t="s">
        <v>17782</v>
      </c>
      <c r="D219" t="s">
        <v>21</v>
      </c>
      <c r="E219" s="14" t="s">
        <v>16949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17677</v>
      </c>
      <c r="K219" s="3">
        <v>5.6E-11</v>
      </c>
      <c r="L219" t="s">
        <v>17783</v>
      </c>
      <c r="M219" t="s">
        <v>477</v>
      </c>
      <c r="N219" t="s">
        <v>17784</v>
      </c>
      <c r="O219" t="s">
        <v>25</v>
      </c>
      <c r="P219" t="s">
        <v>17785</v>
      </c>
    </row>
    <row r="220" spans="1:25">
      <c r="A220" t="s">
        <v>17786</v>
      </c>
      <c r="B220" t="s">
        <v>17786</v>
      </c>
      <c r="C220" t="s">
        <v>17787</v>
      </c>
      <c r="D220" t="s">
        <v>21</v>
      </c>
      <c r="E220" s="14" t="s">
        <v>16949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17677</v>
      </c>
      <c r="K220" s="3">
        <v>6.7999999999999998E-11</v>
      </c>
      <c r="L220" t="s">
        <v>17788</v>
      </c>
      <c r="M220" t="s">
        <v>477</v>
      </c>
      <c r="N220" t="s">
        <v>17789</v>
      </c>
      <c r="O220" t="s">
        <v>25</v>
      </c>
      <c r="P220" t="s">
        <v>17790</v>
      </c>
    </row>
    <row r="221" spans="1:25">
      <c r="A221" t="s">
        <v>17791</v>
      </c>
      <c r="B221" t="s">
        <v>17791</v>
      </c>
      <c r="C221" t="s">
        <v>17792</v>
      </c>
      <c r="D221" t="s">
        <v>21</v>
      </c>
      <c r="E221" s="14" t="s">
        <v>16949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17677</v>
      </c>
      <c r="K221" s="3">
        <v>8.2000000000000001E-11</v>
      </c>
      <c r="L221" t="s">
        <v>17793</v>
      </c>
      <c r="M221" t="s">
        <v>477</v>
      </c>
      <c r="N221" t="s">
        <v>17794</v>
      </c>
      <c r="O221" t="s">
        <v>25</v>
      </c>
      <c r="P221" t="s">
        <v>17795</v>
      </c>
    </row>
    <row r="222" spans="1:25">
      <c r="A222" t="s">
        <v>17796</v>
      </c>
      <c r="B222" t="s">
        <v>17796</v>
      </c>
      <c r="C222" t="s">
        <v>17797</v>
      </c>
      <c r="D222" t="s">
        <v>21</v>
      </c>
      <c r="E222" s="14" t="s">
        <v>16949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17677</v>
      </c>
      <c r="K222" s="3">
        <v>1E-10</v>
      </c>
      <c r="L222" t="s">
        <v>17798</v>
      </c>
      <c r="M222" t="s">
        <v>477</v>
      </c>
      <c r="N222" t="s">
        <v>17799</v>
      </c>
      <c r="O222" t="s">
        <v>25</v>
      </c>
      <c r="P222" t="s">
        <v>17800</v>
      </c>
    </row>
    <row r="223" spans="1:25">
      <c r="A223" t="s">
        <v>17801</v>
      </c>
      <c r="B223" t="s">
        <v>17801</v>
      </c>
      <c r="C223" t="s">
        <v>17802</v>
      </c>
      <c r="D223" t="s">
        <v>21</v>
      </c>
      <c r="E223" s="14" t="s">
        <v>16949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17677</v>
      </c>
      <c r="K223" s="3">
        <v>1.5E-10</v>
      </c>
      <c r="L223" t="s">
        <v>17803</v>
      </c>
      <c r="M223" t="s">
        <v>477</v>
      </c>
      <c r="N223" t="s">
        <v>17804</v>
      </c>
      <c r="O223" t="s">
        <v>25</v>
      </c>
      <c r="P223" t="s">
        <v>17805</v>
      </c>
      <c r="U223" t="s">
        <v>4771</v>
      </c>
      <c r="V223" t="s">
        <v>18513</v>
      </c>
      <c r="W223" t="s">
        <v>4559</v>
      </c>
      <c r="X223" t="s">
        <v>18512</v>
      </c>
      <c r="Y223" t="s">
        <v>4727</v>
      </c>
    </row>
    <row r="224" spans="1:25">
      <c r="A224" t="s">
        <v>17806</v>
      </c>
      <c r="B224" t="s">
        <v>17806</v>
      </c>
      <c r="C224" t="s">
        <v>17807</v>
      </c>
      <c r="D224" t="s">
        <v>21</v>
      </c>
      <c r="E224" s="14" t="s">
        <v>16949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17677</v>
      </c>
      <c r="K224" s="3">
        <v>1.8E-10</v>
      </c>
      <c r="L224" t="s">
        <v>17808</v>
      </c>
      <c r="M224" t="s">
        <v>477</v>
      </c>
      <c r="N224" t="s">
        <v>17809</v>
      </c>
      <c r="O224" t="s">
        <v>25</v>
      </c>
      <c r="P224" t="s">
        <v>17810</v>
      </c>
    </row>
    <row r="225" spans="1:16">
      <c r="A225" t="s">
        <v>17811</v>
      </c>
      <c r="B225" t="s">
        <v>17811</v>
      </c>
      <c r="C225" t="s">
        <v>17812</v>
      </c>
      <c r="D225" t="s">
        <v>21</v>
      </c>
      <c r="E225" s="14" t="s">
        <v>16949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17677</v>
      </c>
      <c r="K225" s="3">
        <v>2.1999999999999999E-10</v>
      </c>
      <c r="L225" t="s">
        <v>17813</v>
      </c>
      <c r="M225" t="s">
        <v>477</v>
      </c>
      <c r="N225" t="s">
        <v>17814</v>
      </c>
      <c r="O225" t="s">
        <v>25</v>
      </c>
      <c r="P225" t="s">
        <v>17815</v>
      </c>
    </row>
    <row r="226" spans="1:16">
      <c r="A226" t="s">
        <v>17816</v>
      </c>
      <c r="B226" t="s">
        <v>17816</v>
      </c>
      <c r="C226" t="s">
        <v>17817</v>
      </c>
      <c r="D226" t="s">
        <v>21</v>
      </c>
      <c r="E226" s="14" t="s">
        <v>16949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17818</v>
      </c>
      <c r="K226" s="3">
        <v>4.6999999999999999E-11</v>
      </c>
      <c r="L226" t="s">
        <v>17819</v>
      </c>
      <c r="M226" t="s">
        <v>477</v>
      </c>
      <c r="N226" t="s">
        <v>17820</v>
      </c>
      <c r="O226" t="s">
        <v>25</v>
      </c>
      <c r="P226" t="s">
        <v>17821</v>
      </c>
    </row>
    <row r="227" spans="1:16">
      <c r="A227" t="s">
        <v>17822</v>
      </c>
      <c r="B227" t="s">
        <v>17822</v>
      </c>
      <c r="C227" t="s">
        <v>17823</v>
      </c>
      <c r="D227" t="s">
        <v>21</v>
      </c>
      <c r="E227" s="14" t="s">
        <v>16949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17818</v>
      </c>
      <c r="K227" s="3">
        <v>1E-10</v>
      </c>
      <c r="L227" t="s">
        <v>17819</v>
      </c>
      <c r="M227" t="s">
        <v>477</v>
      </c>
      <c r="N227" t="s">
        <v>17824</v>
      </c>
      <c r="O227" t="s">
        <v>25</v>
      </c>
      <c r="P227" t="s">
        <v>17825</v>
      </c>
    </row>
    <row r="228" spans="1:16">
      <c r="A228" t="s">
        <v>17826</v>
      </c>
      <c r="B228" t="s">
        <v>17826</v>
      </c>
      <c r="C228" t="s">
        <v>17827</v>
      </c>
      <c r="D228" t="s">
        <v>21</v>
      </c>
      <c r="E228" s="14" t="s">
        <v>16949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17818</v>
      </c>
      <c r="K228" s="3">
        <v>1.2E-10</v>
      </c>
      <c r="L228" t="s">
        <v>17819</v>
      </c>
      <c r="M228" t="s">
        <v>477</v>
      </c>
      <c r="N228" t="s">
        <v>17828</v>
      </c>
      <c r="O228" t="s">
        <v>25</v>
      </c>
      <c r="P228" t="s">
        <v>17829</v>
      </c>
    </row>
    <row r="229" spans="1:16">
      <c r="A229" t="s">
        <v>17830</v>
      </c>
      <c r="B229" t="s">
        <v>17830</v>
      </c>
      <c r="C229" t="s">
        <v>17831</v>
      </c>
      <c r="D229" t="s">
        <v>21</v>
      </c>
      <c r="E229" s="14" t="s">
        <v>16949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17818</v>
      </c>
      <c r="K229" s="3">
        <v>1.5E-10</v>
      </c>
      <c r="L229" t="s">
        <v>17819</v>
      </c>
      <c r="M229" t="s">
        <v>477</v>
      </c>
      <c r="N229" t="s">
        <v>17832</v>
      </c>
      <c r="O229" t="s">
        <v>25</v>
      </c>
      <c r="P229" t="s">
        <v>17833</v>
      </c>
    </row>
    <row r="230" spans="1:16">
      <c r="A230" t="s">
        <v>17834</v>
      </c>
      <c r="B230" t="s">
        <v>17834</v>
      </c>
      <c r="C230" t="s">
        <v>17835</v>
      </c>
      <c r="D230" t="s">
        <v>21</v>
      </c>
      <c r="E230" s="14" t="s">
        <v>16949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17818</v>
      </c>
      <c r="K230" s="3">
        <v>1.8E-10</v>
      </c>
      <c r="L230" t="s">
        <v>17819</v>
      </c>
      <c r="M230" t="s">
        <v>477</v>
      </c>
      <c r="N230" t="s">
        <v>17836</v>
      </c>
      <c r="O230" t="s">
        <v>25</v>
      </c>
      <c r="P230" t="s">
        <v>17837</v>
      </c>
    </row>
    <row r="231" spans="1:16">
      <c r="A231" t="s">
        <v>17838</v>
      </c>
      <c r="B231" t="s">
        <v>17838</v>
      </c>
      <c r="C231" t="s">
        <v>17839</v>
      </c>
      <c r="D231" t="s">
        <v>21</v>
      </c>
      <c r="E231" s="14" t="s">
        <v>16949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17818</v>
      </c>
      <c r="K231" s="3">
        <v>2.1999999999999999E-10</v>
      </c>
      <c r="L231" t="s">
        <v>17819</v>
      </c>
      <c r="M231" t="s">
        <v>477</v>
      </c>
      <c r="N231" t="s">
        <v>17840</v>
      </c>
      <c r="O231" t="s">
        <v>25</v>
      </c>
      <c r="P231" t="s">
        <v>17841</v>
      </c>
    </row>
    <row r="232" spans="1:16">
      <c r="A232" t="s">
        <v>17842</v>
      </c>
      <c r="B232" t="s">
        <v>17842</v>
      </c>
      <c r="C232" t="s">
        <v>17843</v>
      </c>
      <c r="D232" t="s">
        <v>21</v>
      </c>
      <c r="E232" s="14" t="s">
        <v>16949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17818</v>
      </c>
      <c r="K232" s="3">
        <v>2.7E-10</v>
      </c>
      <c r="L232" t="s">
        <v>17819</v>
      </c>
      <c r="M232" t="s">
        <v>477</v>
      </c>
      <c r="N232" t="s">
        <v>17844</v>
      </c>
      <c r="O232" t="s">
        <v>25</v>
      </c>
      <c r="P232" t="s">
        <v>17845</v>
      </c>
    </row>
    <row r="233" spans="1:16">
      <c r="A233" t="s">
        <v>17846</v>
      </c>
      <c r="B233" t="s">
        <v>17846</v>
      </c>
      <c r="C233" t="s">
        <v>17847</v>
      </c>
      <c r="D233" t="s">
        <v>21</v>
      </c>
      <c r="E233" s="14" t="s">
        <v>16949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17818</v>
      </c>
      <c r="K233" s="3">
        <v>3.3E-10</v>
      </c>
      <c r="L233" t="s">
        <v>17819</v>
      </c>
      <c r="M233" t="s">
        <v>477</v>
      </c>
      <c r="N233" t="s">
        <v>17848</v>
      </c>
      <c r="O233" t="s">
        <v>25</v>
      </c>
      <c r="P233" t="s">
        <v>17849</v>
      </c>
    </row>
    <row r="234" spans="1:16">
      <c r="A234" t="s">
        <v>17850</v>
      </c>
      <c r="B234" t="s">
        <v>17850</v>
      </c>
      <c r="C234" t="s">
        <v>17851</v>
      </c>
      <c r="D234" t="s">
        <v>21</v>
      </c>
      <c r="E234" s="14" t="s">
        <v>16949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17818</v>
      </c>
      <c r="K234" s="3">
        <v>3.9E-10</v>
      </c>
      <c r="L234" t="s">
        <v>17819</v>
      </c>
      <c r="M234" t="s">
        <v>477</v>
      </c>
      <c r="N234" t="s">
        <v>17852</v>
      </c>
      <c r="O234" t="s">
        <v>25</v>
      </c>
      <c r="P234" t="s">
        <v>17853</v>
      </c>
    </row>
    <row r="235" spans="1:16">
      <c r="A235" t="s">
        <v>17854</v>
      </c>
      <c r="B235" t="s">
        <v>17854</v>
      </c>
      <c r="C235" t="s">
        <v>17855</v>
      </c>
      <c r="D235" t="s">
        <v>21</v>
      </c>
      <c r="E235" s="14" t="s">
        <v>16949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17818</v>
      </c>
      <c r="K235" s="3">
        <v>4.7000000000000003E-10</v>
      </c>
      <c r="L235" t="s">
        <v>17819</v>
      </c>
      <c r="M235" t="s">
        <v>477</v>
      </c>
      <c r="N235" t="s">
        <v>17856</v>
      </c>
      <c r="O235" t="s">
        <v>25</v>
      </c>
      <c r="P235" t="s">
        <v>17857</v>
      </c>
    </row>
    <row r="236" spans="1:16">
      <c r="A236" t="s">
        <v>17858</v>
      </c>
      <c r="B236" t="s">
        <v>17858</v>
      </c>
      <c r="C236" t="s">
        <v>17859</v>
      </c>
      <c r="D236" t="s">
        <v>21</v>
      </c>
      <c r="E236" s="14" t="s">
        <v>16949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17818</v>
      </c>
      <c r="K236" s="3">
        <v>5.6000000000000003E-10</v>
      </c>
      <c r="L236" t="s">
        <v>17819</v>
      </c>
      <c r="M236" t="s">
        <v>477</v>
      </c>
      <c r="N236" t="s">
        <v>17860</v>
      </c>
      <c r="O236" t="s">
        <v>25</v>
      </c>
      <c r="P236" t="s">
        <v>17861</v>
      </c>
    </row>
    <row r="237" spans="1:16">
      <c r="A237" t="s">
        <v>17862</v>
      </c>
      <c r="B237" t="s">
        <v>17862</v>
      </c>
      <c r="C237" t="s">
        <v>17863</v>
      </c>
      <c r="D237" t="s">
        <v>21</v>
      </c>
      <c r="E237" s="14" t="s">
        <v>16949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17818</v>
      </c>
      <c r="K237" s="3">
        <v>6.8000000000000003E-10</v>
      </c>
      <c r="L237" t="s">
        <v>17819</v>
      </c>
      <c r="M237" t="s">
        <v>477</v>
      </c>
      <c r="N237" t="s">
        <v>17864</v>
      </c>
      <c r="O237" t="s">
        <v>25</v>
      </c>
      <c r="P237" t="s">
        <v>17865</v>
      </c>
    </row>
    <row r="238" spans="1:16">
      <c r="A238" t="s">
        <v>17866</v>
      </c>
      <c r="B238" t="s">
        <v>17866</v>
      </c>
      <c r="C238" t="s">
        <v>17867</v>
      </c>
      <c r="D238" t="s">
        <v>21</v>
      </c>
      <c r="E238" s="14" t="s">
        <v>16949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17818</v>
      </c>
      <c r="K238" s="3">
        <v>8.1999999999999996E-10</v>
      </c>
      <c r="L238" t="s">
        <v>17868</v>
      </c>
      <c r="M238" t="s">
        <v>477</v>
      </c>
      <c r="N238" t="s">
        <v>17869</v>
      </c>
      <c r="O238" t="s">
        <v>25</v>
      </c>
      <c r="P238" t="s">
        <v>17870</v>
      </c>
    </row>
    <row r="239" spans="1:16">
      <c r="A239" t="s">
        <v>17871</v>
      </c>
      <c r="B239" t="s">
        <v>17871</v>
      </c>
      <c r="C239" t="s">
        <v>17872</v>
      </c>
      <c r="D239" t="s">
        <v>21</v>
      </c>
      <c r="E239" s="14" t="s">
        <v>16949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17818</v>
      </c>
      <c r="K239" s="3">
        <v>1.0000000000000001E-9</v>
      </c>
      <c r="L239" t="s">
        <v>17819</v>
      </c>
      <c r="M239" t="s">
        <v>477</v>
      </c>
      <c r="N239" t="s">
        <v>17873</v>
      </c>
      <c r="O239" t="s">
        <v>25</v>
      </c>
      <c r="P239" t="s">
        <v>17874</v>
      </c>
    </row>
    <row r="240" spans="1:16">
      <c r="A240" t="s">
        <v>17875</v>
      </c>
      <c r="B240" t="s">
        <v>17875</v>
      </c>
      <c r="C240" t="s">
        <v>17876</v>
      </c>
      <c r="D240" t="s">
        <v>21</v>
      </c>
      <c r="E240" s="14" t="s">
        <v>16949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17818</v>
      </c>
      <c r="K240" s="3">
        <v>1.2E-9</v>
      </c>
      <c r="L240" t="s">
        <v>17819</v>
      </c>
      <c r="M240" t="s">
        <v>477</v>
      </c>
      <c r="N240" t="s">
        <v>17877</v>
      </c>
      <c r="O240" t="s">
        <v>25</v>
      </c>
      <c r="P240" t="s">
        <v>17878</v>
      </c>
    </row>
    <row r="241" spans="1:25">
      <c r="A241" t="s">
        <v>17879</v>
      </c>
      <c r="B241" t="s">
        <v>17879</v>
      </c>
      <c r="C241" t="s">
        <v>17880</v>
      </c>
      <c r="D241" t="s">
        <v>21</v>
      </c>
      <c r="E241" s="14" t="s">
        <v>16949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17818</v>
      </c>
      <c r="K241" s="3">
        <v>1.5E-9</v>
      </c>
      <c r="L241" t="s">
        <v>17819</v>
      </c>
      <c r="M241" t="s">
        <v>477</v>
      </c>
      <c r="N241" t="s">
        <v>17881</v>
      </c>
      <c r="O241" t="s">
        <v>25</v>
      </c>
      <c r="P241" t="s">
        <v>17882</v>
      </c>
    </row>
    <row r="242" spans="1:25">
      <c r="A242" t="s">
        <v>17883</v>
      </c>
      <c r="B242" t="s">
        <v>17883</v>
      </c>
      <c r="C242" t="s">
        <v>17884</v>
      </c>
      <c r="D242" t="s">
        <v>21</v>
      </c>
      <c r="E242" s="14" t="s">
        <v>16949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17818</v>
      </c>
      <c r="K242" s="3">
        <v>1.8E-9</v>
      </c>
      <c r="L242" t="s">
        <v>17819</v>
      </c>
      <c r="M242" t="s">
        <v>477</v>
      </c>
      <c r="N242" t="s">
        <v>17885</v>
      </c>
      <c r="O242" t="s">
        <v>25</v>
      </c>
      <c r="P242" t="s">
        <v>17886</v>
      </c>
    </row>
    <row r="243" spans="1:25">
      <c r="A243" t="s">
        <v>17887</v>
      </c>
      <c r="B243" t="s">
        <v>17887</v>
      </c>
      <c r="C243" t="s">
        <v>17888</v>
      </c>
      <c r="D243" t="s">
        <v>21</v>
      </c>
      <c r="E243" s="14" t="s">
        <v>16949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17818</v>
      </c>
      <c r="K243" s="3">
        <v>2.1999999999999998E-9</v>
      </c>
      <c r="L243" t="s">
        <v>17819</v>
      </c>
      <c r="M243" t="s">
        <v>477</v>
      </c>
      <c r="N243" t="s">
        <v>17889</v>
      </c>
      <c r="O243" t="s">
        <v>25</v>
      </c>
      <c r="P243" t="s">
        <v>17890</v>
      </c>
    </row>
    <row r="244" spans="1:25">
      <c r="A244" t="s">
        <v>17891</v>
      </c>
      <c r="B244" t="s">
        <v>17891</v>
      </c>
      <c r="C244" t="s">
        <v>17892</v>
      </c>
      <c r="D244" t="s">
        <v>21</v>
      </c>
      <c r="E244" s="14" t="s">
        <v>16949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17818</v>
      </c>
      <c r="K244" s="3">
        <v>2.7000000000000002E-9</v>
      </c>
      <c r="L244" t="s">
        <v>17819</v>
      </c>
      <c r="M244" t="s">
        <v>477</v>
      </c>
      <c r="N244" t="s">
        <v>17893</v>
      </c>
      <c r="O244" t="s">
        <v>25</v>
      </c>
      <c r="P244" t="s">
        <v>17894</v>
      </c>
    </row>
    <row r="245" spans="1:25">
      <c r="A245" t="s">
        <v>17895</v>
      </c>
      <c r="B245" t="s">
        <v>17895</v>
      </c>
      <c r="C245" t="s">
        <v>17896</v>
      </c>
      <c r="D245" t="s">
        <v>21</v>
      </c>
      <c r="E245" s="14" t="s">
        <v>16949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17818</v>
      </c>
      <c r="K245" s="3">
        <v>3.3000000000000002E-9</v>
      </c>
      <c r="L245" t="s">
        <v>17819</v>
      </c>
      <c r="M245" t="s">
        <v>477</v>
      </c>
      <c r="N245" t="s">
        <v>17897</v>
      </c>
      <c r="O245" t="s">
        <v>25</v>
      </c>
      <c r="P245" t="s">
        <v>17898</v>
      </c>
    </row>
    <row r="246" spans="1:25">
      <c r="A246" t="s">
        <v>17899</v>
      </c>
      <c r="B246" t="s">
        <v>17899</v>
      </c>
      <c r="C246" t="s">
        <v>17900</v>
      </c>
      <c r="D246" t="s">
        <v>21</v>
      </c>
      <c r="E246" s="14" t="s">
        <v>16949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17818</v>
      </c>
      <c r="K246" s="3">
        <v>3.9000000000000002E-9</v>
      </c>
      <c r="L246" t="s">
        <v>17819</v>
      </c>
      <c r="M246" t="s">
        <v>477</v>
      </c>
      <c r="N246" t="s">
        <v>17901</v>
      </c>
      <c r="O246" t="s">
        <v>25</v>
      </c>
      <c r="P246" t="s">
        <v>17902</v>
      </c>
    </row>
    <row r="247" spans="1:25">
      <c r="A247" t="s">
        <v>17903</v>
      </c>
      <c r="B247" t="s">
        <v>17903</v>
      </c>
      <c r="C247" t="s">
        <v>17904</v>
      </c>
      <c r="D247" t="s">
        <v>21</v>
      </c>
      <c r="E247" s="14" t="s">
        <v>16949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17818</v>
      </c>
      <c r="K247" s="3">
        <v>4.6999999999999999E-9</v>
      </c>
      <c r="L247" t="s">
        <v>17819</v>
      </c>
      <c r="M247" t="s">
        <v>477</v>
      </c>
      <c r="N247" t="s">
        <v>17905</v>
      </c>
      <c r="O247" t="s">
        <v>25</v>
      </c>
      <c r="P247" t="s">
        <v>17906</v>
      </c>
    </row>
    <row r="248" spans="1:25">
      <c r="A248" t="s">
        <v>17907</v>
      </c>
      <c r="B248" t="s">
        <v>17907</v>
      </c>
      <c r="C248" t="s">
        <v>17908</v>
      </c>
      <c r="D248" t="s">
        <v>21</v>
      </c>
      <c r="E248" s="14" t="s">
        <v>16949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17818</v>
      </c>
      <c r="K248" s="3">
        <v>5.5999999999999997E-9</v>
      </c>
      <c r="L248" t="s">
        <v>17819</v>
      </c>
      <c r="M248" t="s">
        <v>477</v>
      </c>
      <c r="N248" t="s">
        <v>17909</v>
      </c>
      <c r="O248" t="s">
        <v>25</v>
      </c>
      <c r="P248" t="s">
        <v>17910</v>
      </c>
    </row>
    <row r="249" spans="1:25">
      <c r="A249" t="s">
        <v>17911</v>
      </c>
      <c r="B249" t="s">
        <v>17911</v>
      </c>
      <c r="C249" t="s">
        <v>17912</v>
      </c>
      <c r="D249" t="s">
        <v>21</v>
      </c>
      <c r="E249" s="14" t="s">
        <v>16949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17818</v>
      </c>
      <c r="K249" s="3">
        <v>6.7999999999999997E-9</v>
      </c>
      <c r="L249" t="s">
        <v>17819</v>
      </c>
      <c r="M249" t="s">
        <v>477</v>
      </c>
      <c r="N249" t="s">
        <v>17913</v>
      </c>
      <c r="O249" t="s">
        <v>25</v>
      </c>
      <c r="P249" t="s">
        <v>17914</v>
      </c>
    </row>
    <row r="250" spans="1:25">
      <c r="A250" t="s">
        <v>17915</v>
      </c>
      <c r="B250" t="s">
        <v>17915</v>
      </c>
      <c r="C250" t="s">
        <v>17916</v>
      </c>
      <c r="D250" t="s">
        <v>21</v>
      </c>
      <c r="E250" s="14" t="s">
        <v>16949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17818</v>
      </c>
      <c r="K250" s="3">
        <v>8.2000000000000006E-9</v>
      </c>
      <c r="L250" t="s">
        <v>17819</v>
      </c>
      <c r="M250" t="s">
        <v>477</v>
      </c>
      <c r="N250" t="s">
        <v>17917</v>
      </c>
      <c r="O250" t="s">
        <v>25</v>
      </c>
      <c r="P250" t="s">
        <v>17918</v>
      </c>
    </row>
    <row r="251" spans="1:25">
      <c r="A251" t="s">
        <v>17919</v>
      </c>
      <c r="B251" t="s">
        <v>17919</v>
      </c>
      <c r="C251" t="s">
        <v>17920</v>
      </c>
      <c r="D251" t="s">
        <v>21</v>
      </c>
      <c r="E251" s="14" t="s">
        <v>16949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17818</v>
      </c>
      <c r="K251" s="3">
        <v>1E-8</v>
      </c>
      <c r="L251" t="s">
        <v>17819</v>
      </c>
      <c r="M251" t="s">
        <v>477</v>
      </c>
      <c r="N251" t="s">
        <v>17921</v>
      </c>
      <c r="O251" t="s">
        <v>25</v>
      </c>
      <c r="P251" t="s">
        <v>17922</v>
      </c>
    </row>
    <row r="252" spans="1:25">
      <c r="A252" t="s">
        <v>17923</v>
      </c>
      <c r="B252" t="s">
        <v>17923</v>
      </c>
      <c r="C252" t="s">
        <v>17924</v>
      </c>
      <c r="D252" t="s">
        <v>21</v>
      </c>
      <c r="E252" s="14" t="s">
        <v>16949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17818</v>
      </c>
      <c r="K252" s="3">
        <v>9.9999999999999995E-8</v>
      </c>
      <c r="L252" t="s">
        <v>17819</v>
      </c>
      <c r="M252" t="s">
        <v>477</v>
      </c>
      <c r="N252" t="s">
        <v>17925</v>
      </c>
      <c r="O252" t="s">
        <v>25</v>
      </c>
      <c r="P252" t="s">
        <v>17926</v>
      </c>
      <c r="U252" t="s">
        <v>477</v>
      </c>
      <c r="V252" t="s">
        <v>17925</v>
      </c>
      <c r="W252" t="s">
        <v>4559</v>
      </c>
      <c r="X252" t="s">
        <v>18514</v>
      </c>
      <c r="Y252" t="s">
        <v>4727</v>
      </c>
    </row>
    <row r="253" spans="1:25">
      <c r="A253" t="s">
        <v>17933</v>
      </c>
      <c r="B253" t="s">
        <v>17933</v>
      </c>
      <c r="C253" t="s">
        <v>17928</v>
      </c>
      <c r="D253" t="s">
        <v>21</v>
      </c>
      <c r="E253" s="14" t="s">
        <v>6447</v>
      </c>
      <c r="F253" t="s">
        <v>17929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17930</v>
      </c>
      <c r="M253" t="s">
        <v>4771</v>
      </c>
      <c r="N253" t="s">
        <v>17932</v>
      </c>
      <c r="O253" t="s">
        <v>25</v>
      </c>
      <c r="P253" t="s">
        <v>17931</v>
      </c>
      <c r="U253" t="s">
        <v>477</v>
      </c>
      <c r="V253" t="s">
        <v>18504</v>
      </c>
      <c r="W253" t="s">
        <v>4559</v>
      </c>
      <c r="X253" t="s">
        <v>18503</v>
      </c>
      <c r="Y253" t="s">
        <v>4727</v>
      </c>
    </row>
    <row r="254" spans="1:25">
      <c r="A254" t="s">
        <v>17934</v>
      </c>
      <c r="B254" t="s">
        <v>17934</v>
      </c>
      <c r="C254" t="s">
        <v>17935</v>
      </c>
      <c r="D254" t="s">
        <v>21</v>
      </c>
      <c r="E254" s="14" t="s">
        <v>6447</v>
      </c>
      <c r="F254" t="s">
        <v>13282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17936</v>
      </c>
      <c r="M254" t="s">
        <v>4771</v>
      </c>
      <c r="N254" t="s">
        <v>17937</v>
      </c>
      <c r="O254" t="s">
        <v>25</v>
      </c>
      <c r="P254" t="s">
        <v>17938</v>
      </c>
      <c r="U254" t="s">
        <v>6173</v>
      </c>
      <c r="V254" t="s">
        <v>18505</v>
      </c>
      <c r="W254" t="s">
        <v>4559</v>
      </c>
      <c r="X254" t="s">
        <v>18506</v>
      </c>
      <c r="Y254" t="s">
        <v>4727</v>
      </c>
    </row>
    <row r="255" spans="1:25">
      <c r="A255" t="s">
        <v>18028</v>
      </c>
      <c r="B255" t="s">
        <v>18028</v>
      </c>
      <c r="C255" t="s">
        <v>18041</v>
      </c>
      <c r="D255" t="s">
        <v>21</v>
      </c>
      <c r="E255" s="14" t="s">
        <v>16949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17677</v>
      </c>
      <c r="K255" s="3">
        <v>3.3E-10</v>
      </c>
      <c r="L255" t="s">
        <v>18061</v>
      </c>
      <c r="M255" t="s">
        <v>13272</v>
      </c>
      <c r="N255" t="s">
        <v>18074</v>
      </c>
      <c r="O255" t="s">
        <v>25</v>
      </c>
      <c r="P255" t="s">
        <v>18087</v>
      </c>
    </row>
    <row r="256" spans="1:25">
      <c r="A256" t="s">
        <v>18029</v>
      </c>
      <c r="B256" t="s">
        <v>18029</v>
      </c>
      <c r="C256" t="s">
        <v>18042</v>
      </c>
      <c r="D256" t="s">
        <v>21</v>
      </c>
      <c r="E256" s="14" t="s">
        <v>16949</v>
      </c>
      <c r="F256" t="s">
        <v>18054</v>
      </c>
      <c r="G256" t="str">
        <f>Config!$B$4</f>
        <v>SCH/C_IEC.SchLib</v>
      </c>
      <c r="H256" t="s">
        <v>425</v>
      </c>
      <c r="I256" t="s">
        <v>461</v>
      </c>
      <c r="J256" t="s">
        <v>17677</v>
      </c>
      <c r="K256" s="3">
        <v>3.6E-10</v>
      </c>
      <c r="L256" t="s">
        <v>18062</v>
      </c>
      <c r="M256" t="s">
        <v>13272</v>
      </c>
      <c r="N256" t="s">
        <v>18075</v>
      </c>
      <c r="O256" t="s">
        <v>25</v>
      </c>
      <c r="P256" t="s">
        <v>18088</v>
      </c>
    </row>
    <row r="257" spans="1:25">
      <c r="A257" t="s">
        <v>18030</v>
      </c>
      <c r="B257" t="s">
        <v>18030</v>
      </c>
      <c r="C257" t="s">
        <v>18043</v>
      </c>
      <c r="D257" t="s">
        <v>21</v>
      </c>
      <c r="E257" s="14" t="s">
        <v>16949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17677</v>
      </c>
      <c r="K257" s="3">
        <v>3.9E-10</v>
      </c>
      <c r="L257" t="s">
        <v>18063</v>
      </c>
      <c r="M257" t="s">
        <v>13272</v>
      </c>
      <c r="N257" t="s">
        <v>18076</v>
      </c>
      <c r="O257" t="s">
        <v>25</v>
      </c>
      <c r="P257" t="s">
        <v>18089</v>
      </c>
    </row>
    <row r="258" spans="1:25">
      <c r="A258" t="s">
        <v>18031</v>
      </c>
      <c r="B258" t="s">
        <v>18031</v>
      </c>
      <c r="C258" t="s">
        <v>18044</v>
      </c>
      <c r="D258" t="s">
        <v>21</v>
      </c>
      <c r="E258" s="14" t="s">
        <v>16949</v>
      </c>
      <c r="F258" t="s">
        <v>18055</v>
      </c>
      <c r="G258" t="str">
        <f>Config!$B$4</f>
        <v>SCH/C_IEC.SchLib</v>
      </c>
      <c r="H258" t="s">
        <v>425</v>
      </c>
      <c r="I258" t="s">
        <v>461</v>
      </c>
      <c r="J258" t="s">
        <v>17677</v>
      </c>
      <c r="K258" s="3">
        <v>4.3000000000000001E-10</v>
      </c>
      <c r="L258" t="s">
        <v>18064</v>
      </c>
      <c r="M258" t="s">
        <v>13272</v>
      </c>
      <c r="N258" t="s">
        <v>18077</v>
      </c>
      <c r="O258" t="s">
        <v>25</v>
      </c>
      <c r="P258" t="s">
        <v>18090</v>
      </c>
    </row>
    <row r="259" spans="1:25">
      <c r="A259" t="s">
        <v>18032</v>
      </c>
      <c r="B259" t="s">
        <v>18032</v>
      </c>
      <c r="C259" t="s">
        <v>18045</v>
      </c>
      <c r="D259" t="s">
        <v>21</v>
      </c>
      <c r="E259" s="14" t="s">
        <v>16949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17677</v>
      </c>
      <c r="K259" s="3">
        <v>4.7000000000000003E-10</v>
      </c>
      <c r="L259" t="s">
        <v>18065</v>
      </c>
      <c r="M259" t="s">
        <v>13272</v>
      </c>
      <c r="N259" t="s">
        <v>18078</v>
      </c>
      <c r="O259" t="s">
        <v>25</v>
      </c>
      <c r="P259" t="s">
        <v>18091</v>
      </c>
    </row>
    <row r="260" spans="1:25">
      <c r="A260" t="s">
        <v>18033</v>
      </c>
      <c r="B260" t="s">
        <v>18033</v>
      </c>
      <c r="C260" t="s">
        <v>18046</v>
      </c>
      <c r="D260" t="s">
        <v>21</v>
      </c>
      <c r="E260" s="14" t="s">
        <v>16949</v>
      </c>
      <c r="F260" t="s">
        <v>18056</v>
      </c>
      <c r="G260" t="str">
        <f>Config!$B$4</f>
        <v>SCH/C_IEC.SchLib</v>
      </c>
      <c r="H260" t="s">
        <v>425</v>
      </c>
      <c r="I260" t="s">
        <v>461</v>
      </c>
      <c r="J260" t="s">
        <v>17677</v>
      </c>
      <c r="K260" s="3">
        <v>5.1E-10</v>
      </c>
      <c r="L260" t="s">
        <v>18066</v>
      </c>
      <c r="M260" t="s">
        <v>13272</v>
      </c>
      <c r="N260" t="s">
        <v>18079</v>
      </c>
      <c r="O260" t="s">
        <v>25</v>
      </c>
      <c r="P260" t="s">
        <v>18092</v>
      </c>
    </row>
    <row r="261" spans="1:25">
      <c r="A261" t="s">
        <v>18034</v>
      </c>
      <c r="B261" t="s">
        <v>18034</v>
      </c>
      <c r="C261" t="s">
        <v>18047</v>
      </c>
      <c r="D261" t="s">
        <v>21</v>
      </c>
      <c r="E261" s="14" t="s">
        <v>16949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17677</v>
      </c>
      <c r="K261" s="3">
        <v>5.6000000000000003E-10</v>
      </c>
      <c r="L261" t="s">
        <v>18067</v>
      </c>
      <c r="M261" t="s">
        <v>13272</v>
      </c>
      <c r="N261" t="s">
        <v>18080</v>
      </c>
      <c r="O261" t="s">
        <v>25</v>
      </c>
      <c r="P261" t="s">
        <v>18093</v>
      </c>
    </row>
    <row r="262" spans="1:25">
      <c r="A262" t="s">
        <v>18035</v>
      </c>
      <c r="B262" t="s">
        <v>18035</v>
      </c>
      <c r="C262" t="s">
        <v>18048</v>
      </c>
      <c r="D262" t="s">
        <v>21</v>
      </c>
      <c r="E262" s="14" t="s">
        <v>16949</v>
      </c>
      <c r="F262" t="s">
        <v>18057</v>
      </c>
      <c r="G262" t="str">
        <f>Config!$B$4</f>
        <v>SCH/C_IEC.SchLib</v>
      </c>
      <c r="H262" t="s">
        <v>425</v>
      </c>
      <c r="I262" t="s">
        <v>461</v>
      </c>
      <c r="J262" t="s">
        <v>17677</v>
      </c>
      <c r="K262" s="3">
        <v>6.2000000000000003E-10</v>
      </c>
      <c r="L262" t="s">
        <v>18068</v>
      </c>
      <c r="M262" t="s">
        <v>13272</v>
      </c>
      <c r="N262" t="s">
        <v>18081</v>
      </c>
      <c r="O262" t="s">
        <v>25</v>
      </c>
      <c r="P262" t="s">
        <v>18094</v>
      </c>
    </row>
    <row r="263" spans="1:25">
      <c r="A263" t="s">
        <v>18036</v>
      </c>
      <c r="B263" t="s">
        <v>18036</v>
      </c>
      <c r="C263" t="s">
        <v>18049</v>
      </c>
      <c r="D263" t="s">
        <v>21</v>
      </c>
      <c r="E263" s="14" t="s">
        <v>16949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17677</v>
      </c>
      <c r="K263" s="3">
        <v>6.8000000000000003E-10</v>
      </c>
      <c r="L263" t="s">
        <v>18069</v>
      </c>
      <c r="M263" t="s">
        <v>13272</v>
      </c>
      <c r="N263" t="s">
        <v>18082</v>
      </c>
      <c r="O263" t="s">
        <v>25</v>
      </c>
      <c r="P263" t="s">
        <v>18095</v>
      </c>
      <c r="U263" t="s">
        <v>4771</v>
      </c>
      <c r="V263" t="s">
        <v>18510</v>
      </c>
      <c r="W263" t="s">
        <v>4559</v>
      </c>
      <c r="X263" t="s">
        <v>18511</v>
      </c>
      <c r="Y263" t="s">
        <v>4727</v>
      </c>
    </row>
    <row r="264" spans="1:25">
      <c r="A264" t="s">
        <v>18037</v>
      </c>
      <c r="B264" t="s">
        <v>18037</v>
      </c>
      <c r="C264" t="s">
        <v>18050</v>
      </c>
      <c r="D264" t="s">
        <v>21</v>
      </c>
      <c r="E264" s="14" t="s">
        <v>16949</v>
      </c>
      <c r="F264" t="s">
        <v>18058</v>
      </c>
      <c r="G264" t="str">
        <f>Config!$B$4</f>
        <v>SCH/C_IEC.SchLib</v>
      </c>
      <c r="H264" t="s">
        <v>425</v>
      </c>
      <c r="I264" t="s">
        <v>461</v>
      </c>
      <c r="J264" t="s">
        <v>17677</v>
      </c>
      <c r="K264" s="3">
        <v>7.5E-10</v>
      </c>
      <c r="L264" t="s">
        <v>18070</v>
      </c>
      <c r="M264" t="s">
        <v>13272</v>
      </c>
      <c r="N264" t="s">
        <v>18083</v>
      </c>
      <c r="O264" t="s">
        <v>25</v>
      </c>
      <c r="P264" t="s">
        <v>18096</v>
      </c>
    </row>
    <row r="265" spans="1:25">
      <c r="A265" t="s">
        <v>18038</v>
      </c>
      <c r="B265" t="s">
        <v>18038</v>
      </c>
      <c r="C265" t="s">
        <v>18051</v>
      </c>
      <c r="D265" t="s">
        <v>21</v>
      </c>
      <c r="E265" s="14" t="s">
        <v>16949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17677</v>
      </c>
      <c r="K265" s="3">
        <v>8.1999999999999996E-10</v>
      </c>
      <c r="L265" t="s">
        <v>18071</v>
      </c>
      <c r="M265" t="s">
        <v>13272</v>
      </c>
      <c r="N265" t="s">
        <v>18084</v>
      </c>
      <c r="O265" t="s">
        <v>25</v>
      </c>
      <c r="P265" t="s">
        <v>18097</v>
      </c>
    </row>
    <row r="266" spans="1:25">
      <c r="A266" t="s">
        <v>18039</v>
      </c>
      <c r="B266" t="s">
        <v>18039</v>
      </c>
      <c r="C266" t="s">
        <v>18052</v>
      </c>
      <c r="D266" t="s">
        <v>21</v>
      </c>
      <c r="E266" s="14" t="s">
        <v>16949</v>
      </c>
      <c r="F266" t="s">
        <v>18059</v>
      </c>
      <c r="G266" t="str">
        <f>Config!$B$4</f>
        <v>SCH/C_IEC.SchLib</v>
      </c>
      <c r="H266" t="s">
        <v>425</v>
      </c>
      <c r="I266" t="s">
        <v>461</v>
      </c>
      <c r="J266" t="s">
        <v>17677</v>
      </c>
      <c r="K266" s="3">
        <v>9.0999999999999996E-10</v>
      </c>
      <c r="L266" t="s">
        <v>18072</v>
      </c>
      <c r="M266" t="s">
        <v>13272</v>
      </c>
      <c r="N266" t="s">
        <v>18085</v>
      </c>
      <c r="O266" t="s">
        <v>25</v>
      </c>
      <c r="P266" t="s">
        <v>18098</v>
      </c>
    </row>
    <row r="267" spans="1:25">
      <c r="A267" t="s">
        <v>18040</v>
      </c>
      <c r="B267" t="s">
        <v>18040</v>
      </c>
      <c r="C267" t="s">
        <v>18053</v>
      </c>
      <c r="D267" t="s">
        <v>21</v>
      </c>
      <c r="E267" s="14" t="s">
        <v>16949</v>
      </c>
      <c r="F267" t="s">
        <v>18060</v>
      </c>
      <c r="G267" t="str">
        <f>Config!$B$4</f>
        <v>SCH/C_IEC.SchLib</v>
      </c>
      <c r="H267" t="s">
        <v>425</v>
      </c>
      <c r="I267" t="s">
        <v>461</v>
      </c>
      <c r="J267" t="s">
        <v>17677</v>
      </c>
      <c r="K267" s="3">
        <v>1.0000000000000001E-9</v>
      </c>
      <c r="L267" t="s">
        <v>18073</v>
      </c>
      <c r="M267" t="s">
        <v>13272</v>
      </c>
      <c r="N267" t="s">
        <v>18086</v>
      </c>
      <c r="O267" t="s">
        <v>25</v>
      </c>
      <c r="P267" t="s">
        <v>18099</v>
      </c>
    </row>
    <row r="268" spans="1:25">
      <c r="A268" t="s">
        <v>18700</v>
      </c>
      <c r="B268" t="s">
        <v>18700</v>
      </c>
      <c r="C268" t="s">
        <v>18701</v>
      </c>
      <c r="D268" t="s">
        <v>21</v>
      </c>
      <c r="E268" s="14" t="s">
        <v>6770</v>
      </c>
      <c r="F268" t="s">
        <v>1026</v>
      </c>
      <c r="G268" t="str">
        <f>Config!$B$4</f>
        <v>SCH/C_IEC.SchLib</v>
      </c>
      <c r="H268" t="s">
        <v>425</v>
      </c>
      <c r="I268" t="s">
        <v>461</v>
      </c>
      <c r="J268" t="s">
        <v>6178</v>
      </c>
      <c r="K268" s="3">
        <v>1.0000000000000001E-5</v>
      </c>
      <c r="L268" t="s">
        <v>18702</v>
      </c>
      <c r="M268" t="s">
        <v>4479</v>
      </c>
      <c r="N268" t="s">
        <v>18703</v>
      </c>
      <c r="O268" t="s">
        <v>25</v>
      </c>
      <c r="P268" t="s">
        <v>18704</v>
      </c>
    </row>
    <row r="269" spans="1:25">
      <c r="A269" t="s">
        <v>18705</v>
      </c>
      <c r="B269" t="s">
        <v>18719</v>
      </c>
      <c r="C269" t="s">
        <v>18706</v>
      </c>
      <c r="D269" t="s">
        <v>21</v>
      </c>
      <c r="E269" s="14" t="s">
        <v>6446</v>
      </c>
      <c r="F269" t="s">
        <v>6174</v>
      </c>
      <c r="G269" t="str">
        <f>Config!$B$4</f>
        <v>SCH/C_IEC.SchLib</v>
      </c>
      <c r="H269" t="s">
        <v>425</v>
      </c>
      <c r="I269" t="s">
        <v>461</v>
      </c>
      <c r="J269" t="s">
        <v>1027</v>
      </c>
      <c r="K269" s="3">
        <v>4.6999999999999999E-6</v>
      </c>
      <c r="L269" t="s">
        <v>18702</v>
      </c>
      <c r="M269" t="s">
        <v>4479</v>
      </c>
      <c r="N269" t="s">
        <v>18707</v>
      </c>
      <c r="O269" t="s">
        <v>25</v>
      </c>
      <c r="P269" t="s">
        <v>18708</v>
      </c>
    </row>
    <row r="270" spans="1:25">
      <c r="A270" t="s">
        <v>18709</v>
      </c>
      <c r="B270" t="s">
        <v>18709</v>
      </c>
      <c r="C270" t="s">
        <v>18710</v>
      </c>
      <c r="D270" t="s">
        <v>21</v>
      </c>
      <c r="E270" s="14" t="s">
        <v>22</v>
      </c>
      <c r="F270" t="s">
        <v>1026</v>
      </c>
      <c r="G270" t="str">
        <f>Config!$B$4</f>
        <v>SCH/C_IEC.SchLib</v>
      </c>
      <c r="H270" t="s">
        <v>425</v>
      </c>
      <c r="I270" t="s">
        <v>461</v>
      </c>
      <c r="J270" t="s">
        <v>775</v>
      </c>
      <c r="K270" s="3">
        <v>1.0000000000000001E-5</v>
      </c>
      <c r="L270" t="s">
        <v>18711</v>
      </c>
      <c r="M270" t="s">
        <v>1029</v>
      </c>
      <c r="N270" t="s">
        <v>18712</v>
      </c>
      <c r="O270" t="s">
        <v>25</v>
      </c>
      <c r="P270" t="s">
        <v>18713</v>
      </c>
    </row>
    <row r="271" spans="1:25">
      <c r="A271" t="s">
        <v>18717</v>
      </c>
      <c r="B271" t="s">
        <v>18717</v>
      </c>
      <c r="C271" t="s">
        <v>18718</v>
      </c>
      <c r="D271" t="s">
        <v>21</v>
      </c>
      <c r="E271" s="14" t="s">
        <v>6447</v>
      </c>
      <c r="F271" t="s">
        <v>17929</v>
      </c>
      <c r="G271" t="str">
        <f>Config!$B$4</f>
        <v>SCH/C_IEC.SchLib</v>
      </c>
      <c r="H271" t="s">
        <v>425</v>
      </c>
      <c r="I271" t="s">
        <v>461</v>
      </c>
      <c r="J271" t="s">
        <v>5956</v>
      </c>
      <c r="K271" s="3">
        <v>9.9999999999999995E-7</v>
      </c>
      <c r="L271" t="s">
        <v>18716</v>
      </c>
      <c r="M271" t="s">
        <v>13272</v>
      </c>
      <c r="N271" t="s">
        <v>18714</v>
      </c>
      <c r="O271" t="s">
        <v>25</v>
      </c>
      <c r="P271" t="s">
        <v>18715</v>
      </c>
    </row>
    <row r="272" spans="1:25">
      <c r="A272" t="s">
        <v>18720</v>
      </c>
      <c r="B272" t="s">
        <v>18720</v>
      </c>
      <c r="C272" t="s">
        <v>18721</v>
      </c>
      <c r="D272" t="s">
        <v>21</v>
      </c>
      <c r="E272" s="14" t="s">
        <v>22</v>
      </c>
      <c r="F272" t="s">
        <v>4534</v>
      </c>
      <c r="G272" t="str">
        <f>Config!$B$4</f>
        <v>SCH/C_IEC.SchLib</v>
      </c>
      <c r="H272" t="s">
        <v>425</v>
      </c>
      <c r="I272" t="s">
        <v>461</v>
      </c>
      <c r="J272" t="s">
        <v>775</v>
      </c>
      <c r="K272" s="3">
        <v>2.1999999999999999E-5</v>
      </c>
      <c r="L272" t="s">
        <v>18711</v>
      </c>
      <c r="M272" t="s">
        <v>1029</v>
      </c>
      <c r="N272" t="s">
        <v>18722</v>
      </c>
      <c r="O272" t="s">
        <v>25</v>
      </c>
      <c r="P272" t="s">
        <v>18723</v>
      </c>
    </row>
    <row r="273" spans="1:16">
      <c r="A273" t="s">
        <v>18728</v>
      </c>
      <c r="B273" t="s">
        <v>18728</v>
      </c>
      <c r="C273" t="s">
        <v>18727</v>
      </c>
      <c r="D273" t="s">
        <v>21</v>
      </c>
      <c r="E273" s="14" t="s">
        <v>6447</v>
      </c>
      <c r="F273" t="s">
        <v>16649</v>
      </c>
      <c r="G273" t="str">
        <f>Config!$B$4</f>
        <v>SCH/C_IEC.SchLib</v>
      </c>
      <c r="H273" t="s">
        <v>425</v>
      </c>
      <c r="I273" t="s">
        <v>461</v>
      </c>
      <c r="J273" t="s">
        <v>5747</v>
      </c>
      <c r="K273" s="3">
        <v>1.9999999999999999E-11</v>
      </c>
      <c r="L273" t="s">
        <v>18726</v>
      </c>
      <c r="M273" t="s">
        <v>477</v>
      </c>
      <c r="N273" t="s">
        <v>18725</v>
      </c>
      <c r="O273" t="s">
        <v>25</v>
      </c>
      <c r="P273" t="s">
        <v>18724</v>
      </c>
    </row>
    <row r="274" spans="1:16">
      <c r="A274" t="s">
        <v>18729</v>
      </c>
      <c r="B274" t="s">
        <v>18729</v>
      </c>
      <c r="C274" t="s">
        <v>18730</v>
      </c>
      <c r="D274" t="s">
        <v>21</v>
      </c>
      <c r="E274" s="14" t="s">
        <v>6447</v>
      </c>
      <c r="F274" t="s">
        <v>1010</v>
      </c>
      <c r="G274" t="str">
        <f>Config!$B$4</f>
        <v>SCH/C_IEC.SchLib</v>
      </c>
      <c r="H274" t="s">
        <v>425</v>
      </c>
      <c r="I274" t="s">
        <v>461</v>
      </c>
      <c r="J274" t="s">
        <v>5956</v>
      </c>
      <c r="K274" s="3">
        <v>2.2000000000000001E-7</v>
      </c>
      <c r="L274" t="s">
        <v>18731</v>
      </c>
      <c r="M274" t="s">
        <v>13272</v>
      </c>
      <c r="N274" t="s">
        <v>18732</v>
      </c>
      <c r="O274" t="s">
        <v>25</v>
      </c>
      <c r="P274" t="s">
        <v>18733</v>
      </c>
    </row>
    <row r="275" spans="1:16">
      <c r="A275" t="s">
        <v>18746</v>
      </c>
      <c r="B275" t="s">
        <v>18746</v>
      </c>
      <c r="C275" t="s">
        <v>18747</v>
      </c>
      <c r="D275" t="s">
        <v>21</v>
      </c>
      <c r="E275" s="14" t="s">
        <v>6447</v>
      </c>
      <c r="F275" t="s">
        <v>770</v>
      </c>
      <c r="G275" t="str">
        <f>Config!$B$4</f>
        <v>SCH/C_IEC.SchLib</v>
      </c>
      <c r="H275" t="s">
        <v>425</v>
      </c>
      <c r="I275" t="s">
        <v>461</v>
      </c>
      <c r="J275" t="s">
        <v>5956</v>
      </c>
      <c r="K275" s="3">
        <v>1E-8</v>
      </c>
      <c r="L275" t="s">
        <v>18748</v>
      </c>
      <c r="M275" t="s">
        <v>4771</v>
      </c>
      <c r="N275" t="s">
        <v>18749</v>
      </c>
      <c r="O275" t="s">
        <v>25</v>
      </c>
      <c r="P275" t="s">
        <v>18750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6535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6535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6535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10643</v>
      </c>
      <c r="B5" t="s">
        <v>10643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6535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10644</v>
      </c>
      <c r="B6" t="s">
        <v>10644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6535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10645</v>
      </c>
      <c r="B7" t="s">
        <v>10645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6535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6535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6535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6535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6535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6535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10646</v>
      </c>
      <c r="B13" t="s">
        <v>10646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6535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10647</v>
      </c>
      <c r="B14" t="s">
        <v>10647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6535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6297</v>
      </c>
      <c r="B15" t="s">
        <v>6297</v>
      </c>
      <c r="C15" t="s">
        <v>6307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6298</v>
      </c>
      <c r="I15" t="s">
        <v>461</v>
      </c>
      <c r="J15" t="s">
        <v>6299</v>
      </c>
      <c r="K15" s="46">
        <v>1000</v>
      </c>
      <c r="L15" t="s">
        <v>6300</v>
      </c>
      <c r="M15" t="s">
        <v>6301</v>
      </c>
      <c r="N15" t="s">
        <v>6302</v>
      </c>
      <c r="O15" t="s">
        <v>25</v>
      </c>
      <c r="P15" t="s">
        <v>6303</v>
      </c>
      <c r="U15" t="s">
        <v>6306</v>
      </c>
      <c r="V15" t="s">
        <v>6305</v>
      </c>
      <c r="W15" t="s">
        <v>4559</v>
      </c>
      <c r="X15" t="s">
        <v>6304</v>
      </c>
    </row>
    <row r="16" spans="1:25">
      <c r="A16" t="s">
        <v>6308</v>
      </c>
      <c r="B16" t="s">
        <v>6308</v>
      </c>
      <c r="C16" t="s">
        <v>6312</v>
      </c>
      <c r="D16" t="s">
        <v>21</v>
      </c>
      <c r="E16">
        <v>1812</v>
      </c>
      <c r="F16" t="s">
        <v>6309</v>
      </c>
      <c r="G16" t="str">
        <f>Config!$B$5</f>
        <v>SCH/L_ANSI.SchLib</v>
      </c>
      <c r="H16" t="s">
        <v>6310</v>
      </c>
      <c r="I16" t="s">
        <v>6535</v>
      </c>
      <c r="J16" t="s">
        <v>6536</v>
      </c>
      <c r="K16" s="46">
        <v>5.1E-5</v>
      </c>
      <c r="L16" t="s">
        <v>6311</v>
      </c>
      <c r="M16" t="s">
        <v>6315</v>
      </c>
      <c r="N16" t="s">
        <v>6314</v>
      </c>
      <c r="O16" t="s">
        <v>25</v>
      </c>
      <c r="P16" t="s">
        <v>6313</v>
      </c>
      <c r="U16" t="s">
        <v>6306</v>
      </c>
      <c r="V16" t="s">
        <v>6317</v>
      </c>
      <c r="W16" t="s">
        <v>4559</v>
      </c>
      <c r="X16" t="s">
        <v>6316</v>
      </c>
    </row>
    <row r="17" spans="1:24">
      <c r="A17" t="s">
        <v>6381</v>
      </c>
      <c r="B17" t="s">
        <v>6381</v>
      </c>
      <c r="C17" t="s">
        <v>6382</v>
      </c>
      <c r="D17" t="s">
        <v>6383</v>
      </c>
      <c r="E17" t="s">
        <v>6388</v>
      </c>
      <c r="F17" t="s">
        <v>6387</v>
      </c>
      <c r="G17" t="str">
        <f>Config!$B$5</f>
        <v>SCH/L_ANSI.SchLib</v>
      </c>
      <c r="H17" t="s">
        <v>424</v>
      </c>
      <c r="I17" t="s">
        <v>6535</v>
      </c>
      <c r="J17" t="s">
        <v>6386</v>
      </c>
      <c r="K17" s="46">
        <v>2.2000000000000001E-4</v>
      </c>
      <c r="L17" t="s">
        <v>6389</v>
      </c>
      <c r="M17" t="s">
        <v>6383</v>
      </c>
      <c r="N17" t="s">
        <v>6384</v>
      </c>
      <c r="O17" t="s">
        <v>25</v>
      </c>
      <c r="P17" t="s">
        <v>6385</v>
      </c>
      <c r="U17" t="s">
        <v>6392</v>
      </c>
      <c r="V17" t="s">
        <v>6391</v>
      </c>
      <c r="W17" t="s">
        <v>4559</v>
      </c>
      <c r="X17" t="s">
        <v>6390</v>
      </c>
    </row>
    <row r="18" spans="1:24">
      <c r="A18" t="s">
        <v>10648</v>
      </c>
      <c r="B18" t="s">
        <v>10648</v>
      </c>
      <c r="C18" t="s">
        <v>6393</v>
      </c>
      <c r="D18" t="s">
        <v>6383</v>
      </c>
      <c r="E18" t="s">
        <v>6394</v>
      </c>
      <c r="F18" t="s">
        <v>4585</v>
      </c>
      <c r="G18" t="str">
        <f>Config!$B$5</f>
        <v>SCH/L_ANSI.SchLib</v>
      </c>
      <c r="H18" t="s">
        <v>424</v>
      </c>
      <c r="I18" t="s">
        <v>6535</v>
      </c>
      <c r="J18" t="s">
        <v>6395</v>
      </c>
      <c r="K18" s="46">
        <v>2.2000000000000001E-6</v>
      </c>
      <c r="L18" t="s">
        <v>6396</v>
      </c>
      <c r="M18" t="s">
        <v>6383</v>
      </c>
      <c r="N18" t="s">
        <v>6397</v>
      </c>
      <c r="O18" t="s">
        <v>25</v>
      </c>
      <c r="P18" t="s">
        <v>6398</v>
      </c>
      <c r="U18" t="s">
        <v>6400</v>
      </c>
      <c r="V18" t="s">
        <v>6399</v>
      </c>
      <c r="W18" t="s">
        <v>4559</v>
      </c>
      <c r="X18" t="s">
        <v>6401</v>
      </c>
    </row>
    <row r="19" spans="1:24">
      <c r="A19" t="s">
        <v>6369</v>
      </c>
      <c r="B19" t="s">
        <v>6369</v>
      </c>
      <c r="C19" t="s">
        <v>6370</v>
      </c>
      <c r="D19" t="s">
        <v>6371</v>
      </c>
      <c r="G19" t="str">
        <f>Config!$B$5</f>
        <v>SCH/L_ANSI.SchLib</v>
      </c>
      <c r="H19" t="s">
        <v>6374</v>
      </c>
      <c r="I19" t="s">
        <v>6535</v>
      </c>
      <c r="J19" t="s">
        <v>6373</v>
      </c>
      <c r="L19" t="s">
        <v>6430</v>
      </c>
      <c r="M19" t="s">
        <v>6371</v>
      </c>
      <c r="N19" t="s">
        <v>6369</v>
      </c>
      <c r="O19" t="s">
        <v>25</v>
      </c>
      <c r="P19" s="15" t="s">
        <v>6372</v>
      </c>
      <c r="T19" s="5"/>
      <c r="U19" t="s">
        <v>6368</v>
      </c>
      <c r="V19" s="5" t="s">
        <v>6367</v>
      </c>
      <c r="W19" t="s">
        <v>4559</v>
      </c>
      <c r="X19" s="5" t="s">
        <v>6366</v>
      </c>
    </row>
    <row r="20" spans="1:24">
      <c r="A20" t="s">
        <v>6682</v>
      </c>
      <c r="B20" t="s">
        <v>6682</v>
      </c>
      <c r="C20" t="s">
        <v>6683</v>
      </c>
      <c r="D20" t="s">
        <v>6684</v>
      </c>
      <c r="G20" t="str">
        <f>Config!$B$5</f>
        <v>SCH/L_ANSI.SchLib</v>
      </c>
      <c r="H20" t="s">
        <v>6685</v>
      </c>
      <c r="I20" t="s">
        <v>6535</v>
      </c>
      <c r="J20" t="s">
        <v>6786</v>
      </c>
      <c r="L20" t="s">
        <v>6686</v>
      </c>
      <c r="M20" t="s">
        <v>6684</v>
      </c>
      <c r="N20" t="s">
        <v>6682</v>
      </c>
      <c r="O20" t="s">
        <v>25</v>
      </c>
      <c r="P20" t="s">
        <v>6687</v>
      </c>
      <c r="U20" t="s">
        <v>6693</v>
      </c>
      <c r="V20" t="s">
        <v>6695</v>
      </c>
      <c r="W20" t="s">
        <v>4559</v>
      </c>
      <c r="X20" s="5" t="s">
        <v>6694</v>
      </c>
    </row>
    <row r="21" spans="1:24">
      <c r="A21" t="s">
        <v>6690</v>
      </c>
      <c r="B21" t="s">
        <v>6690</v>
      </c>
      <c r="C21" t="s">
        <v>6683</v>
      </c>
      <c r="D21" t="s">
        <v>6684</v>
      </c>
      <c r="G21" t="str">
        <f>Config!$B$5</f>
        <v>SCH/L_ANSI.SchLib</v>
      </c>
      <c r="H21" t="s">
        <v>6688</v>
      </c>
      <c r="I21" t="s">
        <v>6535</v>
      </c>
      <c r="J21" t="s">
        <v>6787</v>
      </c>
      <c r="L21" t="s">
        <v>6686</v>
      </c>
      <c r="M21" t="s">
        <v>6684</v>
      </c>
      <c r="N21" t="s">
        <v>6690</v>
      </c>
      <c r="O21" t="s">
        <v>25</v>
      </c>
      <c r="P21" t="s">
        <v>6689</v>
      </c>
      <c r="U21" t="s">
        <v>6693</v>
      </c>
      <c r="V21" t="s">
        <v>6692</v>
      </c>
      <c r="W21" t="s">
        <v>4559</v>
      </c>
      <c r="X21" s="5" t="s">
        <v>6691</v>
      </c>
    </row>
    <row r="22" spans="1:24">
      <c r="A22" t="s">
        <v>6717</v>
      </c>
      <c r="B22" t="s">
        <v>6717</v>
      </c>
      <c r="C22" t="s">
        <v>6716</v>
      </c>
      <c r="D22" t="s">
        <v>21</v>
      </c>
      <c r="E22">
        <v>1510</v>
      </c>
      <c r="F22" t="s">
        <v>6718</v>
      </c>
      <c r="G22" t="str">
        <f>Config!$B$5</f>
        <v>SCH/L_ANSI.SchLib</v>
      </c>
      <c r="H22" t="s">
        <v>424</v>
      </c>
      <c r="I22" t="s">
        <v>6535</v>
      </c>
      <c r="J22" t="s">
        <v>6719</v>
      </c>
      <c r="K22" s="46">
        <v>1.5E-5</v>
      </c>
      <c r="L22" s="28" t="s">
        <v>6720</v>
      </c>
      <c r="M22" t="s">
        <v>6383</v>
      </c>
      <c r="N22" t="s">
        <v>6721</v>
      </c>
      <c r="O22" t="s">
        <v>25</v>
      </c>
      <c r="P22" t="s">
        <v>6721</v>
      </c>
      <c r="U22" t="s">
        <v>6722</v>
      </c>
      <c r="V22" t="s">
        <v>6723</v>
      </c>
      <c r="W22" t="s">
        <v>4559</v>
      </c>
      <c r="X22" t="s">
        <v>6724</v>
      </c>
    </row>
    <row r="23" spans="1:24">
      <c r="A23" t="s">
        <v>6789</v>
      </c>
      <c r="B23" t="s">
        <v>6789</v>
      </c>
      <c r="C23" t="s">
        <v>6788</v>
      </c>
      <c r="D23" t="s">
        <v>21</v>
      </c>
      <c r="E23">
        <v>6030</v>
      </c>
      <c r="F23" t="s">
        <v>6778</v>
      </c>
      <c r="G23" t="str">
        <f>Config!$B$5</f>
        <v>SCH/L_ANSI.SchLib</v>
      </c>
      <c r="H23" t="s">
        <v>424</v>
      </c>
      <c r="I23" t="s">
        <v>6535</v>
      </c>
      <c r="J23" t="s">
        <v>6790</v>
      </c>
      <c r="K23" s="46">
        <v>1.0000000000000001E-5</v>
      </c>
      <c r="L23" t="s">
        <v>6793</v>
      </c>
      <c r="M23" t="s">
        <v>6371</v>
      </c>
      <c r="N23" t="s">
        <v>6792</v>
      </c>
      <c r="O23" t="s">
        <v>25</v>
      </c>
      <c r="P23" t="s">
        <v>6791</v>
      </c>
      <c r="U23" t="s">
        <v>6795</v>
      </c>
      <c r="V23" s="5" t="s">
        <v>6792</v>
      </c>
      <c r="W23" t="s">
        <v>4559</v>
      </c>
      <c r="X23" s="5" t="s">
        <v>6794</v>
      </c>
    </row>
    <row r="24" spans="1:24">
      <c r="A24" t="s">
        <v>6836</v>
      </c>
      <c r="B24" t="s">
        <v>6836</v>
      </c>
      <c r="C24" t="s">
        <v>6847</v>
      </c>
      <c r="D24" t="s">
        <v>21</v>
      </c>
      <c r="E24">
        <v>6030</v>
      </c>
      <c r="F24" t="s">
        <v>6844</v>
      </c>
      <c r="G24" t="str">
        <f>Config!$B$5</f>
        <v>SCH/L_ANSI.SchLib</v>
      </c>
      <c r="H24" t="s">
        <v>424</v>
      </c>
      <c r="I24" t="s">
        <v>6535</v>
      </c>
      <c r="J24" t="s">
        <v>6790</v>
      </c>
      <c r="K24" s="46">
        <v>2.2000000000000001E-7</v>
      </c>
      <c r="L24" s="26" t="s">
        <v>6859</v>
      </c>
      <c r="M24" t="s">
        <v>6371</v>
      </c>
      <c r="N24" t="s">
        <v>6868</v>
      </c>
      <c r="O24" t="s">
        <v>25</v>
      </c>
      <c r="P24" t="s">
        <v>6877</v>
      </c>
    </row>
    <row r="25" spans="1:24">
      <c r="A25" t="s">
        <v>6837</v>
      </c>
      <c r="B25" t="s">
        <v>6837</v>
      </c>
      <c r="C25" t="s">
        <v>6848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6535</v>
      </c>
      <c r="J25" t="s">
        <v>6790</v>
      </c>
      <c r="K25" s="46">
        <v>3.3000000000000002E-7</v>
      </c>
      <c r="L25" t="s">
        <v>6860</v>
      </c>
      <c r="M25" t="s">
        <v>6371</v>
      </c>
      <c r="N25" t="s">
        <v>6869</v>
      </c>
      <c r="O25" t="s">
        <v>25</v>
      </c>
      <c r="P25" t="s">
        <v>6878</v>
      </c>
    </row>
    <row r="26" spans="1:24">
      <c r="A26" t="s">
        <v>6838</v>
      </c>
      <c r="B26" t="s">
        <v>6838</v>
      </c>
      <c r="C26" t="s">
        <v>6849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6535</v>
      </c>
      <c r="J26" t="s">
        <v>6790</v>
      </c>
      <c r="K26" s="46">
        <v>4.7E-7</v>
      </c>
      <c r="L26" t="s">
        <v>6861</v>
      </c>
      <c r="M26" t="s">
        <v>6371</v>
      </c>
      <c r="N26" t="s">
        <v>6870</v>
      </c>
      <c r="O26" t="s">
        <v>25</v>
      </c>
      <c r="P26" t="s">
        <v>6885</v>
      </c>
    </row>
    <row r="27" spans="1:24">
      <c r="A27" t="s">
        <v>6843</v>
      </c>
      <c r="B27" t="s">
        <v>6843</v>
      </c>
      <c r="C27" t="s">
        <v>6850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6535</v>
      </c>
      <c r="J27" t="s">
        <v>6790</v>
      </c>
      <c r="K27" s="46">
        <v>6.7999999999999995E-7</v>
      </c>
      <c r="L27" t="s">
        <v>6862</v>
      </c>
      <c r="M27" t="s">
        <v>6371</v>
      </c>
      <c r="N27" t="s">
        <v>6871</v>
      </c>
      <c r="O27" t="s">
        <v>25</v>
      </c>
      <c r="P27" t="s">
        <v>6886</v>
      </c>
    </row>
    <row r="28" spans="1:24">
      <c r="A28" t="s">
        <v>6839</v>
      </c>
      <c r="B28" t="s">
        <v>6839</v>
      </c>
      <c r="C28" t="s">
        <v>6851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6535</v>
      </c>
      <c r="J28" t="s">
        <v>6790</v>
      </c>
      <c r="K28" s="46">
        <v>9.9999999999999995E-7</v>
      </c>
      <c r="L28" t="s">
        <v>6863</v>
      </c>
      <c r="M28" t="s">
        <v>6371</v>
      </c>
      <c r="N28" t="s">
        <v>6872</v>
      </c>
      <c r="O28" t="s">
        <v>25</v>
      </c>
      <c r="P28" t="s">
        <v>6887</v>
      </c>
    </row>
    <row r="29" spans="1:24">
      <c r="A29" t="s">
        <v>10649</v>
      </c>
      <c r="B29" t="s">
        <v>10649</v>
      </c>
      <c r="C29" t="s">
        <v>6852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6535</v>
      </c>
      <c r="J29" t="s">
        <v>6790</v>
      </c>
      <c r="K29" s="46">
        <v>1.5E-6</v>
      </c>
      <c r="L29" t="s">
        <v>6864</v>
      </c>
      <c r="M29" t="s">
        <v>6371</v>
      </c>
      <c r="N29" t="s">
        <v>6873</v>
      </c>
      <c r="O29" t="s">
        <v>25</v>
      </c>
      <c r="P29" t="s">
        <v>6888</v>
      </c>
    </row>
    <row r="30" spans="1:24">
      <c r="A30" t="s">
        <v>10650</v>
      </c>
      <c r="B30" t="s">
        <v>10650</v>
      </c>
      <c r="C30" t="s">
        <v>6853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6535</v>
      </c>
      <c r="J30" t="s">
        <v>6790</v>
      </c>
      <c r="K30" s="46">
        <v>2.2000000000000001E-6</v>
      </c>
      <c r="L30" t="s">
        <v>6865</v>
      </c>
      <c r="M30" t="s">
        <v>6371</v>
      </c>
      <c r="N30" t="s">
        <v>6874</v>
      </c>
      <c r="O30" t="s">
        <v>25</v>
      </c>
      <c r="P30" t="s">
        <v>6889</v>
      </c>
    </row>
    <row r="31" spans="1:24">
      <c r="A31" t="s">
        <v>10651</v>
      </c>
      <c r="B31" t="s">
        <v>10651</v>
      </c>
      <c r="C31" t="s">
        <v>6854</v>
      </c>
      <c r="D31" t="s">
        <v>21</v>
      </c>
      <c r="E31">
        <v>6030</v>
      </c>
      <c r="F31" t="s">
        <v>6796</v>
      </c>
      <c r="G31" t="str">
        <f>Config!$B$5</f>
        <v>SCH/L_ANSI.SchLib</v>
      </c>
      <c r="H31" t="s">
        <v>424</v>
      </c>
      <c r="I31" t="s">
        <v>6535</v>
      </c>
      <c r="J31" t="s">
        <v>6790</v>
      </c>
      <c r="K31" s="46">
        <v>3.3000000000000002E-6</v>
      </c>
      <c r="L31" s="28" t="s">
        <v>6866</v>
      </c>
      <c r="M31" t="s">
        <v>6371</v>
      </c>
      <c r="N31" t="s">
        <v>6875</v>
      </c>
      <c r="O31" t="s">
        <v>25</v>
      </c>
      <c r="P31" t="s">
        <v>6890</v>
      </c>
    </row>
    <row r="32" spans="1:24">
      <c r="A32" t="s">
        <v>10652</v>
      </c>
      <c r="B32" t="s">
        <v>10652</v>
      </c>
      <c r="C32" t="s">
        <v>6855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6535</v>
      </c>
      <c r="J32" t="s">
        <v>6790</v>
      </c>
      <c r="K32" s="46">
        <v>4.6999999999999999E-6</v>
      </c>
      <c r="L32" t="s">
        <v>6867</v>
      </c>
      <c r="M32" t="s">
        <v>6371</v>
      </c>
      <c r="N32" t="s">
        <v>6876</v>
      </c>
      <c r="O32" t="s">
        <v>25</v>
      </c>
      <c r="P32" t="s">
        <v>6891</v>
      </c>
    </row>
    <row r="33" spans="1:16">
      <c r="A33" t="s">
        <v>6840</v>
      </c>
      <c r="B33" t="s">
        <v>6840</v>
      </c>
      <c r="C33" t="s">
        <v>6856</v>
      </c>
      <c r="D33" t="s">
        <v>21</v>
      </c>
      <c r="E33">
        <v>6030</v>
      </c>
      <c r="F33" t="s">
        <v>6718</v>
      </c>
      <c r="G33" t="str">
        <f>Config!$B$5</f>
        <v>SCH/L_ANSI.SchLib</v>
      </c>
      <c r="H33" t="s">
        <v>424</v>
      </c>
      <c r="I33" t="s">
        <v>6535</v>
      </c>
      <c r="J33" t="s">
        <v>6790</v>
      </c>
      <c r="K33" s="46">
        <v>1.5E-5</v>
      </c>
      <c r="L33" t="s">
        <v>6879</v>
      </c>
      <c r="M33" t="s">
        <v>6371</v>
      </c>
      <c r="N33" t="s">
        <v>6882</v>
      </c>
      <c r="O33" t="s">
        <v>25</v>
      </c>
      <c r="P33" t="s">
        <v>6892</v>
      </c>
    </row>
    <row r="34" spans="1:16">
      <c r="A34" t="s">
        <v>6841</v>
      </c>
      <c r="B34" t="s">
        <v>6841</v>
      </c>
      <c r="C34" t="s">
        <v>6857</v>
      </c>
      <c r="D34" t="s">
        <v>21</v>
      </c>
      <c r="E34">
        <v>6030</v>
      </c>
      <c r="F34" t="s">
        <v>6845</v>
      </c>
      <c r="G34" t="str">
        <f>Config!$B$5</f>
        <v>SCH/L_ANSI.SchLib</v>
      </c>
      <c r="H34" t="s">
        <v>424</v>
      </c>
      <c r="I34" t="s">
        <v>6535</v>
      </c>
      <c r="J34" t="s">
        <v>6790</v>
      </c>
      <c r="K34" s="46">
        <v>2.1999999999999999E-5</v>
      </c>
      <c r="L34" t="s">
        <v>6880</v>
      </c>
      <c r="M34" t="s">
        <v>6371</v>
      </c>
      <c r="N34" t="s">
        <v>6883</v>
      </c>
      <c r="O34" t="s">
        <v>25</v>
      </c>
      <c r="P34" t="s">
        <v>6893</v>
      </c>
    </row>
    <row r="35" spans="1:16">
      <c r="A35" t="s">
        <v>6842</v>
      </c>
      <c r="B35" t="s">
        <v>6842</v>
      </c>
      <c r="C35" t="s">
        <v>6858</v>
      </c>
      <c r="D35" t="s">
        <v>21</v>
      </c>
      <c r="E35">
        <v>6030</v>
      </c>
      <c r="F35" t="s">
        <v>6846</v>
      </c>
      <c r="G35" t="str">
        <f>Config!$B$5</f>
        <v>SCH/L_ANSI.SchLib</v>
      </c>
      <c r="H35" t="s">
        <v>424</v>
      </c>
      <c r="I35" t="s">
        <v>6535</v>
      </c>
      <c r="J35" t="s">
        <v>6790</v>
      </c>
      <c r="K35" s="46">
        <v>3.3000000000000003E-5</v>
      </c>
      <c r="L35" t="s">
        <v>6881</v>
      </c>
      <c r="M35" t="s">
        <v>6371</v>
      </c>
      <c r="N35" t="s">
        <v>6884</v>
      </c>
      <c r="O35" t="s">
        <v>25</v>
      </c>
      <c r="P35" t="s">
        <v>6894</v>
      </c>
    </row>
    <row r="36" spans="1:16">
      <c r="A36" t="s">
        <v>6915</v>
      </c>
      <c r="B36" t="s">
        <v>6915</v>
      </c>
      <c r="C36" t="s">
        <v>6900</v>
      </c>
      <c r="D36" t="s">
        <v>21</v>
      </c>
      <c r="E36">
        <v>1245</v>
      </c>
      <c r="F36" t="s">
        <v>6924</v>
      </c>
      <c r="G36" t="str">
        <f>Config!$B$5</f>
        <v>SCH/L_ANSI.SchLib</v>
      </c>
      <c r="H36" t="s">
        <v>424</v>
      </c>
      <c r="I36" t="s">
        <v>6535</v>
      </c>
      <c r="J36" t="s">
        <v>6896</v>
      </c>
      <c r="K36" s="46">
        <v>1.4999999999999999E-7</v>
      </c>
      <c r="L36" s="26" t="s">
        <v>6897</v>
      </c>
      <c r="M36" t="s">
        <v>4546</v>
      </c>
      <c r="N36" t="s">
        <v>6931</v>
      </c>
      <c r="O36" t="s">
        <v>25</v>
      </c>
      <c r="P36" t="s">
        <v>6945</v>
      </c>
    </row>
    <row r="37" spans="1:16">
      <c r="A37" t="s">
        <v>6916</v>
      </c>
      <c r="B37" t="s">
        <v>6916</v>
      </c>
      <c r="C37" t="s">
        <v>6901</v>
      </c>
      <c r="D37" t="s">
        <v>21</v>
      </c>
      <c r="E37">
        <v>1245</v>
      </c>
      <c r="F37" t="s">
        <v>6844</v>
      </c>
      <c r="G37" t="str">
        <f>Config!$B$5</f>
        <v>SCH/L_ANSI.SchLib</v>
      </c>
      <c r="H37" t="s">
        <v>424</v>
      </c>
      <c r="I37" t="s">
        <v>6535</v>
      </c>
      <c r="J37" t="s">
        <v>6896</v>
      </c>
      <c r="K37" s="46">
        <v>2.2000000000000001E-7</v>
      </c>
      <c r="L37" s="26" t="s">
        <v>6897</v>
      </c>
      <c r="M37" t="s">
        <v>4546</v>
      </c>
      <c r="N37" t="s">
        <v>6932</v>
      </c>
      <c r="O37" t="s">
        <v>25</v>
      </c>
      <c r="P37" t="s">
        <v>6946</v>
      </c>
    </row>
    <row r="38" spans="1:16">
      <c r="A38" t="s">
        <v>6917</v>
      </c>
      <c r="B38" t="s">
        <v>6917</v>
      </c>
      <c r="C38" t="s">
        <v>6902</v>
      </c>
      <c r="D38" t="s">
        <v>21</v>
      </c>
      <c r="E38">
        <v>1245</v>
      </c>
      <c r="F38" t="s">
        <v>6925</v>
      </c>
      <c r="G38" t="str">
        <f>Config!$B$5</f>
        <v>SCH/L_ANSI.SchLib</v>
      </c>
      <c r="H38" t="s">
        <v>424</v>
      </c>
      <c r="I38" t="s">
        <v>6535</v>
      </c>
      <c r="J38" t="s">
        <v>6896</v>
      </c>
      <c r="K38" s="46">
        <v>3.5999999999999999E-7</v>
      </c>
      <c r="L38" s="26" t="s">
        <v>6897</v>
      </c>
      <c r="M38" t="s">
        <v>4546</v>
      </c>
      <c r="N38" t="s">
        <v>6933</v>
      </c>
      <c r="O38" t="s">
        <v>25</v>
      </c>
      <c r="P38" t="s">
        <v>6947</v>
      </c>
    </row>
    <row r="39" spans="1:16">
      <c r="A39" t="s">
        <v>6918</v>
      </c>
      <c r="B39" t="s">
        <v>6918</v>
      </c>
      <c r="C39" t="s">
        <v>6903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6535</v>
      </c>
      <c r="J39" t="s">
        <v>6896</v>
      </c>
      <c r="K39" s="46">
        <v>4.7E-7</v>
      </c>
      <c r="L39" s="26" t="s">
        <v>6897</v>
      </c>
      <c r="M39" t="s">
        <v>4546</v>
      </c>
      <c r="N39" t="s">
        <v>6934</v>
      </c>
      <c r="O39" t="s">
        <v>25</v>
      </c>
      <c r="P39" t="s">
        <v>6948</v>
      </c>
    </row>
    <row r="40" spans="1:16">
      <c r="A40" t="s">
        <v>6919</v>
      </c>
      <c r="B40" t="s">
        <v>6919</v>
      </c>
      <c r="C40" t="s">
        <v>6904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6535</v>
      </c>
      <c r="J40" t="s">
        <v>6896</v>
      </c>
      <c r="K40" s="46">
        <v>6.7999999999999995E-7</v>
      </c>
      <c r="L40" s="26" t="s">
        <v>6897</v>
      </c>
      <c r="M40" t="s">
        <v>4546</v>
      </c>
      <c r="N40" t="s">
        <v>6935</v>
      </c>
      <c r="O40" t="s">
        <v>25</v>
      </c>
      <c r="P40" t="s">
        <v>6949</v>
      </c>
    </row>
    <row r="41" spans="1:16">
      <c r="A41" t="s">
        <v>6920</v>
      </c>
      <c r="B41" t="s">
        <v>6920</v>
      </c>
      <c r="C41" t="s">
        <v>6905</v>
      </c>
      <c r="D41" t="s">
        <v>21</v>
      </c>
      <c r="E41">
        <v>1245</v>
      </c>
      <c r="F41" t="s">
        <v>6926</v>
      </c>
      <c r="G41" t="str">
        <f>Config!$B$5</f>
        <v>SCH/L_ANSI.SchLib</v>
      </c>
      <c r="H41" t="s">
        <v>424</v>
      </c>
      <c r="I41" t="s">
        <v>6535</v>
      </c>
      <c r="J41" t="s">
        <v>6896</v>
      </c>
      <c r="K41" s="46">
        <v>9.9999999999999995E-7</v>
      </c>
      <c r="L41" s="26" t="s">
        <v>6897</v>
      </c>
      <c r="M41" t="s">
        <v>4546</v>
      </c>
      <c r="N41" t="s">
        <v>6936</v>
      </c>
      <c r="O41" t="s">
        <v>25</v>
      </c>
      <c r="P41" t="s">
        <v>6950</v>
      </c>
    </row>
    <row r="42" spans="1:16">
      <c r="A42" t="s">
        <v>10653</v>
      </c>
      <c r="B42" t="s">
        <v>10653</v>
      </c>
      <c r="C42" t="s">
        <v>6906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6535</v>
      </c>
      <c r="J42" t="s">
        <v>6896</v>
      </c>
      <c r="K42" s="46">
        <v>1.5E-6</v>
      </c>
      <c r="L42" s="26" t="s">
        <v>6897</v>
      </c>
      <c r="M42" t="s">
        <v>4546</v>
      </c>
      <c r="N42" t="s">
        <v>6937</v>
      </c>
      <c r="O42" t="s">
        <v>25</v>
      </c>
      <c r="P42" t="s">
        <v>6951</v>
      </c>
    </row>
    <row r="43" spans="1:16">
      <c r="A43" t="s">
        <v>10654</v>
      </c>
      <c r="B43" t="s">
        <v>10654</v>
      </c>
      <c r="C43" t="s">
        <v>6907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6535</v>
      </c>
      <c r="J43" t="s">
        <v>6896</v>
      </c>
      <c r="K43" s="46">
        <v>2.2000000000000001E-6</v>
      </c>
      <c r="L43" s="26" t="s">
        <v>6897</v>
      </c>
      <c r="M43" t="s">
        <v>4546</v>
      </c>
      <c r="N43" t="s">
        <v>6938</v>
      </c>
      <c r="O43" t="s">
        <v>25</v>
      </c>
      <c r="P43" t="s">
        <v>6952</v>
      </c>
    </row>
    <row r="44" spans="1:16">
      <c r="A44" t="s">
        <v>10655</v>
      </c>
      <c r="B44" t="s">
        <v>10655</v>
      </c>
      <c r="C44" t="s">
        <v>6908</v>
      </c>
      <c r="D44" t="s">
        <v>21</v>
      </c>
      <c r="E44">
        <v>1245</v>
      </c>
      <c r="F44" t="s">
        <v>6796</v>
      </c>
      <c r="G44" t="str">
        <f>Config!$B$5</f>
        <v>SCH/L_ANSI.SchLib</v>
      </c>
      <c r="H44" t="s">
        <v>424</v>
      </c>
      <c r="I44" t="s">
        <v>6535</v>
      </c>
      <c r="J44" t="s">
        <v>6896</v>
      </c>
      <c r="K44" s="46">
        <v>3.3000000000000002E-6</v>
      </c>
      <c r="L44" s="26" t="s">
        <v>6897</v>
      </c>
      <c r="M44" t="s">
        <v>4546</v>
      </c>
      <c r="N44" t="s">
        <v>6939</v>
      </c>
      <c r="O44" t="s">
        <v>25</v>
      </c>
      <c r="P44" t="s">
        <v>6953</v>
      </c>
    </row>
    <row r="45" spans="1:16">
      <c r="A45" t="s">
        <v>10656</v>
      </c>
      <c r="B45" t="s">
        <v>10656</v>
      </c>
      <c r="C45" t="s">
        <v>6909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6535</v>
      </c>
      <c r="J45" t="s">
        <v>6896</v>
      </c>
      <c r="K45" s="46">
        <v>4.6999999999999999E-6</v>
      </c>
      <c r="L45" s="26" t="s">
        <v>6897</v>
      </c>
      <c r="M45" t="s">
        <v>4546</v>
      </c>
      <c r="N45" t="s">
        <v>6940</v>
      </c>
      <c r="O45" t="s">
        <v>25</v>
      </c>
      <c r="P45" t="s">
        <v>6954</v>
      </c>
    </row>
    <row r="46" spans="1:16">
      <c r="A46" t="s">
        <v>10657</v>
      </c>
      <c r="B46" t="s">
        <v>10657</v>
      </c>
      <c r="C46" t="s">
        <v>6910</v>
      </c>
      <c r="D46" t="s">
        <v>21</v>
      </c>
      <c r="E46">
        <v>1245</v>
      </c>
      <c r="F46" t="s">
        <v>6927</v>
      </c>
      <c r="G46" t="str">
        <f>Config!$B$5</f>
        <v>SCH/L_ANSI.SchLib</v>
      </c>
      <c r="H46" t="s">
        <v>424</v>
      </c>
      <c r="I46" t="s">
        <v>6535</v>
      </c>
      <c r="J46" t="s">
        <v>6896</v>
      </c>
      <c r="K46" s="46">
        <v>6.8000000000000001E-6</v>
      </c>
      <c r="L46" s="26" t="s">
        <v>6897</v>
      </c>
      <c r="M46" t="s">
        <v>4546</v>
      </c>
      <c r="N46" t="s">
        <v>6941</v>
      </c>
      <c r="O46" t="s">
        <v>25</v>
      </c>
      <c r="P46" t="s">
        <v>6955</v>
      </c>
    </row>
    <row r="47" spans="1:16">
      <c r="A47" t="s">
        <v>10658</v>
      </c>
      <c r="B47" t="s">
        <v>10658</v>
      </c>
      <c r="C47" t="s">
        <v>6911</v>
      </c>
      <c r="D47" t="s">
        <v>21</v>
      </c>
      <c r="E47">
        <v>1245</v>
      </c>
      <c r="F47" t="s">
        <v>6895</v>
      </c>
      <c r="G47" t="str">
        <f>Config!$B$5</f>
        <v>SCH/L_ANSI.SchLib</v>
      </c>
      <c r="H47" t="s">
        <v>424</v>
      </c>
      <c r="I47" t="s">
        <v>6535</v>
      </c>
      <c r="J47" t="s">
        <v>6896</v>
      </c>
      <c r="K47" s="46">
        <v>8.1999999999999994E-6</v>
      </c>
      <c r="L47" s="26" t="s">
        <v>6897</v>
      </c>
      <c r="M47" t="s">
        <v>4546</v>
      </c>
      <c r="N47" t="s">
        <v>6899</v>
      </c>
      <c r="O47" t="s">
        <v>25</v>
      </c>
      <c r="P47" t="s">
        <v>6898</v>
      </c>
    </row>
    <row r="48" spans="1:16">
      <c r="A48" t="s">
        <v>6921</v>
      </c>
      <c r="B48" t="s">
        <v>6921</v>
      </c>
      <c r="C48" t="s">
        <v>6912</v>
      </c>
      <c r="D48" t="s">
        <v>21</v>
      </c>
      <c r="E48">
        <v>1245</v>
      </c>
      <c r="F48" t="s">
        <v>6928</v>
      </c>
      <c r="G48" t="str">
        <f>Config!$B$5</f>
        <v>SCH/L_ANSI.SchLib</v>
      </c>
      <c r="H48" t="s">
        <v>424</v>
      </c>
      <c r="I48" t="s">
        <v>6535</v>
      </c>
      <c r="J48" t="s">
        <v>6896</v>
      </c>
      <c r="K48" s="46">
        <v>1.0000000000000001E-5</v>
      </c>
      <c r="L48" s="26" t="s">
        <v>6897</v>
      </c>
      <c r="M48" t="s">
        <v>4546</v>
      </c>
      <c r="N48" t="s">
        <v>6942</v>
      </c>
      <c r="O48" t="s">
        <v>25</v>
      </c>
      <c r="P48" t="s">
        <v>6956</v>
      </c>
    </row>
    <row r="49" spans="1:16">
      <c r="A49" t="s">
        <v>6922</v>
      </c>
      <c r="B49" t="s">
        <v>6922</v>
      </c>
      <c r="C49" t="s">
        <v>6913</v>
      </c>
      <c r="D49" t="s">
        <v>21</v>
      </c>
      <c r="E49">
        <v>1245</v>
      </c>
      <c r="F49" t="s">
        <v>6929</v>
      </c>
      <c r="G49" t="str">
        <f>Config!$B$5</f>
        <v>SCH/L_ANSI.SchLib</v>
      </c>
      <c r="H49" t="s">
        <v>424</v>
      </c>
      <c r="I49" t="s">
        <v>6535</v>
      </c>
      <c r="J49" t="s">
        <v>6896</v>
      </c>
      <c r="K49" s="46">
        <v>1.5E-5</v>
      </c>
      <c r="L49" s="26" t="s">
        <v>6897</v>
      </c>
      <c r="M49" t="s">
        <v>4546</v>
      </c>
      <c r="N49" t="s">
        <v>6943</v>
      </c>
      <c r="O49" t="s">
        <v>25</v>
      </c>
      <c r="P49" t="s">
        <v>6957</v>
      </c>
    </row>
    <row r="50" spans="1:16">
      <c r="A50" t="s">
        <v>6923</v>
      </c>
      <c r="B50" t="s">
        <v>6923</v>
      </c>
      <c r="C50" t="s">
        <v>6914</v>
      </c>
      <c r="D50" t="s">
        <v>21</v>
      </c>
      <c r="E50">
        <v>1245</v>
      </c>
      <c r="F50" t="s">
        <v>6930</v>
      </c>
      <c r="G50" t="str">
        <f>Config!$B$5</f>
        <v>SCH/L_ANSI.SchLib</v>
      </c>
      <c r="H50" t="s">
        <v>424</v>
      </c>
      <c r="I50" t="s">
        <v>6535</v>
      </c>
      <c r="J50" t="s">
        <v>6896</v>
      </c>
      <c r="K50" s="46">
        <v>2.1999999999999999E-5</v>
      </c>
      <c r="L50" s="26" t="s">
        <v>6897</v>
      </c>
      <c r="M50" t="s">
        <v>4546</v>
      </c>
      <c r="N50" t="s">
        <v>6944</v>
      </c>
      <c r="O50" t="s">
        <v>25</v>
      </c>
      <c r="P50" t="s">
        <v>6958</v>
      </c>
    </row>
    <row r="51" spans="1:16">
      <c r="A51" t="s">
        <v>7507</v>
      </c>
      <c r="B51" t="s">
        <v>7507</v>
      </c>
      <c r="C51" t="s">
        <v>7509</v>
      </c>
      <c r="D51" t="s">
        <v>7508</v>
      </c>
      <c r="E51" t="s">
        <v>7511</v>
      </c>
      <c r="F51" t="s">
        <v>7510</v>
      </c>
      <c r="G51" t="str">
        <f>Config!$B$5</f>
        <v>SCH/L_ANSI.SchLib</v>
      </c>
      <c r="H51" t="s">
        <v>6310</v>
      </c>
      <c r="I51" s="38" t="str">
        <f>_xlfn.CONCAT(PrivateLibraryPath,"PCB/Schurter.PcbLib")</f>
        <v>../altium_lib_private/PCB/Schurter.PcbLib</v>
      </c>
      <c r="J51" t="s">
        <v>7516</v>
      </c>
      <c r="L51" s="28" t="s">
        <v>7515</v>
      </c>
      <c r="M51" t="s">
        <v>7514</v>
      </c>
      <c r="N51" t="s">
        <v>7512</v>
      </c>
      <c r="O51" t="s">
        <v>25</v>
      </c>
      <c r="P51" t="s">
        <v>7513</v>
      </c>
    </row>
    <row r="52" spans="1:16">
      <c r="A52" t="s">
        <v>7517</v>
      </c>
      <c r="B52" t="s">
        <v>7517</v>
      </c>
      <c r="C52" t="s">
        <v>7518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6298</v>
      </c>
      <c r="I52" t="s">
        <v>461</v>
      </c>
      <c r="J52" t="s">
        <v>6299</v>
      </c>
      <c r="K52" s="46">
        <v>1000</v>
      </c>
      <c r="L52" t="s">
        <v>7519</v>
      </c>
      <c r="M52" t="s">
        <v>7520</v>
      </c>
      <c r="N52" t="s">
        <v>7521</v>
      </c>
      <c r="O52" t="s">
        <v>25</v>
      </c>
      <c r="P52" t="s">
        <v>7522</v>
      </c>
    </row>
    <row r="53" spans="1:16">
      <c r="A53" t="s">
        <v>7977</v>
      </c>
      <c r="B53" t="s">
        <v>7977</v>
      </c>
      <c r="C53" t="s">
        <v>7978</v>
      </c>
      <c r="D53" t="s">
        <v>7979</v>
      </c>
      <c r="E53" t="s">
        <v>7980</v>
      </c>
      <c r="F53" t="s">
        <v>7981</v>
      </c>
      <c r="G53" t="str">
        <f>Config!$B$5</f>
        <v>SCH/L_ANSI.SchLib</v>
      </c>
      <c r="H53" t="s">
        <v>424</v>
      </c>
      <c r="I53" t="s">
        <v>7982</v>
      </c>
      <c r="J53" t="s">
        <v>8029</v>
      </c>
      <c r="K53" s="46">
        <v>8.1999999999999998E-4</v>
      </c>
      <c r="L53" t="s">
        <v>7983</v>
      </c>
      <c r="M53" t="s">
        <v>7979</v>
      </c>
      <c r="N53" t="s">
        <v>7984</v>
      </c>
      <c r="O53" t="s">
        <v>25</v>
      </c>
    </row>
    <row r="54" spans="1:16">
      <c r="A54" t="s">
        <v>8059</v>
      </c>
      <c r="B54" t="s">
        <v>8059</v>
      </c>
      <c r="C54" t="s">
        <v>8060</v>
      </c>
      <c r="D54" t="s">
        <v>4279</v>
      </c>
      <c r="E54" t="s">
        <v>8061</v>
      </c>
      <c r="F54" t="s">
        <v>8062</v>
      </c>
      <c r="G54" t="str">
        <f>Config!$B$5</f>
        <v>SCH/L_ANSI.SchLib</v>
      </c>
      <c r="H54" t="s">
        <v>6310</v>
      </c>
      <c r="I54" t="s">
        <v>7982</v>
      </c>
      <c r="J54" t="s">
        <v>8065</v>
      </c>
      <c r="K54" s="46">
        <v>0.03</v>
      </c>
      <c r="L54" t="s">
        <v>8063</v>
      </c>
      <c r="M54" t="s">
        <v>6223</v>
      </c>
      <c r="N54">
        <v>7448050530</v>
      </c>
      <c r="O54" t="s">
        <v>25</v>
      </c>
      <c r="P54" t="s">
        <v>8064</v>
      </c>
    </row>
    <row r="55" spans="1:16">
      <c r="A55" t="s">
        <v>10864</v>
      </c>
      <c r="B55" t="s">
        <v>10864</v>
      </c>
      <c r="C55" t="s">
        <v>10875</v>
      </c>
      <c r="D55" t="s">
        <v>4479</v>
      </c>
      <c r="E55" t="s">
        <v>10855</v>
      </c>
      <c r="F55" t="s">
        <v>10886</v>
      </c>
      <c r="G55" t="str">
        <f>Config!$B$5</f>
        <v>SCH/L_ANSI.SchLib</v>
      </c>
      <c r="H55" t="s">
        <v>10908</v>
      </c>
      <c r="I55" t="s">
        <v>12503</v>
      </c>
      <c r="J55" t="s">
        <v>10855</v>
      </c>
      <c r="K55" s="46">
        <v>2.0999999999999998E-6</v>
      </c>
      <c r="L55" t="s">
        <v>10918</v>
      </c>
      <c r="N55" t="s">
        <v>10897</v>
      </c>
    </row>
    <row r="56" spans="1:16">
      <c r="A56" t="s">
        <v>12728</v>
      </c>
      <c r="B56" t="s">
        <v>10864</v>
      </c>
      <c r="C56" t="s">
        <v>10875</v>
      </c>
      <c r="D56" t="s">
        <v>4479</v>
      </c>
      <c r="E56" t="s">
        <v>10855</v>
      </c>
      <c r="F56" t="s">
        <v>10886</v>
      </c>
      <c r="G56" t="str">
        <f>Config!$B$5</f>
        <v>SCH/L_ANSI.SchLib</v>
      </c>
      <c r="H56" t="s">
        <v>10908</v>
      </c>
      <c r="I56" t="s">
        <v>12503</v>
      </c>
      <c r="J56" t="s">
        <v>12725</v>
      </c>
      <c r="K56" s="46">
        <v>2.0999999999999998E-6</v>
      </c>
      <c r="L56" t="s">
        <v>10918</v>
      </c>
      <c r="N56" t="s">
        <v>10897</v>
      </c>
    </row>
    <row r="57" spans="1:16">
      <c r="A57" t="s">
        <v>12729</v>
      </c>
      <c r="B57" t="s">
        <v>10864</v>
      </c>
      <c r="C57" t="s">
        <v>10875</v>
      </c>
      <c r="D57" t="s">
        <v>4479</v>
      </c>
      <c r="E57" t="s">
        <v>10855</v>
      </c>
      <c r="F57" t="s">
        <v>10886</v>
      </c>
      <c r="G57" t="str">
        <f>Config!$B$5</f>
        <v>SCH/L_ANSI.SchLib</v>
      </c>
      <c r="H57" t="s">
        <v>10908</v>
      </c>
      <c r="I57" t="s">
        <v>12503</v>
      </c>
      <c r="J57" t="s">
        <v>12726</v>
      </c>
      <c r="K57" s="46">
        <v>2.0999999999999998E-6</v>
      </c>
      <c r="L57" t="s">
        <v>10918</v>
      </c>
      <c r="N57" t="s">
        <v>10897</v>
      </c>
    </row>
    <row r="58" spans="1:16">
      <c r="A58" t="s">
        <v>10866</v>
      </c>
      <c r="B58" t="s">
        <v>10866</v>
      </c>
      <c r="C58" t="s">
        <v>10876</v>
      </c>
      <c r="D58" t="s">
        <v>4479</v>
      </c>
      <c r="E58" t="s">
        <v>10855</v>
      </c>
      <c r="F58" t="s">
        <v>10887</v>
      </c>
      <c r="G58" t="str">
        <f>Config!$B$5</f>
        <v>SCH/L_ANSI.SchLib</v>
      </c>
      <c r="H58" t="s">
        <v>10908</v>
      </c>
      <c r="I58" t="s">
        <v>12503</v>
      </c>
      <c r="J58" t="s">
        <v>10855</v>
      </c>
      <c r="K58" s="46">
        <v>3.1E-6</v>
      </c>
      <c r="L58" t="s">
        <v>10918</v>
      </c>
      <c r="M58" t="s">
        <v>7496</v>
      </c>
      <c r="N58" t="s">
        <v>10898</v>
      </c>
      <c r="O58" t="s">
        <v>25</v>
      </c>
      <c r="P58" t="s">
        <v>12506</v>
      </c>
    </row>
    <row r="59" spans="1:16">
      <c r="A59" t="s">
        <v>12730</v>
      </c>
      <c r="B59" t="s">
        <v>10866</v>
      </c>
      <c r="C59" t="s">
        <v>10876</v>
      </c>
      <c r="D59" t="s">
        <v>4479</v>
      </c>
      <c r="E59" t="s">
        <v>10855</v>
      </c>
      <c r="F59" t="s">
        <v>10887</v>
      </c>
      <c r="G59" t="str">
        <f>Config!$B$5</f>
        <v>SCH/L_ANSI.SchLib</v>
      </c>
      <c r="H59" t="s">
        <v>10908</v>
      </c>
      <c r="I59" t="s">
        <v>12503</v>
      </c>
      <c r="J59" t="s">
        <v>12725</v>
      </c>
      <c r="K59" s="46">
        <v>3.1E-6</v>
      </c>
      <c r="L59" t="s">
        <v>10918</v>
      </c>
      <c r="M59" t="s">
        <v>7496</v>
      </c>
      <c r="N59" t="s">
        <v>10898</v>
      </c>
      <c r="O59" t="s">
        <v>25</v>
      </c>
      <c r="P59" t="s">
        <v>12506</v>
      </c>
    </row>
    <row r="60" spans="1:16">
      <c r="A60" t="s">
        <v>12739</v>
      </c>
      <c r="B60" t="s">
        <v>10866</v>
      </c>
      <c r="C60" t="s">
        <v>10876</v>
      </c>
      <c r="D60" t="s">
        <v>4479</v>
      </c>
      <c r="E60" t="s">
        <v>10855</v>
      </c>
      <c r="F60" t="s">
        <v>10887</v>
      </c>
      <c r="G60" t="str">
        <f>Config!$B$5</f>
        <v>SCH/L_ANSI.SchLib</v>
      </c>
      <c r="H60" t="s">
        <v>10908</v>
      </c>
      <c r="I60" t="s">
        <v>12503</v>
      </c>
      <c r="J60" t="s">
        <v>12726</v>
      </c>
      <c r="K60" s="46">
        <v>3.1E-6</v>
      </c>
      <c r="L60" t="s">
        <v>10918</v>
      </c>
      <c r="M60" t="s">
        <v>7496</v>
      </c>
      <c r="N60" t="s">
        <v>10898</v>
      </c>
      <c r="O60" t="s">
        <v>25</v>
      </c>
      <c r="P60" t="s">
        <v>12506</v>
      </c>
    </row>
    <row r="61" spans="1:16">
      <c r="A61" t="s">
        <v>10867</v>
      </c>
      <c r="B61" t="s">
        <v>10867</v>
      </c>
      <c r="C61" t="s">
        <v>10877</v>
      </c>
      <c r="D61" t="s">
        <v>4479</v>
      </c>
      <c r="E61" t="s">
        <v>10855</v>
      </c>
      <c r="F61" t="s">
        <v>10888</v>
      </c>
      <c r="G61" t="str">
        <f>Config!$B$5</f>
        <v>SCH/L_ANSI.SchLib</v>
      </c>
      <c r="H61" t="s">
        <v>10908</v>
      </c>
      <c r="I61" t="s">
        <v>12503</v>
      </c>
      <c r="J61" t="s">
        <v>10855</v>
      </c>
      <c r="K61" s="46">
        <v>3.4000000000000001E-6</v>
      </c>
      <c r="L61" t="s">
        <v>10918</v>
      </c>
      <c r="M61" t="s">
        <v>7496</v>
      </c>
      <c r="N61" t="s">
        <v>10899</v>
      </c>
      <c r="O61" t="s">
        <v>25</v>
      </c>
      <c r="P61" t="s">
        <v>12507</v>
      </c>
    </row>
    <row r="62" spans="1:16">
      <c r="A62" t="s">
        <v>12731</v>
      </c>
      <c r="B62" t="s">
        <v>10867</v>
      </c>
      <c r="C62" t="s">
        <v>10877</v>
      </c>
      <c r="D62" t="s">
        <v>4479</v>
      </c>
      <c r="E62" t="s">
        <v>10855</v>
      </c>
      <c r="F62" t="s">
        <v>10888</v>
      </c>
      <c r="G62" t="str">
        <f>Config!$B$5</f>
        <v>SCH/L_ANSI.SchLib</v>
      </c>
      <c r="H62" t="s">
        <v>10908</v>
      </c>
      <c r="I62" t="s">
        <v>12503</v>
      </c>
      <c r="J62" t="s">
        <v>12725</v>
      </c>
      <c r="K62" s="46">
        <v>3.4000000000000001E-6</v>
      </c>
      <c r="L62" t="s">
        <v>10918</v>
      </c>
      <c r="M62" t="s">
        <v>7496</v>
      </c>
      <c r="N62" t="s">
        <v>10899</v>
      </c>
      <c r="O62" t="s">
        <v>25</v>
      </c>
      <c r="P62" t="s">
        <v>12507</v>
      </c>
    </row>
    <row r="63" spans="1:16">
      <c r="A63" t="s">
        <v>12740</v>
      </c>
      <c r="B63" t="s">
        <v>10867</v>
      </c>
      <c r="C63" t="s">
        <v>10877</v>
      </c>
      <c r="D63" t="s">
        <v>4479</v>
      </c>
      <c r="E63" t="s">
        <v>10855</v>
      </c>
      <c r="F63" t="s">
        <v>10888</v>
      </c>
      <c r="G63" t="str">
        <f>Config!$B$5</f>
        <v>SCH/L_ANSI.SchLib</v>
      </c>
      <c r="H63" t="s">
        <v>10908</v>
      </c>
      <c r="I63" t="s">
        <v>12503</v>
      </c>
      <c r="J63" t="s">
        <v>12726</v>
      </c>
      <c r="K63" s="46">
        <v>3.4000000000000001E-6</v>
      </c>
      <c r="L63" t="s">
        <v>10918</v>
      </c>
      <c r="M63" t="s">
        <v>7496</v>
      </c>
      <c r="N63" t="s">
        <v>10899</v>
      </c>
      <c r="O63" t="s">
        <v>25</v>
      </c>
      <c r="P63" t="s">
        <v>12507</v>
      </c>
    </row>
    <row r="64" spans="1:16">
      <c r="A64" t="s">
        <v>10863</v>
      </c>
      <c r="B64" t="s">
        <v>10863</v>
      </c>
      <c r="C64" t="s">
        <v>10878</v>
      </c>
      <c r="D64" t="s">
        <v>4479</v>
      </c>
      <c r="E64" t="s">
        <v>10855</v>
      </c>
      <c r="F64" t="s">
        <v>10889</v>
      </c>
      <c r="G64" t="str">
        <f>Config!$B$5</f>
        <v>SCH/L_ANSI.SchLib</v>
      </c>
      <c r="H64" t="s">
        <v>10908</v>
      </c>
      <c r="I64" t="s">
        <v>12503</v>
      </c>
      <c r="J64" t="s">
        <v>10855</v>
      </c>
      <c r="K64" s="46">
        <v>4.5000000000000001E-6</v>
      </c>
      <c r="L64" t="s">
        <v>10918</v>
      </c>
      <c r="M64" t="s">
        <v>7496</v>
      </c>
      <c r="N64" t="s">
        <v>10900</v>
      </c>
      <c r="O64" t="s">
        <v>25</v>
      </c>
      <c r="P64" t="s">
        <v>12508</v>
      </c>
    </row>
    <row r="65" spans="1:16">
      <c r="A65" t="s">
        <v>12724</v>
      </c>
      <c r="B65" t="s">
        <v>10863</v>
      </c>
      <c r="C65" t="s">
        <v>10878</v>
      </c>
      <c r="D65" t="s">
        <v>4479</v>
      </c>
      <c r="E65" t="s">
        <v>10855</v>
      </c>
      <c r="F65" t="s">
        <v>10889</v>
      </c>
      <c r="G65" t="str">
        <f>Config!$B$5</f>
        <v>SCH/L_ANSI.SchLib</v>
      </c>
      <c r="H65" t="s">
        <v>10908</v>
      </c>
      <c r="I65" t="s">
        <v>12503</v>
      </c>
      <c r="J65" t="s">
        <v>12725</v>
      </c>
      <c r="K65" s="46">
        <v>4.5000000000000001E-6</v>
      </c>
      <c r="L65" t="s">
        <v>10918</v>
      </c>
      <c r="M65" t="s">
        <v>7496</v>
      </c>
      <c r="N65" t="s">
        <v>10900</v>
      </c>
      <c r="O65" t="s">
        <v>25</v>
      </c>
      <c r="P65" t="s">
        <v>12508</v>
      </c>
    </row>
    <row r="66" spans="1:16">
      <c r="A66" t="s">
        <v>12727</v>
      </c>
      <c r="B66" t="s">
        <v>10863</v>
      </c>
      <c r="C66" t="s">
        <v>10878</v>
      </c>
      <c r="D66" t="s">
        <v>4479</v>
      </c>
      <c r="E66" t="s">
        <v>10855</v>
      </c>
      <c r="F66" t="s">
        <v>10889</v>
      </c>
      <c r="G66" t="str">
        <f>Config!$B$5</f>
        <v>SCH/L_ANSI.SchLib</v>
      </c>
      <c r="H66" t="s">
        <v>10908</v>
      </c>
      <c r="I66" t="s">
        <v>12503</v>
      </c>
      <c r="J66" t="s">
        <v>12726</v>
      </c>
      <c r="K66" s="46">
        <v>4.5000000000000001E-6</v>
      </c>
      <c r="L66" t="s">
        <v>10918</v>
      </c>
      <c r="M66" t="s">
        <v>7496</v>
      </c>
      <c r="N66" t="s">
        <v>10900</v>
      </c>
      <c r="O66" t="s">
        <v>25</v>
      </c>
      <c r="P66" t="s">
        <v>12508</v>
      </c>
    </row>
    <row r="67" spans="1:16">
      <c r="A67" t="s">
        <v>10868</v>
      </c>
      <c r="B67" t="s">
        <v>10868</v>
      </c>
      <c r="C67" t="s">
        <v>10879</v>
      </c>
      <c r="D67" t="s">
        <v>4479</v>
      </c>
      <c r="E67" t="s">
        <v>10855</v>
      </c>
      <c r="F67" t="s">
        <v>10890</v>
      </c>
      <c r="G67" t="str">
        <f>Config!$B$5</f>
        <v>SCH/L_ANSI.SchLib</v>
      </c>
      <c r="H67" t="s">
        <v>10908</v>
      </c>
      <c r="I67" t="s">
        <v>12503</v>
      </c>
      <c r="J67" t="s">
        <v>10855</v>
      </c>
      <c r="K67" s="46">
        <v>4.6E-6</v>
      </c>
      <c r="L67" t="s">
        <v>10918</v>
      </c>
      <c r="M67" t="s">
        <v>7496</v>
      </c>
      <c r="N67" t="s">
        <v>10901</v>
      </c>
      <c r="O67" t="s">
        <v>25</v>
      </c>
      <c r="P67" t="s">
        <v>12509</v>
      </c>
    </row>
    <row r="68" spans="1:16">
      <c r="A68" t="s">
        <v>12732</v>
      </c>
      <c r="B68" t="s">
        <v>10868</v>
      </c>
      <c r="C68" t="s">
        <v>10879</v>
      </c>
      <c r="D68" t="s">
        <v>4479</v>
      </c>
      <c r="E68" t="s">
        <v>10855</v>
      </c>
      <c r="F68" t="s">
        <v>10890</v>
      </c>
      <c r="G68" t="str">
        <f>Config!$B$5</f>
        <v>SCH/L_ANSI.SchLib</v>
      </c>
      <c r="H68" t="s">
        <v>10908</v>
      </c>
      <c r="I68" t="s">
        <v>12503</v>
      </c>
      <c r="J68" t="s">
        <v>12725</v>
      </c>
      <c r="K68" s="46">
        <v>4.6E-6</v>
      </c>
      <c r="L68" t="s">
        <v>10918</v>
      </c>
      <c r="M68" t="s">
        <v>7496</v>
      </c>
      <c r="N68" t="s">
        <v>10901</v>
      </c>
      <c r="O68" t="s">
        <v>25</v>
      </c>
      <c r="P68" t="s">
        <v>12509</v>
      </c>
    </row>
    <row r="69" spans="1:16">
      <c r="A69" t="s">
        <v>12741</v>
      </c>
      <c r="B69" t="s">
        <v>10868</v>
      </c>
      <c r="C69" t="s">
        <v>10879</v>
      </c>
      <c r="D69" t="s">
        <v>4479</v>
      </c>
      <c r="E69" t="s">
        <v>10855</v>
      </c>
      <c r="F69" t="s">
        <v>10890</v>
      </c>
      <c r="G69" t="str">
        <f>Config!$B$5</f>
        <v>SCH/L_ANSI.SchLib</v>
      </c>
      <c r="H69" t="s">
        <v>10908</v>
      </c>
      <c r="I69" t="s">
        <v>12503</v>
      </c>
      <c r="J69" t="s">
        <v>12726</v>
      </c>
      <c r="K69" s="46">
        <v>4.6E-6</v>
      </c>
      <c r="L69" t="s">
        <v>10918</v>
      </c>
      <c r="M69" t="s">
        <v>7496</v>
      </c>
      <c r="N69" t="s">
        <v>10901</v>
      </c>
      <c r="O69" t="s">
        <v>25</v>
      </c>
      <c r="P69" t="s">
        <v>12509</v>
      </c>
    </row>
    <row r="70" spans="1:16">
      <c r="A70" t="s">
        <v>10869</v>
      </c>
      <c r="B70" t="s">
        <v>10869</v>
      </c>
      <c r="C70" t="s">
        <v>10880</v>
      </c>
      <c r="D70" t="s">
        <v>4479</v>
      </c>
      <c r="E70" t="s">
        <v>10855</v>
      </c>
      <c r="F70" t="s">
        <v>10891</v>
      </c>
      <c r="G70" t="str">
        <f>Config!$B$5</f>
        <v>SCH/L_ANSI.SchLib</v>
      </c>
      <c r="H70" t="s">
        <v>10908</v>
      </c>
      <c r="I70" t="s">
        <v>12503</v>
      </c>
      <c r="J70" t="s">
        <v>10855</v>
      </c>
      <c r="K70" s="46">
        <v>5.4999999999999999E-6</v>
      </c>
      <c r="L70" t="s">
        <v>10918</v>
      </c>
      <c r="N70" t="s">
        <v>10902</v>
      </c>
    </row>
    <row r="71" spans="1:16">
      <c r="A71" t="s">
        <v>12733</v>
      </c>
      <c r="B71" t="s">
        <v>10869</v>
      </c>
      <c r="C71" t="s">
        <v>10880</v>
      </c>
      <c r="D71" t="s">
        <v>4479</v>
      </c>
      <c r="E71" t="s">
        <v>10855</v>
      </c>
      <c r="F71" t="s">
        <v>10891</v>
      </c>
      <c r="G71" t="str">
        <f>Config!$B$5</f>
        <v>SCH/L_ANSI.SchLib</v>
      </c>
      <c r="H71" t="s">
        <v>10908</v>
      </c>
      <c r="I71" t="s">
        <v>12503</v>
      </c>
      <c r="J71" t="s">
        <v>12725</v>
      </c>
      <c r="K71" s="46">
        <v>5.4999999999999999E-6</v>
      </c>
      <c r="L71" t="s">
        <v>10918</v>
      </c>
      <c r="N71" t="s">
        <v>10902</v>
      </c>
    </row>
    <row r="72" spans="1:16">
      <c r="A72" t="s">
        <v>12742</v>
      </c>
      <c r="B72" t="s">
        <v>10869</v>
      </c>
      <c r="C72" t="s">
        <v>10880</v>
      </c>
      <c r="D72" t="s">
        <v>4479</v>
      </c>
      <c r="E72" t="s">
        <v>10855</v>
      </c>
      <c r="F72" t="s">
        <v>10891</v>
      </c>
      <c r="G72" t="str">
        <f>Config!$B$5</f>
        <v>SCH/L_ANSI.SchLib</v>
      </c>
      <c r="H72" t="s">
        <v>10908</v>
      </c>
      <c r="I72" t="s">
        <v>12503</v>
      </c>
      <c r="J72" t="s">
        <v>12726</v>
      </c>
      <c r="K72" s="46">
        <v>5.4999999999999999E-6</v>
      </c>
      <c r="L72" t="s">
        <v>10918</v>
      </c>
      <c r="N72" t="s">
        <v>10902</v>
      </c>
    </row>
    <row r="73" spans="1:16">
      <c r="A73" t="s">
        <v>10871</v>
      </c>
      <c r="B73" t="s">
        <v>10871</v>
      </c>
      <c r="C73" t="s">
        <v>10881</v>
      </c>
      <c r="D73" t="s">
        <v>4479</v>
      </c>
      <c r="E73" t="s">
        <v>10855</v>
      </c>
      <c r="F73" t="s">
        <v>10892</v>
      </c>
      <c r="G73" t="str">
        <f>Config!$B$5</f>
        <v>SCH/L_ANSI.SchLib</v>
      </c>
      <c r="H73" t="s">
        <v>10908</v>
      </c>
      <c r="I73" t="s">
        <v>12503</v>
      </c>
      <c r="J73" t="s">
        <v>10855</v>
      </c>
      <c r="K73" s="46">
        <v>1.5200000000000001E-6</v>
      </c>
      <c r="L73" t="s">
        <v>10918</v>
      </c>
      <c r="M73" t="s">
        <v>7496</v>
      </c>
      <c r="N73" t="s">
        <v>10903</v>
      </c>
      <c r="O73" t="s">
        <v>25</v>
      </c>
      <c r="P73" t="s">
        <v>12510</v>
      </c>
    </row>
    <row r="74" spans="1:16">
      <c r="A74" t="s">
        <v>12734</v>
      </c>
      <c r="B74" t="s">
        <v>10871</v>
      </c>
      <c r="C74" t="s">
        <v>10881</v>
      </c>
      <c r="D74" t="s">
        <v>4479</v>
      </c>
      <c r="E74" t="s">
        <v>10855</v>
      </c>
      <c r="F74" t="s">
        <v>10892</v>
      </c>
      <c r="G74" t="str">
        <f>Config!$B$5</f>
        <v>SCH/L_ANSI.SchLib</v>
      </c>
      <c r="H74" t="s">
        <v>10908</v>
      </c>
      <c r="I74" t="s">
        <v>12503</v>
      </c>
      <c r="J74" t="s">
        <v>12725</v>
      </c>
      <c r="K74" s="46">
        <v>1.5200000000000001E-6</v>
      </c>
      <c r="L74" t="s">
        <v>10918</v>
      </c>
      <c r="M74" t="s">
        <v>7496</v>
      </c>
      <c r="N74" t="s">
        <v>10903</v>
      </c>
      <c r="O74" t="s">
        <v>25</v>
      </c>
      <c r="P74" t="s">
        <v>12510</v>
      </c>
    </row>
    <row r="75" spans="1:16">
      <c r="A75" t="s">
        <v>12743</v>
      </c>
      <c r="B75" t="s">
        <v>10871</v>
      </c>
      <c r="C75" t="s">
        <v>10881</v>
      </c>
      <c r="D75" t="s">
        <v>4479</v>
      </c>
      <c r="E75" t="s">
        <v>10855</v>
      </c>
      <c r="F75" t="s">
        <v>10892</v>
      </c>
      <c r="G75" t="str">
        <f>Config!$B$5</f>
        <v>SCH/L_ANSI.SchLib</v>
      </c>
      <c r="H75" t="s">
        <v>10908</v>
      </c>
      <c r="I75" t="s">
        <v>12503</v>
      </c>
      <c r="J75" t="s">
        <v>12726</v>
      </c>
      <c r="K75" s="46">
        <v>1.5200000000000001E-6</v>
      </c>
      <c r="L75" t="s">
        <v>10918</v>
      </c>
      <c r="M75" t="s">
        <v>7496</v>
      </c>
      <c r="N75" t="s">
        <v>10903</v>
      </c>
      <c r="O75" t="s">
        <v>25</v>
      </c>
      <c r="P75" t="s">
        <v>12510</v>
      </c>
    </row>
    <row r="76" spans="1:16">
      <c r="A76" t="s">
        <v>10870</v>
      </c>
      <c r="B76" t="s">
        <v>10870</v>
      </c>
      <c r="C76" t="s">
        <v>10882</v>
      </c>
      <c r="D76" t="s">
        <v>4479</v>
      </c>
      <c r="E76" t="s">
        <v>10855</v>
      </c>
      <c r="F76" t="s">
        <v>10893</v>
      </c>
      <c r="G76" t="str">
        <f>Config!$B$5</f>
        <v>SCH/L_ANSI.SchLib</v>
      </c>
      <c r="H76" t="s">
        <v>10908</v>
      </c>
      <c r="I76" t="s">
        <v>12503</v>
      </c>
      <c r="J76" t="s">
        <v>10855</v>
      </c>
      <c r="K76" s="46">
        <v>8.1999999999999998E-7</v>
      </c>
      <c r="L76" t="s">
        <v>10918</v>
      </c>
      <c r="N76" t="s">
        <v>10904</v>
      </c>
    </row>
    <row r="77" spans="1:16">
      <c r="A77" t="s">
        <v>12735</v>
      </c>
      <c r="B77" t="s">
        <v>10870</v>
      </c>
      <c r="C77" t="s">
        <v>10882</v>
      </c>
      <c r="D77" t="s">
        <v>4479</v>
      </c>
      <c r="E77" t="s">
        <v>10855</v>
      </c>
      <c r="F77" t="s">
        <v>10893</v>
      </c>
      <c r="G77" t="str">
        <f>Config!$B$5</f>
        <v>SCH/L_ANSI.SchLib</v>
      </c>
      <c r="H77" t="s">
        <v>10908</v>
      </c>
      <c r="I77" t="s">
        <v>12503</v>
      </c>
      <c r="J77" t="s">
        <v>12725</v>
      </c>
      <c r="K77" s="46">
        <v>8.1999999999999998E-7</v>
      </c>
      <c r="L77" t="s">
        <v>10918</v>
      </c>
      <c r="N77" t="s">
        <v>10904</v>
      </c>
    </row>
    <row r="78" spans="1:16">
      <c r="A78" t="s">
        <v>12744</v>
      </c>
      <c r="B78" t="s">
        <v>10870</v>
      </c>
      <c r="C78" t="s">
        <v>10882</v>
      </c>
      <c r="D78" t="s">
        <v>4479</v>
      </c>
      <c r="E78" t="s">
        <v>10855</v>
      </c>
      <c r="F78" t="s">
        <v>10893</v>
      </c>
      <c r="G78" t="str">
        <f>Config!$B$5</f>
        <v>SCH/L_ANSI.SchLib</v>
      </c>
      <c r="H78" t="s">
        <v>10908</v>
      </c>
      <c r="I78" t="s">
        <v>12503</v>
      </c>
      <c r="J78" t="s">
        <v>12726</v>
      </c>
      <c r="K78" s="46">
        <v>8.1999999999999998E-7</v>
      </c>
      <c r="L78" t="s">
        <v>10918</v>
      </c>
      <c r="N78" t="s">
        <v>10904</v>
      </c>
    </row>
    <row r="79" spans="1:16">
      <c r="A79" t="s">
        <v>10872</v>
      </c>
      <c r="B79" t="s">
        <v>10872</v>
      </c>
      <c r="C79" t="s">
        <v>10883</v>
      </c>
      <c r="D79" t="s">
        <v>4479</v>
      </c>
      <c r="E79" t="s">
        <v>10855</v>
      </c>
      <c r="F79" t="s">
        <v>10894</v>
      </c>
      <c r="G79" t="str">
        <f>Config!$B$5</f>
        <v>SCH/L_ANSI.SchLib</v>
      </c>
      <c r="H79" t="s">
        <v>10908</v>
      </c>
      <c r="I79" t="s">
        <v>12503</v>
      </c>
      <c r="J79" t="s">
        <v>10855</v>
      </c>
      <c r="K79" s="46">
        <v>3.3000000000000002E-7</v>
      </c>
      <c r="L79" t="s">
        <v>10918</v>
      </c>
      <c r="N79" t="s">
        <v>10905</v>
      </c>
    </row>
    <row r="80" spans="1:16">
      <c r="A80" t="s">
        <v>12736</v>
      </c>
      <c r="B80" t="s">
        <v>10872</v>
      </c>
      <c r="C80" t="s">
        <v>10883</v>
      </c>
      <c r="D80" t="s">
        <v>4479</v>
      </c>
      <c r="E80" t="s">
        <v>10855</v>
      </c>
      <c r="F80" t="s">
        <v>10894</v>
      </c>
      <c r="G80" t="str">
        <f>Config!$B$5</f>
        <v>SCH/L_ANSI.SchLib</v>
      </c>
      <c r="H80" t="s">
        <v>10908</v>
      </c>
      <c r="I80" t="s">
        <v>12503</v>
      </c>
      <c r="J80" t="s">
        <v>12725</v>
      </c>
      <c r="K80" s="46">
        <v>3.3000000000000002E-7</v>
      </c>
      <c r="L80" t="s">
        <v>10918</v>
      </c>
      <c r="N80" t="s">
        <v>10905</v>
      </c>
    </row>
    <row r="81" spans="1:16">
      <c r="A81" t="s">
        <v>12745</v>
      </c>
      <c r="B81" t="s">
        <v>10872</v>
      </c>
      <c r="C81" t="s">
        <v>10883</v>
      </c>
      <c r="D81" t="s">
        <v>4479</v>
      </c>
      <c r="E81" t="s">
        <v>10855</v>
      </c>
      <c r="F81" t="s">
        <v>10894</v>
      </c>
      <c r="G81" t="str">
        <f>Config!$B$5</f>
        <v>SCH/L_ANSI.SchLib</v>
      </c>
      <c r="H81" t="s">
        <v>10908</v>
      </c>
      <c r="I81" t="s">
        <v>12503</v>
      </c>
      <c r="J81" t="s">
        <v>12726</v>
      </c>
      <c r="K81" s="46">
        <v>3.3000000000000002E-7</v>
      </c>
      <c r="L81" t="s">
        <v>10918</v>
      </c>
      <c r="N81" t="s">
        <v>10905</v>
      </c>
    </row>
    <row r="82" spans="1:16">
      <c r="A82" t="s">
        <v>10873</v>
      </c>
      <c r="B82" t="s">
        <v>10873</v>
      </c>
      <c r="C82" t="s">
        <v>10884</v>
      </c>
      <c r="D82" t="s">
        <v>4479</v>
      </c>
      <c r="E82" t="s">
        <v>10855</v>
      </c>
      <c r="F82" t="s">
        <v>10895</v>
      </c>
      <c r="G82" t="str">
        <f>Config!$B$5</f>
        <v>SCH/L_ANSI.SchLib</v>
      </c>
      <c r="H82" t="s">
        <v>10908</v>
      </c>
      <c r="I82" t="s">
        <v>12503</v>
      </c>
      <c r="J82" t="s">
        <v>10855</v>
      </c>
      <c r="K82" s="46">
        <v>2.2000000000000001E-7</v>
      </c>
      <c r="L82" t="s">
        <v>10918</v>
      </c>
      <c r="N82" t="s">
        <v>10906</v>
      </c>
    </row>
    <row r="83" spans="1:16">
      <c r="A83" t="s">
        <v>12737</v>
      </c>
      <c r="B83" t="s">
        <v>10873</v>
      </c>
      <c r="C83" t="s">
        <v>10884</v>
      </c>
      <c r="D83" t="s">
        <v>4479</v>
      </c>
      <c r="E83" t="s">
        <v>10855</v>
      </c>
      <c r="F83" t="s">
        <v>10895</v>
      </c>
      <c r="G83" t="str">
        <f>Config!$B$5</f>
        <v>SCH/L_ANSI.SchLib</v>
      </c>
      <c r="H83" t="s">
        <v>10908</v>
      </c>
      <c r="I83" t="s">
        <v>12503</v>
      </c>
      <c r="J83" t="s">
        <v>12725</v>
      </c>
      <c r="K83" s="46">
        <v>2.2000000000000001E-7</v>
      </c>
      <c r="L83" t="s">
        <v>10918</v>
      </c>
      <c r="N83" t="s">
        <v>10906</v>
      </c>
    </row>
    <row r="84" spans="1:16">
      <c r="A84" t="s">
        <v>12746</v>
      </c>
      <c r="B84" t="s">
        <v>10873</v>
      </c>
      <c r="C84" t="s">
        <v>10884</v>
      </c>
      <c r="D84" t="s">
        <v>4479</v>
      </c>
      <c r="E84" t="s">
        <v>10855</v>
      </c>
      <c r="F84" t="s">
        <v>10895</v>
      </c>
      <c r="G84" t="str">
        <f>Config!$B$5</f>
        <v>SCH/L_ANSI.SchLib</v>
      </c>
      <c r="H84" t="s">
        <v>10908</v>
      </c>
      <c r="I84" t="s">
        <v>12503</v>
      </c>
      <c r="J84" t="s">
        <v>12726</v>
      </c>
      <c r="K84" s="46">
        <v>2.2000000000000001E-7</v>
      </c>
      <c r="L84" t="s">
        <v>10918</v>
      </c>
      <c r="N84" t="s">
        <v>10906</v>
      </c>
    </row>
    <row r="85" spans="1:16">
      <c r="A85" t="s">
        <v>10874</v>
      </c>
      <c r="B85" t="s">
        <v>10874</v>
      </c>
      <c r="C85" t="s">
        <v>10885</v>
      </c>
      <c r="D85" t="s">
        <v>4479</v>
      </c>
      <c r="E85" t="s">
        <v>10855</v>
      </c>
      <c r="F85" t="s">
        <v>10896</v>
      </c>
      <c r="G85" t="str">
        <f>Config!$B$5</f>
        <v>SCH/L_ANSI.SchLib</v>
      </c>
      <c r="H85" t="s">
        <v>10908</v>
      </c>
      <c r="I85" t="s">
        <v>12503</v>
      </c>
      <c r="J85" t="s">
        <v>10855</v>
      </c>
      <c r="K85" s="46">
        <v>1.2499999999999999E-7</v>
      </c>
      <c r="L85" t="s">
        <v>10918</v>
      </c>
      <c r="N85" t="s">
        <v>10907</v>
      </c>
    </row>
    <row r="86" spans="1:16">
      <c r="A86" t="s">
        <v>12738</v>
      </c>
      <c r="B86" t="s">
        <v>10874</v>
      </c>
      <c r="C86" t="s">
        <v>10885</v>
      </c>
      <c r="D86" t="s">
        <v>4479</v>
      </c>
      <c r="E86" t="s">
        <v>10855</v>
      </c>
      <c r="F86" t="s">
        <v>10896</v>
      </c>
      <c r="G86" t="str">
        <f>Config!$B$5</f>
        <v>SCH/L_ANSI.SchLib</v>
      </c>
      <c r="H86" t="s">
        <v>10908</v>
      </c>
      <c r="I86" t="s">
        <v>12503</v>
      </c>
      <c r="J86" t="s">
        <v>12725</v>
      </c>
      <c r="K86" s="46">
        <v>1.2499999999999999E-7</v>
      </c>
      <c r="L86" t="s">
        <v>10918</v>
      </c>
      <c r="N86" t="s">
        <v>10907</v>
      </c>
    </row>
    <row r="87" spans="1:16">
      <c r="A87" t="s">
        <v>12747</v>
      </c>
      <c r="B87" t="s">
        <v>10874</v>
      </c>
      <c r="C87" t="s">
        <v>10885</v>
      </c>
      <c r="D87" t="s">
        <v>4479</v>
      </c>
      <c r="E87" t="s">
        <v>10855</v>
      </c>
      <c r="F87" t="s">
        <v>10896</v>
      </c>
      <c r="G87" t="str">
        <f>Config!$B$5</f>
        <v>SCH/L_ANSI.SchLib</v>
      </c>
      <c r="H87" t="s">
        <v>10908</v>
      </c>
      <c r="I87" t="s">
        <v>12503</v>
      </c>
      <c r="J87" t="s">
        <v>12726</v>
      </c>
      <c r="K87" s="46">
        <v>1.2499999999999999E-7</v>
      </c>
      <c r="L87" t="s">
        <v>10918</v>
      </c>
      <c r="N87" t="s">
        <v>10907</v>
      </c>
    </row>
    <row r="88" spans="1:16">
      <c r="A88" t="s">
        <v>12748</v>
      </c>
      <c r="B88" t="s">
        <v>12748</v>
      </c>
      <c r="C88" t="s">
        <v>10923</v>
      </c>
      <c r="D88" t="s">
        <v>4479</v>
      </c>
      <c r="E88" t="s">
        <v>10921</v>
      </c>
      <c r="G88" t="str">
        <f>Config!$B$5</f>
        <v>SCH/L_ANSI.SchLib</v>
      </c>
      <c r="H88" t="s">
        <v>10927</v>
      </c>
      <c r="I88" t="s">
        <v>12503</v>
      </c>
      <c r="J88" t="s">
        <v>12750</v>
      </c>
      <c r="L88" t="s">
        <v>10918</v>
      </c>
      <c r="M88" t="s">
        <v>10922</v>
      </c>
      <c r="N88" t="s">
        <v>10922</v>
      </c>
      <c r="O88" t="s">
        <v>25</v>
      </c>
      <c r="P88" t="s">
        <v>12504</v>
      </c>
    </row>
    <row r="89" spans="1:16">
      <c r="A89" t="s">
        <v>12752</v>
      </c>
      <c r="B89" t="s">
        <v>12748</v>
      </c>
      <c r="C89" t="s">
        <v>10923</v>
      </c>
      <c r="D89" t="s">
        <v>4479</v>
      </c>
      <c r="E89" t="s">
        <v>10921</v>
      </c>
      <c r="G89" t="str">
        <f>Config!$B$5</f>
        <v>SCH/L_ANSI.SchLib</v>
      </c>
      <c r="H89" t="s">
        <v>10927</v>
      </c>
      <c r="I89" t="s">
        <v>12503</v>
      </c>
      <c r="J89" t="s">
        <v>12753</v>
      </c>
      <c r="L89" t="s">
        <v>10918</v>
      </c>
      <c r="M89" t="s">
        <v>10922</v>
      </c>
      <c r="N89" t="s">
        <v>10922</v>
      </c>
      <c r="O89" t="s">
        <v>25</v>
      </c>
      <c r="P89" t="s">
        <v>12504</v>
      </c>
    </row>
    <row r="90" spans="1:16">
      <c r="A90" t="s">
        <v>12749</v>
      </c>
      <c r="B90" t="s">
        <v>12749</v>
      </c>
      <c r="C90" t="s">
        <v>10925</v>
      </c>
      <c r="D90" t="s">
        <v>4479</v>
      </c>
      <c r="E90" t="s">
        <v>10924</v>
      </c>
      <c r="G90" t="str">
        <f>Config!$B$5</f>
        <v>SCH/L_ANSI.SchLib</v>
      </c>
      <c r="H90" t="s">
        <v>10927</v>
      </c>
      <c r="I90" t="s">
        <v>12503</v>
      </c>
      <c r="J90" t="s">
        <v>12751</v>
      </c>
      <c r="L90" t="s">
        <v>10918</v>
      </c>
      <c r="M90" t="s">
        <v>7496</v>
      </c>
      <c r="N90" t="s">
        <v>10926</v>
      </c>
      <c r="O90" t="s">
        <v>25</v>
      </c>
      <c r="P90" t="s">
        <v>12505</v>
      </c>
    </row>
    <row r="91" spans="1:16">
      <c r="A91" t="s">
        <v>10862</v>
      </c>
      <c r="B91" t="s">
        <v>10858</v>
      </c>
      <c r="C91" t="s">
        <v>10909</v>
      </c>
      <c r="E91" t="s">
        <v>10855</v>
      </c>
      <c r="F91" t="s">
        <v>10914</v>
      </c>
      <c r="G91" t="str">
        <f>Config!$B$5</f>
        <v>SCH/L_ANSI.SchLib</v>
      </c>
      <c r="H91" t="s">
        <v>10856</v>
      </c>
      <c r="I91" t="s">
        <v>12503</v>
      </c>
      <c r="J91" t="s">
        <v>10928</v>
      </c>
      <c r="K91" s="46">
        <v>1</v>
      </c>
      <c r="L91" t="s">
        <v>10918</v>
      </c>
    </row>
    <row r="92" spans="1:16">
      <c r="A92" t="s">
        <v>10861</v>
      </c>
      <c r="B92" t="s">
        <v>10857</v>
      </c>
      <c r="C92" t="s">
        <v>10910</v>
      </c>
      <c r="E92" t="s">
        <v>10855</v>
      </c>
      <c r="F92" t="s">
        <v>10915</v>
      </c>
      <c r="G92" t="str">
        <f>Config!$B$5</f>
        <v>SCH/L_ANSI.SchLib</v>
      </c>
      <c r="H92" t="s">
        <v>10856</v>
      </c>
      <c r="I92" t="s">
        <v>12503</v>
      </c>
      <c r="J92" t="s">
        <v>10929</v>
      </c>
      <c r="K92" s="46">
        <v>2</v>
      </c>
      <c r="L92" t="s">
        <v>10918</v>
      </c>
    </row>
    <row r="93" spans="1:16">
      <c r="A93" t="s">
        <v>10859</v>
      </c>
      <c r="B93" t="s">
        <v>10919</v>
      </c>
      <c r="C93" t="s">
        <v>10912</v>
      </c>
      <c r="E93" t="s">
        <v>10855</v>
      </c>
      <c r="F93" t="s">
        <v>10916</v>
      </c>
      <c r="G93" t="str">
        <f>Config!$B$5</f>
        <v>SCH/L_ANSI.SchLib</v>
      </c>
      <c r="H93" t="s">
        <v>10856</v>
      </c>
      <c r="I93" t="s">
        <v>12503</v>
      </c>
      <c r="J93" t="s">
        <v>10930</v>
      </c>
      <c r="K93" s="46">
        <v>8</v>
      </c>
      <c r="L93" t="s">
        <v>10918</v>
      </c>
    </row>
    <row r="94" spans="1:16">
      <c r="A94" t="s">
        <v>10860</v>
      </c>
      <c r="B94" t="s">
        <v>10920</v>
      </c>
      <c r="C94" t="s">
        <v>10911</v>
      </c>
      <c r="E94" t="s">
        <v>10855</v>
      </c>
      <c r="F94" t="s">
        <v>10917</v>
      </c>
      <c r="G94" t="str">
        <f>Config!$B$5</f>
        <v>SCH/L_ANSI.SchLib</v>
      </c>
      <c r="H94" t="s">
        <v>10856</v>
      </c>
      <c r="I94" t="s">
        <v>12503</v>
      </c>
      <c r="J94" t="s">
        <v>10931</v>
      </c>
      <c r="K94" s="46">
        <v>24</v>
      </c>
      <c r="L94" t="s">
        <v>10918</v>
      </c>
    </row>
    <row r="95" spans="1:16">
      <c r="A95" t="s">
        <v>12699</v>
      </c>
      <c r="B95" t="s">
        <v>10858</v>
      </c>
      <c r="C95" t="s">
        <v>12702</v>
      </c>
      <c r="E95" t="s">
        <v>10855</v>
      </c>
      <c r="F95" t="s">
        <v>10914</v>
      </c>
      <c r="G95" t="str">
        <f>Config!$B$5</f>
        <v>SCH/L_ANSI.SchLib</v>
      </c>
      <c r="H95" t="s">
        <v>10856</v>
      </c>
      <c r="I95" t="s">
        <v>12503</v>
      </c>
      <c r="J95" s="39"/>
      <c r="K95" s="46">
        <v>1</v>
      </c>
      <c r="L95" t="s">
        <v>10918</v>
      </c>
    </row>
    <row r="96" spans="1:16">
      <c r="A96" t="s">
        <v>12700</v>
      </c>
      <c r="B96" t="s">
        <v>10857</v>
      </c>
      <c r="C96" t="s">
        <v>12703</v>
      </c>
      <c r="E96" t="s">
        <v>10855</v>
      </c>
      <c r="F96" t="s">
        <v>10915</v>
      </c>
      <c r="G96" t="str">
        <f>Config!$B$5</f>
        <v>SCH/L_ANSI.SchLib</v>
      </c>
      <c r="H96" t="s">
        <v>10856</v>
      </c>
      <c r="I96" t="s">
        <v>12503</v>
      </c>
      <c r="J96" s="39"/>
      <c r="K96" s="46">
        <v>2</v>
      </c>
      <c r="L96" t="s">
        <v>10918</v>
      </c>
    </row>
    <row r="97" spans="1:12">
      <c r="A97" t="s">
        <v>10865</v>
      </c>
      <c r="B97" t="s">
        <v>10919</v>
      </c>
      <c r="C97" t="s">
        <v>10913</v>
      </c>
      <c r="E97" t="s">
        <v>10855</v>
      </c>
      <c r="F97" t="s">
        <v>10916</v>
      </c>
      <c r="G97" t="str">
        <f>Config!$B$5</f>
        <v>SCH/L_ANSI.SchLib</v>
      </c>
      <c r="H97" t="s">
        <v>10856</v>
      </c>
      <c r="I97" t="s">
        <v>12503</v>
      </c>
      <c r="J97" s="39"/>
      <c r="K97" s="46">
        <v>8</v>
      </c>
      <c r="L97" t="s">
        <v>10918</v>
      </c>
    </row>
    <row r="98" spans="1:12">
      <c r="A98" t="s">
        <v>12701</v>
      </c>
      <c r="B98" t="s">
        <v>10920</v>
      </c>
      <c r="C98" t="s">
        <v>12704</v>
      </c>
      <c r="E98" t="s">
        <v>10855</v>
      </c>
      <c r="F98" t="s">
        <v>10917</v>
      </c>
      <c r="G98" t="str">
        <f>Config!$B$5</f>
        <v>SCH/L_ANSI.SchLib</v>
      </c>
      <c r="H98" t="s">
        <v>10856</v>
      </c>
      <c r="I98" t="s">
        <v>12503</v>
      </c>
      <c r="J98" s="39"/>
      <c r="K98" s="46">
        <v>24</v>
      </c>
      <c r="L98" t="s">
        <v>10918</v>
      </c>
    </row>
    <row r="99" spans="1:12">
      <c r="A99" t="s">
        <v>12664</v>
      </c>
      <c r="B99" t="s">
        <v>10858</v>
      </c>
      <c r="C99" t="s">
        <v>12669</v>
      </c>
      <c r="E99" t="s">
        <v>10855</v>
      </c>
      <c r="F99" t="s">
        <v>10914</v>
      </c>
      <c r="G99" t="str">
        <f>Config!$B$5</f>
        <v>SCH/L_ANSI.SchLib</v>
      </c>
      <c r="H99" t="s">
        <v>10856</v>
      </c>
      <c r="I99" t="s">
        <v>12503</v>
      </c>
      <c r="J99" t="s">
        <v>12674</v>
      </c>
      <c r="K99" s="46">
        <v>1</v>
      </c>
      <c r="L99" t="s">
        <v>10918</v>
      </c>
    </row>
    <row r="100" spans="1:12">
      <c r="A100" t="s">
        <v>12665</v>
      </c>
      <c r="B100" t="s">
        <v>10858</v>
      </c>
      <c r="C100" t="s">
        <v>12670</v>
      </c>
      <c r="E100" t="s">
        <v>10855</v>
      </c>
      <c r="F100" t="s">
        <v>10914</v>
      </c>
      <c r="G100" t="str">
        <f>Config!$B$5</f>
        <v>SCH/L_ANSI.SchLib</v>
      </c>
      <c r="H100" t="s">
        <v>10856</v>
      </c>
      <c r="I100" t="s">
        <v>12503</v>
      </c>
      <c r="J100" t="s">
        <v>12675</v>
      </c>
      <c r="K100" s="46">
        <v>1</v>
      </c>
      <c r="L100" t="s">
        <v>10918</v>
      </c>
    </row>
    <row r="101" spans="1:12">
      <c r="A101" t="s">
        <v>12666</v>
      </c>
      <c r="B101" t="s">
        <v>10858</v>
      </c>
      <c r="C101" t="s">
        <v>12671</v>
      </c>
      <c r="E101" t="s">
        <v>10855</v>
      </c>
      <c r="F101" t="s">
        <v>10914</v>
      </c>
      <c r="G101" t="str">
        <f>Config!$B$5</f>
        <v>SCH/L_ANSI.SchLib</v>
      </c>
      <c r="H101" t="s">
        <v>10856</v>
      </c>
      <c r="I101" t="s">
        <v>12503</v>
      </c>
      <c r="J101" t="s">
        <v>12676</v>
      </c>
      <c r="K101" s="46">
        <v>1</v>
      </c>
      <c r="L101" t="s">
        <v>10918</v>
      </c>
    </row>
    <row r="102" spans="1:12">
      <c r="A102" t="s">
        <v>12667</v>
      </c>
      <c r="B102" t="s">
        <v>10858</v>
      </c>
      <c r="C102" t="s">
        <v>12672</v>
      </c>
      <c r="E102" t="s">
        <v>10855</v>
      </c>
      <c r="F102" t="s">
        <v>10914</v>
      </c>
      <c r="G102" t="str">
        <f>Config!$B$5</f>
        <v>SCH/L_ANSI.SchLib</v>
      </c>
      <c r="H102" t="s">
        <v>10856</v>
      </c>
      <c r="I102" t="s">
        <v>12503</v>
      </c>
      <c r="J102" t="s">
        <v>12677</v>
      </c>
      <c r="K102" s="46">
        <v>1</v>
      </c>
      <c r="L102" t="s">
        <v>10918</v>
      </c>
    </row>
    <row r="103" spans="1:12">
      <c r="A103" t="s">
        <v>12668</v>
      </c>
      <c r="B103" t="s">
        <v>10858</v>
      </c>
      <c r="C103" t="s">
        <v>12673</v>
      </c>
      <c r="E103" t="s">
        <v>10855</v>
      </c>
      <c r="F103" t="s">
        <v>10914</v>
      </c>
      <c r="G103" t="str">
        <f>Config!$B$5</f>
        <v>SCH/L_ANSI.SchLib</v>
      </c>
      <c r="H103" t="s">
        <v>10856</v>
      </c>
      <c r="I103" t="s">
        <v>12503</v>
      </c>
      <c r="J103" t="s">
        <v>12678</v>
      </c>
      <c r="K103" s="46">
        <v>1</v>
      </c>
      <c r="L103" t="s">
        <v>10918</v>
      </c>
    </row>
    <row r="104" spans="1:12">
      <c r="A104" t="s">
        <v>12715</v>
      </c>
      <c r="B104" t="s">
        <v>10858</v>
      </c>
      <c r="C104" t="s">
        <v>12716</v>
      </c>
      <c r="E104" t="s">
        <v>10855</v>
      </c>
      <c r="F104" t="s">
        <v>10914</v>
      </c>
      <c r="G104" t="str">
        <f>Config!$B$5</f>
        <v>SCH/L_ANSI.SchLib</v>
      </c>
      <c r="H104" t="s">
        <v>10856</v>
      </c>
      <c r="I104" t="s">
        <v>12503</v>
      </c>
      <c r="J104" t="s">
        <v>12717</v>
      </c>
      <c r="K104" s="46">
        <v>1</v>
      </c>
      <c r="L104" t="s">
        <v>10918</v>
      </c>
    </row>
    <row r="105" spans="1:12">
      <c r="A105" t="s">
        <v>12679</v>
      </c>
      <c r="B105" t="s">
        <v>10857</v>
      </c>
      <c r="C105" t="s">
        <v>12705</v>
      </c>
      <c r="E105" t="s">
        <v>10855</v>
      </c>
      <c r="F105" t="s">
        <v>10915</v>
      </c>
      <c r="G105" t="str">
        <f>Config!$B$5</f>
        <v>SCH/L_ANSI.SchLib</v>
      </c>
      <c r="H105" t="s">
        <v>10856</v>
      </c>
      <c r="I105" t="s">
        <v>12503</v>
      </c>
      <c r="J105" t="s">
        <v>12684</v>
      </c>
      <c r="K105" s="46">
        <v>2</v>
      </c>
      <c r="L105" t="s">
        <v>10918</v>
      </c>
    </row>
    <row r="106" spans="1:12">
      <c r="A106" t="s">
        <v>12680</v>
      </c>
      <c r="B106" t="s">
        <v>10857</v>
      </c>
      <c r="C106" t="s">
        <v>12706</v>
      </c>
      <c r="E106" t="s">
        <v>10855</v>
      </c>
      <c r="F106" t="s">
        <v>10915</v>
      </c>
      <c r="G106" t="str">
        <f>Config!$B$5</f>
        <v>SCH/L_ANSI.SchLib</v>
      </c>
      <c r="H106" t="s">
        <v>10856</v>
      </c>
      <c r="I106" t="s">
        <v>12503</v>
      </c>
      <c r="J106" t="s">
        <v>12685</v>
      </c>
      <c r="K106" s="46">
        <v>2</v>
      </c>
      <c r="L106" t="s">
        <v>10918</v>
      </c>
    </row>
    <row r="107" spans="1:12">
      <c r="A107" t="s">
        <v>12681</v>
      </c>
      <c r="B107" t="s">
        <v>10857</v>
      </c>
      <c r="C107" t="s">
        <v>12707</v>
      </c>
      <c r="E107" t="s">
        <v>10855</v>
      </c>
      <c r="F107" t="s">
        <v>10915</v>
      </c>
      <c r="G107" t="str">
        <f>Config!$B$5</f>
        <v>SCH/L_ANSI.SchLib</v>
      </c>
      <c r="H107" t="s">
        <v>10856</v>
      </c>
      <c r="I107" t="s">
        <v>12503</v>
      </c>
      <c r="J107" t="s">
        <v>12686</v>
      </c>
      <c r="K107" s="46">
        <v>2</v>
      </c>
      <c r="L107" t="s">
        <v>10918</v>
      </c>
    </row>
    <row r="108" spans="1:12">
      <c r="A108" t="s">
        <v>12682</v>
      </c>
      <c r="B108" t="s">
        <v>10857</v>
      </c>
      <c r="C108" t="s">
        <v>12708</v>
      </c>
      <c r="E108" t="s">
        <v>10855</v>
      </c>
      <c r="F108" t="s">
        <v>10915</v>
      </c>
      <c r="G108" t="str">
        <f>Config!$B$5</f>
        <v>SCH/L_ANSI.SchLib</v>
      </c>
      <c r="H108" t="s">
        <v>10856</v>
      </c>
      <c r="I108" t="s">
        <v>12503</v>
      </c>
      <c r="J108" t="s">
        <v>12687</v>
      </c>
      <c r="K108" s="46">
        <v>2</v>
      </c>
      <c r="L108" t="s">
        <v>10918</v>
      </c>
    </row>
    <row r="109" spans="1:12">
      <c r="A109" t="s">
        <v>12683</v>
      </c>
      <c r="B109" t="s">
        <v>10857</v>
      </c>
      <c r="C109" t="s">
        <v>12709</v>
      </c>
      <c r="E109" t="s">
        <v>10855</v>
      </c>
      <c r="F109" t="s">
        <v>10915</v>
      </c>
      <c r="G109" t="str">
        <f>Config!$B$5</f>
        <v>SCH/L_ANSI.SchLib</v>
      </c>
      <c r="H109" t="s">
        <v>10856</v>
      </c>
      <c r="I109" t="s">
        <v>12503</v>
      </c>
      <c r="J109" t="s">
        <v>12688</v>
      </c>
      <c r="K109" s="46">
        <v>2</v>
      </c>
      <c r="L109" t="s">
        <v>10918</v>
      </c>
    </row>
    <row r="110" spans="1:12">
      <c r="A110" t="s">
        <v>12718</v>
      </c>
      <c r="B110" t="s">
        <v>10857</v>
      </c>
      <c r="C110" t="s">
        <v>12719</v>
      </c>
      <c r="E110" t="s">
        <v>10855</v>
      </c>
      <c r="F110" t="s">
        <v>10915</v>
      </c>
      <c r="G110" t="str">
        <f>Config!$B$5</f>
        <v>SCH/L_ANSI.SchLib</v>
      </c>
      <c r="H110" t="s">
        <v>10856</v>
      </c>
      <c r="I110" t="s">
        <v>12503</v>
      </c>
      <c r="J110" t="s">
        <v>12720</v>
      </c>
      <c r="K110" s="46">
        <v>2</v>
      </c>
      <c r="L110" t="s">
        <v>10918</v>
      </c>
    </row>
    <row r="111" spans="1:12">
      <c r="A111" t="s">
        <v>12694</v>
      </c>
      <c r="B111" t="s">
        <v>10920</v>
      </c>
      <c r="C111" t="s">
        <v>12710</v>
      </c>
      <c r="E111" t="s">
        <v>10855</v>
      </c>
      <c r="F111" t="s">
        <v>10917</v>
      </c>
      <c r="G111" t="str">
        <f>Config!$B$5</f>
        <v>SCH/L_ANSI.SchLib</v>
      </c>
      <c r="H111" t="s">
        <v>10856</v>
      </c>
      <c r="I111" t="s">
        <v>12503</v>
      </c>
      <c r="J111" t="s">
        <v>12689</v>
      </c>
      <c r="K111" s="46">
        <v>24</v>
      </c>
      <c r="L111" t="s">
        <v>10918</v>
      </c>
    </row>
    <row r="112" spans="1:12">
      <c r="A112" t="s">
        <v>12695</v>
      </c>
      <c r="B112" t="s">
        <v>10920</v>
      </c>
      <c r="C112" t="s">
        <v>12711</v>
      </c>
      <c r="E112" t="s">
        <v>10855</v>
      </c>
      <c r="F112" t="s">
        <v>10917</v>
      </c>
      <c r="G112" t="str">
        <f>Config!$B$5</f>
        <v>SCH/L_ANSI.SchLib</v>
      </c>
      <c r="H112" t="s">
        <v>10856</v>
      </c>
      <c r="I112" t="s">
        <v>12503</v>
      </c>
      <c r="J112" t="s">
        <v>12690</v>
      </c>
      <c r="K112" s="46">
        <v>24</v>
      </c>
      <c r="L112" t="s">
        <v>10918</v>
      </c>
    </row>
    <row r="113" spans="1:16">
      <c r="A113" t="s">
        <v>12696</v>
      </c>
      <c r="B113" t="s">
        <v>10920</v>
      </c>
      <c r="C113" t="s">
        <v>12712</v>
      </c>
      <c r="E113" t="s">
        <v>10855</v>
      </c>
      <c r="F113" t="s">
        <v>10917</v>
      </c>
      <c r="G113" t="str">
        <f>Config!$B$5</f>
        <v>SCH/L_ANSI.SchLib</v>
      </c>
      <c r="H113" t="s">
        <v>10856</v>
      </c>
      <c r="I113" t="s">
        <v>12503</v>
      </c>
      <c r="J113" t="s">
        <v>12691</v>
      </c>
      <c r="K113" s="46">
        <v>24</v>
      </c>
      <c r="L113" t="s">
        <v>10918</v>
      </c>
    </row>
    <row r="114" spans="1:16">
      <c r="A114" t="s">
        <v>12697</v>
      </c>
      <c r="B114" t="s">
        <v>10920</v>
      </c>
      <c r="C114" t="s">
        <v>12713</v>
      </c>
      <c r="E114" t="s">
        <v>10855</v>
      </c>
      <c r="F114" t="s">
        <v>10917</v>
      </c>
      <c r="G114" t="str">
        <f>Config!$B$5</f>
        <v>SCH/L_ANSI.SchLib</v>
      </c>
      <c r="H114" t="s">
        <v>10856</v>
      </c>
      <c r="I114" t="s">
        <v>12503</v>
      </c>
      <c r="J114" t="s">
        <v>12692</v>
      </c>
      <c r="K114" s="46">
        <v>24</v>
      </c>
      <c r="L114" t="s">
        <v>10918</v>
      </c>
    </row>
    <row r="115" spans="1:16">
      <c r="A115" t="s">
        <v>12698</v>
      </c>
      <c r="B115" t="s">
        <v>10920</v>
      </c>
      <c r="C115" t="s">
        <v>12714</v>
      </c>
      <c r="E115" t="s">
        <v>10855</v>
      </c>
      <c r="F115" t="s">
        <v>10917</v>
      </c>
      <c r="G115" t="str">
        <f>Config!$B$5</f>
        <v>SCH/L_ANSI.SchLib</v>
      </c>
      <c r="H115" t="s">
        <v>10856</v>
      </c>
      <c r="I115" t="s">
        <v>12503</v>
      </c>
      <c r="J115" t="s">
        <v>12693</v>
      </c>
      <c r="K115" s="46">
        <v>24</v>
      </c>
      <c r="L115" t="s">
        <v>10918</v>
      </c>
    </row>
    <row r="116" spans="1:16">
      <c r="A116" t="s">
        <v>12721</v>
      </c>
      <c r="B116" t="s">
        <v>10920</v>
      </c>
      <c r="C116" t="s">
        <v>12722</v>
      </c>
      <c r="E116" t="s">
        <v>10855</v>
      </c>
      <c r="F116" t="s">
        <v>10917</v>
      </c>
      <c r="G116" t="str">
        <f>Config!$B$5</f>
        <v>SCH/L_ANSI.SchLib</v>
      </c>
      <c r="H116" t="s">
        <v>10856</v>
      </c>
      <c r="I116" t="s">
        <v>12503</v>
      </c>
      <c r="J116" t="s">
        <v>12723</v>
      </c>
      <c r="K116" s="46">
        <v>24</v>
      </c>
      <c r="L116" t="s">
        <v>10918</v>
      </c>
    </row>
    <row r="117" spans="1:16">
      <c r="A117" t="s">
        <v>11248</v>
      </c>
      <c r="B117" t="s">
        <v>11248</v>
      </c>
      <c r="C117" t="s">
        <v>11294</v>
      </c>
      <c r="D117" t="s">
        <v>11340</v>
      </c>
      <c r="E117">
        <v>7635</v>
      </c>
      <c r="F117" t="s">
        <v>6778</v>
      </c>
      <c r="G117" t="str">
        <f>Config!$B$5</f>
        <v>SCH/L_ANSI.SchLib</v>
      </c>
      <c r="H117" t="s">
        <v>424</v>
      </c>
      <c r="I117" t="s">
        <v>6535</v>
      </c>
      <c r="J117" t="s">
        <v>11350</v>
      </c>
      <c r="K117" s="46">
        <v>1.0000000000000001E-5</v>
      </c>
      <c r="L117" t="s">
        <v>11349</v>
      </c>
      <c r="M117" t="s">
        <v>11340</v>
      </c>
      <c r="N117" t="s">
        <v>11201</v>
      </c>
      <c r="O117" t="s">
        <v>25</v>
      </c>
      <c r="P117" t="s">
        <v>12124</v>
      </c>
    </row>
    <row r="118" spans="1:16">
      <c r="A118" t="s">
        <v>11249</v>
      </c>
      <c r="B118" t="s">
        <v>11249</v>
      </c>
      <c r="C118" t="s">
        <v>11295</v>
      </c>
      <c r="D118" t="s">
        <v>11340</v>
      </c>
      <c r="E118">
        <v>7635</v>
      </c>
      <c r="F118" t="s">
        <v>11341</v>
      </c>
      <c r="G118" t="str">
        <f>Config!$B$5</f>
        <v>SCH/L_ANSI.SchLib</v>
      </c>
      <c r="H118" t="s">
        <v>424</v>
      </c>
      <c r="I118" t="s">
        <v>6535</v>
      </c>
      <c r="J118" t="s">
        <v>11350</v>
      </c>
      <c r="K118" s="46">
        <v>1E-4</v>
      </c>
      <c r="L118" t="s">
        <v>11349</v>
      </c>
      <c r="M118" t="s">
        <v>11340</v>
      </c>
      <c r="N118" t="s">
        <v>11202</v>
      </c>
      <c r="O118" t="s">
        <v>25</v>
      </c>
      <c r="P118" t="s">
        <v>12125</v>
      </c>
    </row>
    <row r="119" spans="1:16">
      <c r="A119" t="s">
        <v>11250</v>
      </c>
      <c r="B119" t="s">
        <v>11250</v>
      </c>
      <c r="C119" t="s">
        <v>11296</v>
      </c>
      <c r="D119" t="s">
        <v>11340</v>
      </c>
      <c r="E119">
        <v>7635</v>
      </c>
      <c r="F119" t="s">
        <v>7510</v>
      </c>
      <c r="G119" t="str">
        <f>Config!$B$5</f>
        <v>SCH/L_ANSI.SchLib</v>
      </c>
      <c r="H119" t="s">
        <v>424</v>
      </c>
      <c r="I119" t="s">
        <v>6535</v>
      </c>
      <c r="J119" t="s">
        <v>11350</v>
      </c>
      <c r="K119" s="46">
        <v>1E-3</v>
      </c>
      <c r="L119" t="s">
        <v>11349</v>
      </c>
      <c r="M119" t="s">
        <v>11340</v>
      </c>
      <c r="N119" t="s">
        <v>11203</v>
      </c>
      <c r="O119" t="s">
        <v>25</v>
      </c>
      <c r="P119" t="s">
        <v>12126</v>
      </c>
    </row>
    <row r="120" spans="1:16">
      <c r="A120" t="s">
        <v>11251</v>
      </c>
      <c r="B120" t="s">
        <v>11251</v>
      </c>
      <c r="C120" t="s">
        <v>11297</v>
      </c>
      <c r="D120" t="s">
        <v>11340</v>
      </c>
      <c r="E120">
        <v>7635</v>
      </c>
      <c r="F120" t="s">
        <v>6718</v>
      </c>
      <c r="G120" t="str">
        <f>Config!$B$5</f>
        <v>SCH/L_ANSI.SchLib</v>
      </c>
      <c r="H120" t="s">
        <v>424</v>
      </c>
      <c r="I120" t="s">
        <v>6535</v>
      </c>
      <c r="J120" t="s">
        <v>11350</v>
      </c>
      <c r="K120" s="46">
        <v>1.5E-5</v>
      </c>
      <c r="L120" t="s">
        <v>11349</v>
      </c>
      <c r="M120" t="s">
        <v>11340</v>
      </c>
      <c r="N120" t="s">
        <v>11204</v>
      </c>
      <c r="O120" t="s">
        <v>25</v>
      </c>
      <c r="P120" t="s">
        <v>12127</v>
      </c>
    </row>
    <row r="121" spans="1:16">
      <c r="A121" t="s">
        <v>11252</v>
      </c>
      <c r="B121" t="s">
        <v>11252</v>
      </c>
      <c r="C121" t="s">
        <v>11298</v>
      </c>
      <c r="D121" t="s">
        <v>11340</v>
      </c>
      <c r="E121">
        <v>7635</v>
      </c>
      <c r="F121" t="s">
        <v>11342</v>
      </c>
      <c r="G121" t="str">
        <f>Config!$B$5</f>
        <v>SCH/L_ANSI.SchLib</v>
      </c>
      <c r="H121" t="s">
        <v>424</v>
      </c>
      <c r="I121" t="s">
        <v>6535</v>
      </c>
      <c r="J121" t="s">
        <v>11350</v>
      </c>
      <c r="K121" s="46">
        <v>1.4999999999999999E-4</v>
      </c>
      <c r="L121" t="s">
        <v>11349</v>
      </c>
      <c r="M121" t="s">
        <v>11340</v>
      </c>
      <c r="N121" t="s">
        <v>11205</v>
      </c>
      <c r="O121" t="s">
        <v>25</v>
      </c>
      <c r="P121" t="s">
        <v>12128</v>
      </c>
    </row>
    <row r="122" spans="1:16">
      <c r="A122" t="s">
        <v>11253</v>
      </c>
      <c r="B122" t="s">
        <v>11253</v>
      </c>
      <c r="C122" t="s">
        <v>11299</v>
      </c>
      <c r="D122" t="s">
        <v>11340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6535</v>
      </c>
      <c r="J122" t="s">
        <v>11350</v>
      </c>
      <c r="K122" s="46">
        <v>9.9999999999999995E-7</v>
      </c>
      <c r="L122" t="s">
        <v>11349</v>
      </c>
      <c r="M122" t="s">
        <v>11340</v>
      </c>
      <c r="N122" t="s">
        <v>11206</v>
      </c>
      <c r="O122" t="s">
        <v>25</v>
      </c>
      <c r="P122" t="s">
        <v>12162</v>
      </c>
    </row>
    <row r="123" spans="1:16">
      <c r="A123" t="s">
        <v>11254</v>
      </c>
      <c r="B123" t="s">
        <v>11254</v>
      </c>
      <c r="C123" t="s">
        <v>11300</v>
      </c>
      <c r="D123" t="s">
        <v>11340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6535</v>
      </c>
      <c r="J123" t="s">
        <v>11350</v>
      </c>
      <c r="K123" s="46">
        <v>1.5E-6</v>
      </c>
      <c r="L123" t="s">
        <v>11349</v>
      </c>
      <c r="M123" t="s">
        <v>11340</v>
      </c>
      <c r="N123" t="s">
        <v>11207</v>
      </c>
      <c r="O123" t="s">
        <v>25</v>
      </c>
      <c r="P123" t="s">
        <v>12163</v>
      </c>
    </row>
    <row r="124" spans="1:16">
      <c r="A124" t="s">
        <v>11255</v>
      </c>
      <c r="B124" t="s">
        <v>11255</v>
      </c>
      <c r="C124" t="s">
        <v>11301</v>
      </c>
      <c r="D124" t="s">
        <v>11340</v>
      </c>
      <c r="E124">
        <v>7635</v>
      </c>
      <c r="F124" t="s">
        <v>6845</v>
      </c>
      <c r="G124" t="str">
        <f>Config!$B$5</f>
        <v>SCH/L_ANSI.SchLib</v>
      </c>
      <c r="H124" t="s">
        <v>424</v>
      </c>
      <c r="I124" t="s">
        <v>6535</v>
      </c>
      <c r="J124" t="s">
        <v>11350</v>
      </c>
      <c r="K124" s="46">
        <v>2.1999999999999999E-5</v>
      </c>
      <c r="L124" t="s">
        <v>11349</v>
      </c>
      <c r="M124" t="s">
        <v>11340</v>
      </c>
      <c r="N124" t="s">
        <v>11208</v>
      </c>
      <c r="O124" t="s">
        <v>25</v>
      </c>
      <c r="P124" t="s">
        <v>12164</v>
      </c>
    </row>
    <row r="125" spans="1:16">
      <c r="A125" t="s">
        <v>11256</v>
      </c>
      <c r="B125" t="s">
        <v>11256</v>
      </c>
      <c r="C125" t="s">
        <v>11302</v>
      </c>
      <c r="D125" t="s">
        <v>11340</v>
      </c>
      <c r="E125">
        <v>7635</v>
      </c>
      <c r="F125" t="s">
        <v>6387</v>
      </c>
      <c r="G125" t="str">
        <f>Config!$B$5</f>
        <v>SCH/L_ANSI.SchLib</v>
      </c>
      <c r="H125" t="s">
        <v>424</v>
      </c>
      <c r="I125" t="s">
        <v>6535</v>
      </c>
      <c r="J125" t="s">
        <v>11350</v>
      </c>
      <c r="K125" s="46">
        <v>2.2000000000000001E-4</v>
      </c>
      <c r="L125" t="s">
        <v>11349</v>
      </c>
      <c r="M125" t="s">
        <v>11340</v>
      </c>
      <c r="N125" t="s">
        <v>11209</v>
      </c>
      <c r="O125" t="s">
        <v>25</v>
      </c>
      <c r="P125" t="s">
        <v>12129</v>
      </c>
    </row>
    <row r="126" spans="1:16">
      <c r="A126" t="s">
        <v>11257</v>
      </c>
      <c r="B126" t="s">
        <v>11257</v>
      </c>
      <c r="C126" t="s">
        <v>11303</v>
      </c>
      <c r="D126" t="s">
        <v>11340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6535</v>
      </c>
      <c r="J126" t="s">
        <v>11350</v>
      </c>
      <c r="K126" s="46">
        <v>2.2000000000000001E-6</v>
      </c>
      <c r="L126" t="s">
        <v>11349</v>
      </c>
      <c r="M126" t="s">
        <v>11340</v>
      </c>
      <c r="N126" t="s">
        <v>11210</v>
      </c>
      <c r="O126" t="s">
        <v>25</v>
      </c>
      <c r="P126" t="s">
        <v>12165</v>
      </c>
    </row>
    <row r="127" spans="1:16">
      <c r="A127" t="s">
        <v>11258</v>
      </c>
      <c r="B127" t="s">
        <v>11258</v>
      </c>
      <c r="C127" t="s">
        <v>11304</v>
      </c>
      <c r="D127" t="s">
        <v>11340</v>
      </c>
      <c r="E127">
        <v>7635</v>
      </c>
      <c r="F127" t="s">
        <v>6846</v>
      </c>
      <c r="G127" t="str">
        <f>Config!$B$5</f>
        <v>SCH/L_ANSI.SchLib</v>
      </c>
      <c r="H127" t="s">
        <v>424</v>
      </c>
      <c r="I127" t="s">
        <v>6535</v>
      </c>
      <c r="J127" t="s">
        <v>11350</v>
      </c>
      <c r="K127" s="46">
        <v>3.3000000000000003E-5</v>
      </c>
      <c r="L127" t="s">
        <v>11349</v>
      </c>
      <c r="M127" t="s">
        <v>11340</v>
      </c>
      <c r="N127" t="s">
        <v>11211</v>
      </c>
      <c r="O127" t="s">
        <v>25</v>
      </c>
      <c r="P127" t="s">
        <v>12130</v>
      </c>
    </row>
    <row r="128" spans="1:16">
      <c r="A128" t="s">
        <v>11259</v>
      </c>
      <c r="B128" t="s">
        <v>11259</v>
      </c>
      <c r="C128" t="s">
        <v>11305</v>
      </c>
      <c r="D128" t="s">
        <v>11340</v>
      </c>
      <c r="E128">
        <v>7635</v>
      </c>
      <c r="F128" t="s">
        <v>11343</v>
      </c>
      <c r="G128" t="str">
        <f>Config!$B$5</f>
        <v>SCH/L_ANSI.SchLib</v>
      </c>
      <c r="H128" t="s">
        <v>424</v>
      </c>
      <c r="I128" t="s">
        <v>6535</v>
      </c>
      <c r="J128" t="s">
        <v>11350</v>
      </c>
      <c r="K128" s="46">
        <v>3.3E-4</v>
      </c>
      <c r="L128" t="s">
        <v>11349</v>
      </c>
      <c r="M128" t="s">
        <v>11340</v>
      </c>
      <c r="N128" t="s">
        <v>11212</v>
      </c>
      <c r="O128" t="s">
        <v>25</v>
      </c>
      <c r="P128" t="s">
        <v>12131</v>
      </c>
    </row>
    <row r="129" spans="1:16">
      <c r="A129" t="s">
        <v>11260</v>
      </c>
      <c r="B129" t="s">
        <v>11260</v>
      </c>
      <c r="C129" t="s">
        <v>11306</v>
      </c>
      <c r="D129" t="s">
        <v>11340</v>
      </c>
      <c r="E129">
        <v>7635</v>
      </c>
      <c r="F129" t="s">
        <v>6796</v>
      </c>
      <c r="G129" t="str">
        <f>Config!$B$5</f>
        <v>SCH/L_ANSI.SchLib</v>
      </c>
      <c r="H129" t="s">
        <v>424</v>
      </c>
      <c r="I129" t="s">
        <v>6535</v>
      </c>
      <c r="J129" t="s">
        <v>11350</v>
      </c>
      <c r="K129" s="46">
        <v>3.3000000000000002E-6</v>
      </c>
      <c r="L129" t="s">
        <v>11349</v>
      </c>
      <c r="M129" t="s">
        <v>11340</v>
      </c>
      <c r="N129" t="s">
        <v>11213</v>
      </c>
      <c r="O129" t="s">
        <v>25</v>
      </c>
      <c r="P129" t="s">
        <v>12132</v>
      </c>
    </row>
    <row r="130" spans="1:16">
      <c r="A130" t="s">
        <v>11261</v>
      </c>
      <c r="B130" t="s">
        <v>11261</v>
      </c>
      <c r="C130" t="s">
        <v>11307</v>
      </c>
      <c r="D130" t="s">
        <v>11340</v>
      </c>
      <c r="E130">
        <v>7635</v>
      </c>
      <c r="F130" t="s">
        <v>11344</v>
      </c>
      <c r="G130" t="str">
        <f>Config!$B$5</f>
        <v>SCH/L_ANSI.SchLib</v>
      </c>
      <c r="H130" t="s">
        <v>424</v>
      </c>
      <c r="I130" t="s">
        <v>6535</v>
      </c>
      <c r="J130" t="s">
        <v>11350</v>
      </c>
      <c r="K130" s="46">
        <v>4.6999999999999997E-5</v>
      </c>
      <c r="L130" t="s">
        <v>11349</v>
      </c>
      <c r="M130" t="s">
        <v>11340</v>
      </c>
      <c r="N130" t="s">
        <v>11214</v>
      </c>
      <c r="O130" t="s">
        <v>25</v>
      </c>
      <c r="P130" t="s">
        <v>12133</v>
      </c>
    </row>
    <row r="131" spans="1:16">
      <c r="A131" t="s">
        <v>11262</v>
      </c>
      <c r="B131" t="s">
        <v>11262</v>
      </c>
      <c r="C131" t="s">
        <v>11308</v>
      </c>
      <c r="D131" t="s">
        <v>11340</v>
      </c>
      <c r="E131">
        <v>7635</v>
      </c>
      <c r="F131" t="s">
        <v>11345</v>
      </c>
      <c r="G131" t="str">
        <f>Config!$B$5</f>
        <v>SCH/L_ANSI.SchLib</v>
      </c>
      <c r="H131" t="s">
        <v>424</v>
      </c>
      <c r="I131" t="s">
        <v>6535</v>
      </c>
      <c r="J131" t="s">
        <v>11350</v>
      </c>
      <c r="K131" s="46">
        <v>4.6999999999999999E-4</v>
      </c>
      <c r="L131" t="s">
        <v>11349</v>
      </c>
      <c r="M131" t="s">
        <v>11340</v>
      </c>
      <c r="N131" t="s">
        <v>11215</v>
      </c>
      <c r="O131" t="s">
        <v>25</v>
      </c>
      <c r="P131" t="s">
        <v>12134</v>
      </c>
    </row>
    <row r="132" spans="1:16">
      <c r="A132" t="s">
        <v>11263</v>
      </c>
      <c r="B132" t="s">
        <v>11263</v>
      </c>
      <c r="C132" t="s">
        <v>11309</v>
      </c>
      <c r="D132" t="s">
        <v>11340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6535</v>
      </c>
      <c r="J132" t="s">
        <v>11350</v>
      </c>
      <c r="K132" s="46">
        <v>4.6999999999999999E-6</v>
      </c>
      <c r="L132" t="s">
        <v>11349</v>
      </c>
      <c r="M132" t="s">
        <v>11340</v>
      </c>
      <c r="N132" t="s">
        <v>11216</v>
      </c>
      <c r="O132" t="s">
        <v>25</v>
      </c>
      <c r="P132" t="s">
        <v>12166</v>
      </c>
    </row>
    <row r="133" spans="1:16">
      <c r="A133" t="s">
        <v>11264</v>
      </c>
      <c r="B133" t="s">
        <v>11264</v>
      </c>
      <c r="C133" t="s">
        <v>11310</v>
      </c>
      <c r="D133" t="s">
        <v>11340</v>
      </c>
      <c r="E133">
        <v>7635</v>
      </c>
      <c r="F133" t="s">
        <v>11346</v>
      </c>
      <c r="G133" t="str">
        <f>Config!$B$5</f>
        <v>SCH/L_ANSI.SchLib</v>
      </c>
      <c r="H133" t="s">
        <v>424</v>
      </c>
      <c r="I133" t="s">
        <v>6535</v>
      </c>
      <c r="J133" t="s">
        <v>11350</v>
      </c>
      <c r="K133" s="46">
        <v>6.7999999999999999E-5</v>
      </c>
      <c r="L133" t="s">
        <v>11349</v>
      </c>
      <c r="M133" t="s">
        <v>11340</v>
      </c>
      <c r="N133" t="s">
        <v>11217</v>
      </c>
      <c r="O133" t="s">
        <v>25</v>
      </c>
      <c r="P133" t="s">
        <v>12135</v>
      </c>
    </row>
    <row r="134" spans="1:16">
      <c r="A134" t="s">
        <v>11265</v>
      </c>
      <c r="B134" t="s">
        <v>11265</v>
      </c>
      <c r="C134" t="s">
        <v>11311</v>
      </c>
      <c r="D134" t="s">
        <v>11340</v>
      </c>
      <c r="E134">
        <v>7635</v>
      </c>
      <c r="F134" t="s">
        <v>11347</v>
      </c>
      <c r="G134" t="str">
        <f>Config!$B$5</f>
        <v>SCH/L_ANSI.SchLib</v>
      </c>
      <c r="H134" t="s">
        <v>424</v>
      </c>
      <c r="I134" t="s">
        <v>6535</v>
      </c>
      <c r="J134" t="s">
        <v>11350</v>
      </c>
      <c r="K134" s="46">
        <v>6.8000000000000005E-4</v>
      </c>
      <c r="L134" t="s">
        <v>11349</v>
      </c>
      <c r="M134" t="s">
        <v>11340</v>
      </c>
      <c r="N134" t="s">
        <v>11218</v>
      </c>
      <c r="O134" t="s">
        <v>25</v>
      </c>
      <c r="P134" t="s">
        <v>12136</v>
      </c>
    </row>
    <row r="135" spans="1:16">
      <c r="A135" t="s">
        <v>11266</v>
      </c>
      <c r="B135" t="s">
        <v>11266</v>
      </c>
      <c r="C135" t="s">
        <v>11312</v>
      </c>
      <c r="D135" t="s">
        <v>11340</v>
      </c>
      <c r="E135">
        <v>7635</v>
      </c>
      <c r="F135" t="s">
        <v>6927</v>
      </c>
      <c r="G135" t="str">
        <f>Config!$B$5</f>
        <v>SCH/L_ANSI.SchLib</v>
      </c>
      <c r="H135" t="s">
        <v>424</v>
      </c>
      <c r="I135" t="s">
        <v>6535</v>
      </c>
      <c r="J135" t="s">
        <v>11350</v>
      </c>
      <c r="K135" s="46">
        <v>6.8000000000000001E-6</v>
      </c>
      <c r="L135" t="s">
        <v>11349</v>
      </c>
      <c r="M135" t="s">
        <v>11340</v>
      </c>
      <c r="N135" t="s">
        <v>11219</v>
      </c>
      <c r="O135" t="s">
        <v>25</v>
      </c>
      <c r="P135" t="s">
        <v>12137</v>
      </c>
    </row>
    <row r="136" spans="1:16">
      <c r="A136" t="s">
        <v>11267</v>
      </c>
      <c r="B136" t="s">
        <v>11267</v>
      </c>
      <c r="C136" t="s">
        <v>11313</v>
      </c>
      <c r="D136" t="s">
        <v>11340</v>
      </c>
      <c r="E136">
        <v>7635</v>
      </c>
      <c r="F136" t="s">
        <v>11348</v>
      </c>
      <c r="G136" t="str">
        <f>Config!$B$5</f>
        <v>SCH/L_ANSI.SchLib</v>
      </c>
      <c r="H136" t="s">
        <v>424</v>
      </c>
      <c r="I136" t="s">
        <v>6535</v>
      </c>
      <c r="J136" t="s">
        <v>11350</v>
      </c>
      <c r="K136" s="46">
        <v>8.2000000000000001E-5</v>
      </c>
      <c r="L136" t="s">
        <v>11349</v>
      </c>
      <c r="M136" t="s">
        <v>11340</v>
      </c>
      <c r="N136" t="s">
        <v>11220</v>
      </c>
      <c r="O136" t="s">
        <v>25</v>
      </c>
      <c r="P136" t="s">
        <v>12138</v>
      </c>
    </row>
    <row r="137" spans="1:16">
      <c r="A137" t="s">
        <v>11268</v>
      </c>
      <c r="B137" t="s">
        <v>11268</v>
      </c>
      <c r="C137" t="s">
        <v>11314</v>
      </c>
      <c r="D137" t="s">
        <v>11340</v>
      </c>
      <c r="E137">
        <v>7635</v>
      </c>
      <c r="F137" t="s">
        <v>7981</v>
      </c>
      <c r="G137" t="str">
        <f>Config!$B$5</f>
        <v>SCH/L_ANSI.SchLib</v>
      </c>
      <c r="H137" t="s">
        <v>424</v>
      </c>
      <c r="I137" t="s">
        <v>6535</v>
      </c>
      <c r="J137" t="s">
        <v>11350</v>
      </c>
      <c r="K137" s="46">
        <v>8.1999999999999998E-4</v>
      </c>
      <c r="L137" t="s">
        <v>11349</v>
      </c>
      <c r="M137" t="s">
        <v>11340</v>
      </c>
      <c r="N137" t="s">
        <v>11221</v>
      </c>
      <c r="O137" t="s">
        <v>25</v>
      </c>
      <c r="P137" t="s">
        <v>12167</v>
      </c>
    </row>
    <row r="138" spans="1:16">
      <c r="A138" t="s">
        <v>11269</v>
      </c>
      <c r="B138" t="s">
        <v>11269</v>
      </c>
      <c r="C138" t="s">
        <v>11315</v>
      </c>
      <c r="D138" t="s">
        <v>11340</v>
      </c>
      <c r="E138">
        <v>7635</v>
      </c>
      <c r="F138" t="s">
        <v>6895</v>
      </c>
      <c r="G138" t="str">
        <f>Config!$B$5</f>
        <v>SCH/L_ANSI.SchLib</v>
      </c>
      <c r="H138" t="s">
        <v>424</v>
      </c>
      <c r="I138" t="s">
        <v>6535</v>
      </c>
      <c r="J138" t="s">
        <v>11350</v>
      </c>
      <c r="K138" s="46">
        <v>8.1999999999999994E-6</v>
      </c>
      <c r="L138" t="s">
        <v>11349</v>
      </c>
      <c r="M138" t="s">
        <v>11340</v>
      </c>
      <c r="N138" t="s">
        <v>11222</v>
      </c>
      <c r="O138" t="s">
        <v>25</v>
      </c>
      <c r="P138" t="s">
        <v>12139</v>
      </c>
    </row>
    <row r="139" spans="1:16">
      <c r="A139" t="s">
        <v>11270</v>
      </c>
      <c r="B139" t="s">
        <v>11270</v>
      </c>
      <c r="C139" t="s">
        <v>11316</v>
      </c>
      <c r="D139" t="s">
        <v>11340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6535</v>
      </c>
      <c r="J139" t="s">
        <v>11350</v>
      </c>
      <c r="K139" s="46">
        <v>3.3000000000000002E-7</v>
      </c>
      <c r="L139" t="s">
        <v>11349</v>
      </c>
      <c r="M139" t="s">
        <v>11340</v>
      </c>
      <c r="N139" t="s">
        <v>11223</v>
      </c>
      <c r="O139" t="s">
        <v>25</v>
      </c>
      <c r="P139" t="s">
        <v>12168</v>
      </c>
    </row>
    <row r="140" spans="1:16">
      <c r="A140" t="s">
        <v>11271</v>
      </c>
      <c r="B140" t="s">
        <v>11271</v>
      </c>
      <c r="C140" t="s">
        <v>11317</v>
      </c>
      <c r="D140" t="s">
        <v>11340</v>
      </c>
      <c r="E140">
        <v>7643</v>
      </c>
      <c r="F140" t="s">
        <v>6778</v>
      </c>
      <c r="G140" t="str">
        <f>Config!$B$5</f>
        <v>SCH/L_ANSI.SchLib</v>
      </c>
      <c r="H140" t="s">
        <v>424</v>
      </c>
      <c r="I140" t="s">
        <v>6535</v>
      </c>
      <c r="J140" t="s">
        <v>11351</v>
      </c>
      <c r="K140" s="46">
        <v>1.0000000000000001E-5</v>
      </c>
      <c r="L140" t="s">
        <v>11349</v>
      </c>
      <c r="M140" t="s">
        <v>11340</v>
      </c>
      <c r="N140" t="s">
        <v>11224</v>
      </c>
      <c r="O140" t="s">
        <v>25</v>
      </c>
      <c r="P140" t="s">
        <v>12140</v>
      </c>
    </row>
    <row r="141" spans="1:16">
      <c r="A141" t="s">
        <v>11272</v>
      </c>
      <c r="B141" t="s">
        <v>11272</v>
      </c>
      <c r="C141" t="s">
        <v>11318</v>
      </c>
      <c r="D141" t="s">
        <v>11340</v>
      </c>
      <c r="E141">
        <v>7643</v>
      </c>
      <c r="F141" t="s">
        <v>11341</v>
      </c>
      <c r="G141" t="str">
        <f>Config!$B$5</f>
        <v>SCH/L_ANSI.SchLib</v>
      </c>
      <c r="H141" t="s">
        <v>424</v>
      </c>
      <c r="I141" t="s">
        <v>6535</v>
      </c>
      <c r="J141" t="s">
        <v>11351</v>
      </c>
      <c r="K141" s="46">
        <v>1E-4</v>
      </c>
      <c r="L141" t="s">
        <v>11349</v>
      </c>
      <c r="M141" t="s">
        <v>11340</v>
      </c>
      <c r="N141" t="s">
        <v>11225</v>
      </c>
      <c r="O141" t="s">
        <v>25</v>
      </c>
      <c r="P141" t="s">
        <v>12141</v>
      </c>
    </row>
    <row r="142" spans="1:16">
      <c r="A142" t="s">
        <v>11272</v>
      </c>
      <c r="B142" t="s">
        <v>11272</v>
      </c>
      <c r="C142" t="s">
        <v>11318</v>
      </c>
      <c r="D142" t="s">
        <v>11340</v>
      </c>
      <c r="E142">
        <v>7643</v>
      </c>
      <c r="F142" t="s">
        <v>11341</v>
      </c>
      <c r="G142" t="str">
        <f>Config!$B$5</f>
        <v>SCH/L_ANSI.SchLib</v>
      </c>
      <c r="H142" t="s">
        <v>424</v>
      </c>
      <c r="I142" t="s">
        <v>6535</v>
      </c>
      <c r="J142" t="s">
        <v>11351</v>
      </c>
      <c r="K142" s="46">
        <v>1E-4</v>
      </c>
      <c r="L142" t="s">
        <v>11349</v>
      </c>
      <c r="M142" t="s">
        <v>11340</v>
      </c>
      <c r="N142" t="s">
        <v>11226</v>
      </c>
      <c r="O142" t="s">
        <v>25</v>
      </c>
      <c r="P142" t="s">
        <v>12169</v>
      </c>
    </row>
    <row r="143" spans="1:16">
      <c r="A143" t="s">
        <v>11273</v>
      </c>
      <c r="B143" t="s">
        <v>11273</v>
      </c>
      <c r="C143" t="s">
        <v>11319</v>
      </c>
      <c r="D143" t="s">
        <v>11340</v>
      </c>
      <c r="E143">
        <v>7643</v>
      </c>
      <c r="F143" t="s">
        <v>7510</v>
      </c>
      <c r="G143" t="str">
        <f>Config!$B$5</f>
        <v>SCH/L_ANSI.SchLib</v>
      </c>
      <c r="H143" t="s">
        <v>424</v>
      </c>
      <c r="I143" t="s">
        <v>6535</v>
      </c>
      <c r="J143" t="s">
        <v>11351</v>
      </c>
      <c r="K143" s="46">
        <v>1E-3</v>
      </c>
      <c r="L143" t="s">
        <v>11349</v>
      </c>
      <c r="M143" t="s">
        <v>11340</v>
      </c>
      <c r="N143" t="s">
        <v>11227</v>
      </c>
      <c r="O143" t="s">
        <v>25</v>
      </c>
      <c r="P143" t="s">
        <v>12142</v>
      </c>
    </row>
    <row r="144" spans="1:16">
      <c r="A144" t="s">
        <v>11274</v>
      </c>
      <c r="B144" t="s">
        <v>11274</v>
      </c>
      <c r="C144" t="s">
        <v>11320</v>
      </c>
      <c r="D144" t="s">
        <v>11340</v>
      </c>
      <c r="E144">
        <v>7643</v>
      </c>
      <c r="F144" t="s">
        <v>6718</v>
      </c>
      <c r="G144" t="str">
        <f>Config!$B$5</f>
        <v>SCH/L_ANSI.SchLib</v>
      </c>
      <c r="H144" t="s">
        <v>424</v>
      </c>
      <c r="I144" t="s">
        <v>6535</v>
      </c>
      <c r="J144" t="s">
        <v>11351</v>
      </c>
      <c r="K144" s="46">
        <v>1.5E-5</v>
      </c>
      <c r="L144" t="s">
        <v>11349</v>
      </c>
      <c r="M144" t="s">
        <v>11340</v>
      </c>
      <c r="N144" t="s">
        <v>11228</v>
      </c>
      <c r="O144" t="s">
        <v>25</v>
      </c>
      <c r="P144" t="s">
        <v>12143</v>
      </c>
    </row>
    <row r="145" spans="1:24">
      <c r="A145" t="s">
        <v>11275</v>
      </c>
      <c r="B145" t="s">
        <v>11275</v>
      </c>
      <c r="C145" t="s">
        <v>11321</v>
      </c>
      <c r="D145" t="s">
        <v>11340</v>
      </c>
      <c r="E145">
        <v>7643</v>
      </c>
      <c r="F145" t="s">
        <v>11342</v>
      </c>
      <c r="G145" t="str">
        <f>Config!$B$5</f>
        <v>SCH/L_ANSI.SchLib</v>
      </c>
      <c r="H145" t="s">
        <v>424</v>
      </c>
      <c r="I145" t="s">
        <v>6535</v>
      </c>
      <c r="J145" t="s">
        <v>11351</v>
      </c>
      <c r="K145" s="46">
        <v>1.4999999999999999E-4</v>
      </c>
      <c r="L145" t="s">
        <v>11349</v>
      </c>
      <c r="M145" t="s">
        <v>11340</v>
      </c>
      <c r="N145" t="s">
        <v>11229</v>
      </c>
      <c r="O145" t="s">
        <v>25</v>
      </c>
      <c r="P145" t="s">
        <v>12144</v>
      </c>
    </row>
    <row r="146" spans="1:24">
      <c r="A146" t="s">
        <v>11276</v>
      </c>
      <c r="B146" t="s">
        <v>11276</v>
      </c>
      <c r="C146" t="s">
        <v>11322</v>
      </c>
      <c r="D146" t="s">
        <v>11340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6535</v>
      </c>
      <c r="J146" t="s">
        <v>11351</v>
      </c>
      <c r="K146" s="46">
        <v>9.9999999999999995E-7</v>
      </c>
      <c r="L146" t="s">
        <v>11349</v>
      </c>
      <c r="M146" t="s">
        <v>11340</v>
      </c>
      <c r="N146" t="s">
        <v>11230</v>
      </c>
      <c r="O146" t="s">
        <v>25</v>
      </c>
      <c r="P146" t="s">
        <v>12145</v>
      </c>
    </row>
    <row r="147" spans="1:24">
      <c r="A147" t="s">
        <v>11277</v>
      </c>
      <c r="B147" t="s">
        <v>11277</v>
      </c>
      <c r="C147" t="s">
        <v>11323</v>
      </c>
      <c r="D147" t="s">
        <v>11340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6535</v>
      </c>
      <c r="J147" t="s">
        <v>11351</v>
      </c>
      <c r="K147" s="46">
        <v>1.5E-6</v>
      </c>
      <c r="L147" t="s">
        <v>11349</v>
      </c>
      <c r="M147" t="s">
        <v>11340</v>
      </c>
      <c r="N147" t="s">
        <v>11231</v>
      </c>
      <c r="O147" t="s">
        <v>25</v>
      </c>
      <c r="P147" t="s">
        <v>12146</v>
      </c>
    </row>
    <row r="148" spans="1:24">
      <c r="A148" t="s">
        <v>11278</v>
      </c>
      <c r="B148" t="s">
        <v>11278</v>
      </c>
      <c r="C148" t="s">
        <v>11324</v>
      </c>
      <c r="D148" t="s">
        <v>11340</v>
      </c>
      <c r="E148">
        <v>7643</v>
      </c>
      <c r="F148" t="s">
        <v>6845</v>
      </c>
      <c r="G148" t="str">
        <f>Config!$B$5</f>
        <v>SCH/L_ANSI.SchLib</v>
      </c>
      <c r="H148" t="s">
        <v>424</v>
      </c>
      <c r="I148" t="s">
        <v>6535</v>
      </c>
      <c r="J148" t="s">
        <v>11351</v>
      </c>
      <c r="K148" s="46">
        <v>2.1999999999999999E-5</v>
      </c>
      <c r="L148" t="s">
        <v>11349</v>
      </c>
      <c r="M148" t="s">
        <v>11340</v>
      </c>
      <c r="N148" t="s">
        <v>11232</v>
      </c>
      <c r="O148" t="s">
        <v>25</v>
      </c>
      <c r="P148" t="s">
        <v>12147</v>
      </c>
      <c r="U148" t="s">
        <v>13546</v>
      </c>
      <c r="V148" t="s">
        <v>13544</v>
      </c>
      <c r="W148" t="s">
        <v>4559</v>
      </c>
      <c r="X148" s="26" t="s">
        <v>13545</v>
      </c>
    </row>
    <row r="149" spans="1:24">
      <c r="A149" t="s">
        <v>11279</v>
      </c>
      <c r="B149" t="s">
        <v>11279</v>
      </c>
      <c r="C149" t="s">
        <v>11325</v>
      </c>
      <c r="D149" t="s">
        <v>11340</v>
      </c>
      <c r="E149">
        <v>7643</v>
      </c>
      <c r="F149" t="s">
        <v>6387</v>
      </c>
      <c r="G149" t="str">
        <f>Config!$B$5</f>
        <v>SCH/L_ANSI.SchLib</v>
      </c>
      <c r="H149" t="s">
        <v>424</v>
      </c>
      <c r="I149" t="s">
        <v>6535</v>
      </c>
      <c r="J149" t="s">
        <v>11351</v>
      </c>
      <c r="K149" s="46">
        <v>2.2000000000000001E-4</v>
      </c>
      <c r="L149" t="s">
        <v>11349</v>
      </c>
      <c r="M149" t="s">
        <v>11340</v>
      </c>
      <c r="N149" t="s">
        <v>11233</v>
      </c>
      <c r="O149" t="s">
        <v>25</v>
      </c>
      <c r="P149" t="s">
        <v>12148</v>
      </c>
    </row>
    <row r="150" spans="1:24">
      <c r="A150" t="s">
        <v>11280</v>
      </c>
      <c r="B150" t="s">
        <v>11280</v>
      </c>
      <c r="C150" t="s">
        <v>11326</v>
      </c>
      <c r="D150" t="s">
        <v>11340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6535</v>
      </c>
      <c r="J150" t="s">
        <v>11351</v>
      </c>
      <c r="K150" s="46">
        <v>2.2000000000000001E-6</v>
      </c>
      <c r="L150" t="s">
        <v>11349</v>
      </c>
      <c r="M150" t="s">
        <v>11340</v>
      </c>
      <c r="N150" t="s">
        <v>11234</v>
      </c>
      <c r="O150" t="s">
        <v>25</v>
      </c>
      <c r="P150" t="s">
        <v>12149</v>
      </c>
    </row>
    <row r="151" spans="1:24">
      <c r="A151" t="s">
        <v>11281</v>
      </c>
      <c r="B151" t="s">
        <v>11281</v>
      </c>
      <c r="C151" t="s">
        <v>11327</v>
      </c>
      <c r="D151" t="s">
        <v>11340</v>
      </c>
      <c r="E151">
        <v>7643</v>
      </c>
      <c r="F151" t="s">
        <v>6846</v>
      </c>
      <c r="G151" t="str">
        <f>Config!$B$5</f>
        <v>SCH/L_ANSI.SchLib</v>
      </c>
      <c r="H151" t="s">
        <v>424</v>
      </c>
      <c r="I151" t="s">
        <v>6535</v>
      </c>
      <c r="J151" t="s">
        <v>11351</v>
      </c>
      <c r="K151" s="46">
        <v>3.3000000000000003E-5</v>
      </c>
      <c r="L151" t="s">
        <v>11349</v>
      </c>
      <c r="M151" t="s">
        <v>11340</v>
      </c>
      <c r="N151" t="s">
        <v>11235</v>
      </c>
      <c r="O151" t="s">
        <v>25</v>
      </c>
      <c r="P151" t="s">
        <v>12150</v>
      </c>
    </row>
    <row r="152" spans="1:24">
      <c r="A152" t="s">
        <v>11282</v>
      </c>
      <c r="B152" t="s">
        <v>11282</v>
      </c>
      <c r="C152" t="s">
        <v>11328</v>
      </c>
      <c r="D152" t="s">
        <v>11340</v>
      </c>
      <c r="E152">
        <v>7643</v>
      </c>
      <c r="F152" t="s">
        <v>11343</v>
      </c>
      <c r="G152" t="str">
        <f>Config!$B$5</f>
        <v>SCH/L_ANSI.SchLib</v>
      </c>
      <c r="H152" t="s">
        <v>424</v>
      </c>
      <c r="I152" t="s">
        <v>6535</v>
      </c>
      <c r="J152" t="s">
        <v>11351</v>
      </c>
      <c r="K152" s="46">
        <v>3.3E-4</v>
      </c>
      <c r="L152" t="s">
        <v>11349</v>
      </c>
      <c r="M152" t="s">
        <v>11340</v>
      </c>
      <c r="N152" t="s">
        <v>11236</v>
      </c>
      <c r="O152" t="s">
        <v>25</v>
      </c>
      <c r="P152" t="s">
        <v>12151</v>
      </c>
      <c r="U152" s="45" t="s">
        <v>13546</v>
      </c>
      <c r="V152" s="45" t="s">
        <v>13586</v>
      </c>
      <c r="W152" t="s">
        <v>4559</v>
      </c>
      <c r="X152" s="44" t="s">
        <v>13585</v>
      </c>
    </row>
    <row r="153" spans="1:24">
      <c r="A153" t="s">
        <v>11283</v>
      </c>
      <c r="B153" t="s">
        <v>11283</v>
      </c>
      <c r="C153" t="s">
        <v>11329</v>
      </c>
      <c r="D153" t="s">
        <v>11340</v>
      </c>
      <c r="E153">
        <v>7643</v>
      </c>
      <c r="F153" t="s">
        <v>6796</v>
      </c>
      <c r="G153" t="str">
        <f>Config!$B$5</f>
        <v>SCH/L_ANSI.SchLib</v>
      </c>
      <c r="H153" t="s">
        <v>424</v>
      </c>
      <c r="I153" t="s">
        <v>6535</v>
      </c>
      <c r="J153" t="s">
        <v>11351</v>
      </c>
      <c r="K153" s="46">
        <v>3.3000000000000002E-6</v>
      </c>
      <c r="L153" t="s">
        <v>11349</v>
      </c>
      <c r="M153" t="s">
        <v>11340</v>
      </c>
      <c r="N153" t="s">
        <v>11237</v>
      </c>
      <c r="O153" t="s">
        <v>25</v>
      </c>
      <c r="P153" t="s">
        <v>12152</v>
      </c>
    </row>
    <row r="154" spans="1:24">
      <c r="A154" t="s">
        <v>11284</v>
      </c>
      <c r="B154" t="s">
        <v>11284</v>
      </c>
      <c r="C154" t="s">
        <v>11330</v>
      </c>
      <c r="D154" t="s">
        <v>11340</v>
      </c>
      <c r="E154">
        <v>7643</v>
      </c>
      <c r="F154" t="s">
        <v>11344</v>
      </c>
      <c r="G154" t="str">
        <f>Config!$B$5</f>
        <v>SCH/L_ANSI.SchLib</v>
      </c>
      <c r="H154" t="s">
        <v>424</v>
      </c>
      <c r="I154" t="s">
        <v>6535</v>
      </c>
      <c r="J154" t="s">
        <v>11351</v>
      </c>
      <c r="K154" s="46">
        <v>4.6999999999999997E-5</v>
      </c>
      <c r="L154" t="s">
        <v>11349</v>
      </c>
      <c r="M154" t="s">
        <v>11340</v>
      </c>
      <c r="N154" t="s">
        <v>11238</v>
      </c>
      <c r="O154" t="s">
        <v>25</v>
      </c>
      <c r="P154" t="s">
        <v>12153</v>
      </c>
    </row>
    <row r="155" spans="1:24">
      <c r="A155" t="s">
        <v>11285</v>
      </c>
      <c r="B155" t="s">
        <v>11285</v>
      </c>
      <c r="C155" t="s">
        <v>11331</v>
      </c>
      <c r="D155" t="s">
        <v>11340</v>
      </c>
      <c r="E155">
        <v>7643</v>
      </c>
      <c r="F155" t="s">
        <v>11345</v>
      </c>
      <c r="G155" t="str">
        <f>Config!$B$5</f>
        <v>SCH/L_ANSI.SchLib</v>
      </c>
      <c r="H155" t="s">
        <v>424</v>
      </c>
      <c r="I155" t="s">
        <v>6535</v>
      </c>
      <c r="J155" t="s">
        <v>11351</v>
      </c>
      <c r="K155" s="46">
        <v>4.6999999999999999E-4</v>
      </c>
      <c r="L155" t="s">
        <v>11349</v>
      </c>
      <c r="M155" t="s">
        <v>11340</v>
      </c>
      <c r="N155" t="s">
        <v>11239</v>
      </c>
      <c r="O155" t="s">
        <v>25</v>
      </c>
      <c r="P155" t="s">
        <v>12154</v>
      </c>
    </row>
    <row r="156" spans="1:24">
      <c r="A156" t="s">
        <v>11286</v>
      </c>
      <c r="B156" t="s">
        <v>11286</v>
      </c>
      <c r="C156" t="s">
        <v>11332</v>
      </c>
      <c r="D156" t="s">
        <v>11340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6535</v>
      </c>
      <c r="J156" t="s">
        <v>11351</v>
      </c>
      <c r="K156" s="46">
        <v>4.6999999999999999E-6</v>
      </c>
      <c r="L156" t="s">
        <v>11349</v>
      </c>
      <c r="M156" t="s">
        <v>11340</v>
      </c>
      <c r="N156" t="s">
        <v>11240</v>
      </c>
      <c r="O156" t="s">
        <v>25</v>
      </c>
      <c r="P156" t="s">
        <v>12155</v>
      </c>
    </row>
    <row r="157" spans="1:24">
      <c r="A157" t="s">
        <v>11287</v>
      </c>
      <c r="B157" t="s">
        <v>11287</v>
      </c>
      <c r="C157" t="s">
        <v>11333</v>
      </c>
      <c r="D157" t="s">
        <v>11340</v>
      </c>
      <c r="E157">
        <v>7643</v>
      </c>
      <c r="F157" t="s">
        <v>11346</v>
      </c>
      <c r="G157" t="str">
        <f>Config!$B$5</f>
        <v>SCH/L_ANSI.SchLib</v>
      </c>
      <c r="H157" t="s">
        <v>424</v>
      </c>
      <c r="I157" t="s">
        <v>6535</v>
      </c>
      <c r="J157" t="s">
        <v>11351</v>
      </c>
      <c r="K157" s="46">
        <v>6.7999999999999999E-5</v>
      </c>
      <c r="L157" t="s">
        <v>11349</v>
      </c>
      <c r="M157" t="s">
        <v>11340</v>
      </c>
      <c r="N157" t="s">
        <v>11241</v>
      </c>
      <c r="O157" t="s">
        <v>25</v>
      </c>
      <c r="P157" t="s">
        <v>12156</v>
      </c>
    </row>
    <row r="158" spans="1:24">
      <c r="A158" t="s">
        <v>11288</v>
      </c>
      <c r="B158" t="s">
        <v>11288</v>
      </c>
      <c r="C158" t="s">
        <v>11334</v>
      </c>
      <c r="D158" t="s">
        <v>11340</v>
      </c>
      <c r="E158">
        <v>7643</v>
      </c>
      <c r="F158" t="s">
        <v>11347</v>
      </c>
      <c r="G158" t="str">
        <f>Config!$B$5</f>
        <v>SCH/L_ANSI.SchLib</v>
      </c>
      <c r="H158" t="s">
        <v>424</v>
      </c>
      <c r="I158" t="s">
        <v>6535</v>
      </c>
      <c r="J158" t="s">
        <v>11351</v>
      </c>
      <c r="K158" s="46">
        <v>6.8000000000000005E-4</v>
      </c>
      <c r="L158" t="s">
        <v>11349</v>
      </c>
      <c r="M158" t="s">
        <v>11340</v>
      </c>
      <c r="N158" t="s">
        <v>11242</v>
      </c>
      <c r="O158" t="s">
        <v>25</v>
      </c>
      <c r="P158" t="s">
        <v>12157</v>
      </c>
    </row>
    <row r="159" spans="1:24">
      <c r="A159" t="s">
        <v>11289</v>
      </c>
      <c r="B159" t="s">
        <v>11289</v>
      </c>
      <c r="C159" t="s">
        <v>11335</v>
      </c>
      <c r="D159" t="s">
        <v>11340</v>
      </c>
      <c r="E159">
        <v>7643</v>
      </c>
      <c r="F159" t="s">
        <v>6927</v>
      </c>
      <c r="G159" t="str">
        <f>Config!$B$5</f>
        <v>SCH/L_ANSI.SchLib</v>
      </c>
      <c r="H159" t="s">
        <v>424</v>
      </c>
      <c r="I159" t="s">
        <v>6535</v>
      </c>
      <c r="J159" t="s">
        <v>11351</v>
      </c>
      <c r="K159" s="46">
        <v>6.8000000000000001E-6</v>
      </c>
      <c r="L159" t="s">
        <v>11349</v>
      </c>
      <c r="M159" t="s">
        <v>11340</v>
      </c>
      <c r="N159" t="s">
        <v>11243</v>
      </c>
      <c r="O159" t="s">
        <v>25</v>
      </c>
      <c r="P159" t="s">
        <v>12158</v>
      </c>
    </row>
    <row r="160" spans="1:24">
      <c r="A160" t="s">
        <v>11290</v>
      </c>
      <c r="B160" t="s">
        <v>11290</v>
      </c>
      <c r="C160" t="s">
        <v>11336</v>
      </c>
      <c r="D160" t="s">
        <v>11340</v>
      </c>
      <c r="E160">
        <v>7643</v>
      </c>
      <c r="F160" t="s">
        <v>11348</v>
      </c>
      <c r="G160" t="str">
        <f>Config!$B$5</f>
        <v>SCH/L_ANSI.SchLib</v>
      </c>
      <c r="H160" t="s">
        <v>424</v>
      </c>
      <c r="I160" t="s">
        <v>6535</v>
      </c>
      <c r="J160" t="s">
        <v>11351</v>
      </c>
      <c r="K160" s="46">
        <v>8.2000000000000001E-5</v>
      </c>
      <c r="L160" t="s">
        <v>11349</v>
      </c>
      <c r="M160" t="s">
        <v>11340</v>
      </c>
      <c r="N160" t="s">
        <v>11244</v>
      </c>
      <c r="O160" t="s">
        <v>25</v>
      </c>
      <c r="P160" t="s">
        <v>12159</v>
      </c>
    </row>
    <row r="161" spans="1:24">
      <c r="A161" t="s">
        <v>11291</v>
      </c>
      <c r="B161" t="s">
        <v>11291</v>
      </c>
      <c r="C161" t="s">
        <v>11337</v>
      </c>
      <c r="D161" t="s">
        <v>11340</v>
      </c>
      <c r="E161">
        <v>7643</v>
      </c>
      <c r="F161" t="s">
        <v>7981</v>
      </c>
      <c r="G161" t="str">
        <f>Config!$B$5</f>
        <v>SCH/L_ANSI.SchLib</v>
      </c>
      <c r="H161" t="s">
        <v>424</v>
      </c>
      <c r="I161" t="s">
        <v>6535</v>
      </c>
      <c r="J161" t="s">
        <v>11351</v>
      </c>
      <c r="K161" s="46">
        <v>8.1999999999999998E-4</v>
      </c>
      <c r="L161" t="s">
        <v>11349</v>
      </c>
      <c r="M161" t="s">
        <v>11340</v>
      </c>
      <c r="N161" t="s">
        <v>11245</v>
      </c>
      <c r="O161" t="s">
        <v>25</v>
      </c>
      <c r="P161" t="s">
        <v>12160</v>
      </c>
    </row>
    <row r="162" spans="1:24">
      <c r="A162" t="s">
        <v>11292</v>
      </c>
      <c r="B162" t="s">
        <v>11292</v>
      </c>
      <c r="C162" t="s">
        <v>11338</v>
      </c>
      <c r="D162" t="s">
        <v>11340</v>
      </c>
      <c r="E162">
        <v>7643</v>
      </c>
      <c r="F162" t="s">
        <v>6895</v>
      </c>
      <c r="G162" t="str">
        <f>Config!$B$5</f>
        <v>SCH/L_ANSI.SchLib</v>
      </c>
      <c r="H162" t="s">
        <v>424</v>
      </c>
      <c r="I162" t="s">
        <v>6535</v>
      </c>
      <c r="J162" t="s">
        <v>11351</v>
      </c>
      <c r="K162" s="46">
        <v>8.1999999999999994E-6</v>
      </c>
      <c r="L162" t="s">
        <v>11349</v>
      </c>
      <c r="M162" t="s">
        <v>11340</v>
      </c>
      <c r="N162" t="s">
        <v>11246</v>
      </c>
      <c r="O162" t="s">
        <v>25</v>
      </c>
      <c r="P162" t="s">
        <v>12170</v>
      </c>
    </row>
    <row r="163" spans="1:24">
      <c r="A163" t="s">
        <v>11293</v>
      </c>
      <c r="B163" t="s">
        <v>11293</v>
      </c>
      <c r="C163" t="s">
        <v>11339</v>
      </c>
      <c r="D163" t="s">
        <v>11340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6535</v>
      </c>
      <c r="J163" t="s">
        <v>11351</v>
      </c>
      <c r="K163" s="46">
        <v>3.3000000000000002E-7</v>
      </c>
      <c r="L163" s="26" t="s">
        <v>11349</v>
      </c>
      <c r="M163" t="s">
        <v>11340</v>
      </c>
      <c r="N163" t="s">
        <v>11247</v>
      </c>
      <c r="O163" t="s">
        <v>25</v>
      </c>
      <c r="P163" t="s">
        <v>12161</v>
      </c>
    </row>
    <row r="164" spans="1:24">
      <c r="A164" t="s">
        <v>13215</v>
      </c>
      <c r="B164" t="s">
        <v>13215</v>
      </c>
      <c r="C164" t="s">
        <v>13160</v>
      </c>
      <c r="D164" t="s">
        <v>4546</v>
      </c>
      <c r="E164">
        <v>603</v>
      </c>
      <c r="F164" t="s">
        <v>13202</v>
      </c>
      <c r="G164" t="str">
        <f>Config!$B$5</f>
        <v>SCH/L_ANSI.SchLib</v>
      </c>
      <c r="H164" t="s">
        <v>424</v>
      </c>
      <c r="I164" t="s">
        <v>461</v>
      </c>
      <c r="J164" t="s">
        <v>13137</v>
      </c>
      <c r="K164" s="46">
        <v>2.7000000000000001E-7</v>
      </c>
      <c r="L164" t="s">
        <v>13138</v>
      </c>
      <c r="M164" t="s">
        <v>4546</v>
      </c>
      <c r="N164" t="s">
        <v>13181</v>
      </c>
      <c r="O164" t="s">
        <v>25</v>
      </c>
      <c r="P164" t="s">
        <v>13139</v>
      </c>
    </row>
    <row r="165" spans="1:24">
      <c r="A165" t="s">
        <v>13216</v>
      </c>
      <c r="B165" t="s">
        <v>13216</v>
      </c>
      <c r="C165" t="s">
        <v>13161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13137</v>
      </c>
      <c r="K165" s="46">
        <v>9.9999999999999995E-7</v>
      </c>
      <c r="L165" t="s">
        <v>13138</v>
      </c>
      <c r="M165" t="s">
        <v>4546</v>
      </c>
      <c r="N165" t="s">
        <v>13182</v>
      </c>
      <c r="O165" t="s">
        <v>25</v>
      </c>
      <c r="P165" t="s">
        <v>13140</v>
      </c>
    </row>
    <row r="166" spans="1:24">
      <c r="A166" t="s">
        <v>13217</v>
      </c>
      <c r="B166" t="s">
        <v>13217</v>
      </c>
      <c r="C166" t="s">
        <v>13162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13137</v>
      </c>
      <c r="K166" s="46">
        <v>6.7999999999999995E-7</v>
      </c>
      <c r="L166" t="s">
        <v>13138</v>
      </c>
      <c r="M166" t="s">
        <v>4546</v>
      </c>
      <c r="N166" t="s">
        <v>13183</v>
      </c>
      <c r="O166" t="s">
        <v>25</v>
      </c>
      <c r="P166" t="s">
        <v>13141</v>
      </c>
    </row>
    <row r="167" spans="1:24">
      <c r="A167" t="s">
        <v>13218</v>
      </c>
      <c r="B167" t="s">
        <v>13218</v>
      </c>
      <c r="C167" t="s">
        <v>13163</v>
      </c>
      <c r="D167" t="s">
        <v>4546</v>
      </c>
      <c r="E167">
        <v>603</v>
      </c>
      <c r="F167" t="s">
        <v>13203</v>
      </c>
      <c r="G167" t="str">
        <f>Config!$B$5</f>
        <v>SCH/L_ANSI.SchLib</v>
      </c>
      <c r="H167" t="s">
        <v>424</v>
      </c>
      <c r="I167" t="s">
        <v>461</v>
      </c>
      <c r="J167" t="s">
        <v>13137</v>
      </c>
      <c r="K167" s="46">
        <v>1.1999999999999999E-6</v>
      </c>
      <c r="L167" t="s">
        <v>13138</v>
      </c>
      <c r="M167" t="s">
        <v>4546</v>
      </c>
      <c r="N167" t="s">
        <v>13184</v>
      </c>
      <c r="O167" t="s">
        <v>25</v>
      </c>
      <c r="P167" t="s">
        <v>13142</v>
      </c>
    </row>
    <row r="168" spans="1:24">
      <c r="A168" t="s">
        <v>13219</v>
      </c>
      <c r="B168" t="s">
        <v>13219</v>
      </c>
      <c r="C168" t="s">
        <v>13164</v>
      </c>
      <c r="D168" t="s">
        <v>4546</v>
      </c>
      <c r="E168">
        <v>603</v>
      </c>
      <c r="F168" t="s">
        <v>13204</v>
      </c>
      <c r="G168" t="str">
        <f>Config!$B$5</f>
        <v>SCH/L_ANSI.SchLib</v>
      </c>
      <c r="H168" t="s">
        <v>424</v>
      </c>
      <c r="I168" t="s">
        <v>461</v>
      </c>
      <c r="J168" t="s">
        <v>13137</v>
      </c>
      <c r="K168" s="46">
        <v>5.6000000000000004E-7</v>
      </c>
      <c r="L168" t="s">
        <v>13138</v>
      </c>
      <c r="M168" t="s">
        <v>4546</v>
      </c>
      <c r="N168" t="s">
        <v>13185</v>
      </c>
      <c r="O168" t="s">
        <v>25</v>
      </c>
      <c r="P168" t="s">
        <v>13143</v>
      </c>
      <c r="U168" t="s">
        <v>4592</v>
      </c>
      <c r="V168" t="s">
        <v>13236</v>
      </c>
      <c r="W168" t="s">
        <v>4559</v>
      </c>
      <c r="X168" t="s">
        <v>13237</v>
      </c>
    </row>
    <row r="169" spans="1:24">
      <c r="A169" t="s">
        <v>13220</v>
      </c>
      <c r="B169" t="s">
        <v>13220</v>
      </c>
      <c r="C169" t="s">
        <v>13165</v>
      </c>
      <c r="D169" t="s">
        <v>4546</v>
      </c>
      <c r="E169">
        <v>603</v>
      </c>
      <c r="F169" t="s">
        <v>13205</v>
      </c>
      <c r="G169" t="str">
        <f>Config!$B$5</f>
        <v>SCH/L_ANSI.SchLib</v>
      </c>
      <c r="H169" t="s">
        <v>424</v>
      </c>
      <c r="I169" t="s">
        <v>461</v>
      </c>
      <c r="J169" t="s">
        <v>13137</v>
      </c>
      <c r="K169" s="46">
        <v>8.1999999999999998E-7</v>
      </c>
      <c r="L169" t="s">
        <v>13138</v>
      </c>
      <c r="M169" t="s">
        <v>4546</v>
      </c>
      <c r="N169" t="s">
        <v>13186</v>
      </c>
      <c r="O169" t="s">
        <v>25</v>
      </c>
      <c r="P169" t="s">
        <v>13144</v>
      </c>
    </row>
    <row r="170" spans="1:24">
      <c r="A170" t="s">
        <v>13221</v>
      </c>
      <c r="B170" t="s">
        <v>13221</v>
      </c>
      <c r="C170" t="s">
        <v>13166</v>
      </c>
      <c r="D170" t="s">
        <v>4546</v>
      </c>
      <c r="E170">
        <v>603</v>
      </c>
      <c r="F170" t="s">
        <v>13206</v>
      </c>
      <c r="G170" t="str">
        <f>Config!$B$5</f>
        <v>SCH/L_ANSI.SchLib</v>
      </c>
      <c r="H170" t="s">
        <v>424</v>
      </c>
      <c r="I170" t="s">
        <v>461</v>
      </c>
      <c r="J170" t="s">
        <v>13137</v>
      </c>
      <c r="K170" s="46">
        <v>1.7999999999999999E-6</v>
      </c>
      <c r="L170" t="s">
        <v>13138</v>
      </c>
      <c r="M170" t="s">
        <v>4546</v>
      </c>
      <c r="N170" t="s">
        <v>13187</v>
      </c>
      <c r="O170" t="s">
        <v>25</v>
      </c>
      <c r="P170" t="s">
        <v>13145</v>
      </c>
    </row>
    <row r="171" spans="1:24">
      <c r="A171" t="s">
        <v>13222</v>
      </c>
      <c r="B171" t="s">
        <v>13222</v>
      </c>
      <c r="C171" t="s">
        <v>13167</v>
      </c>
      <c r="D171" t="s">
        <v>4546</v>
      </c>
      <c r="E171">
        <v>603</v>
      </c>
      <c r="F171" t="s">
        <v>13207</v>
      </c>
      <c r="G171" t="str">
        <f>Config!$B$5</f>
        <v>SCH/L_ANSI.SchLib</v>
      </c>
      <c r="H171" t="s">
        <v>424</v>
      </c>
      <c r="I171" t="s">
        <v>461</v>
      </c>
      <c r="J171" t="s">
        <v>13137</v>
      </c>
      <c r="K171" s="46">
        <v>9.9999999999999995E-8</v>
      </c>
      <c r="L171" t="s">
        <v>13138</v>
      </c>
      <c r="M171" t="s">
        <v>4546</v>
      </c>
      <c r="N171" t="s">
        <v>13188</v>
      </c>
      <c r="O171" t="s">
        <v>25</v>
      </c>
      <c r="P171" t="s">
        <v>13146</v>
      </c>
    </row>
    <row r="172" spans="1:24">
      <c r="A172" t="s">
        <v>13223</v>
      </c>
      <c r="B172" t="s">
        <v>13223</v>
      </c>
      <c r="C172" t="s">
        <v>13168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13137</v>
      </c>
      <c r="K172" s="46">
        <v>4.7E-7</v>
      </c>
      <c r="L172" t="s">
        <v>13138</v>
      </c>
      <c r="M172" t="s">
        <v>4546</v>
      </c>
      <c r="N172" t="s">
        <v>13189</v>
      </c>
      <c r="O172" t="s">
        <v>25</v>
      </c>
      <c r="P172" t="s">
        <v>13147</v>
      </c>
    </row>
    <row r="173" spans="1:24">
      <c r="A173" t="s">
        <v>13224</v>
      </c>
      <c r="B173" t="s">
        <v>13224</v>
      </c>
      <c r="C173" t="s">
        <v>13169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13137</v>
      </c>
      <c r="K173" s="46">
        <v>2.2000000000000001E-6</v>
      </c>
      <c r="L173" t="s">
        <v>13138</v>
      </c>
      <c r="M173" t="s">
        <v>4546</v>
      </c>
      <c r="N173" t="s">
        <v>13190</v>
      </c>
      <c r="O173" t="s">
        <v>25</v>
      </c>
      <c r="P173" t="s">
        <v>13148</v>
      </c>
    </row>
    <row r="174" spans="1:24">
      <c r="A174" t="s">
        <v>13225</v>
      </c>
      <c r="B174" t="s">
        <v>13225</v>
      </c>
      <c r="C174" t="s">
        <v>13170</v>
      </c>
      <c r="D174" t="s">
        <v>4546</v>
      </c>
      <c r="E174">
        <v>603</v>
      </c>
      <c r="F174" t="s">
        <v>6844</v>
      </c>
      <c r="G174" t="str">
        <f>Config!$B$5</f>
        <v>SCH/L_ANSI.SchLib</v>
      </c>
      <c r="H174" t="s">
        <v>424</v>
      </c>
      <c r="I174" t="s">
        <v>461</v>
      </c>
      <c r="J174" t="s">
        <v>13137</v>
      </c>
      <c r="K174" s="46">
        <v>2.2000000000000001E-7</v>
      </c>
      <c r="L174" t="s">
        <v>13138</v>
      </c>
      <c r="M174" t="s">
        <v>4546</v>
      </c>
      <c r="N174" t="s">
        <v>13191</v>
      </c>
      <c r="O174" t="s">
        <v>25</v>
      </c>
      <c r="P174" t="s">
        <v>13149</v>
      </c>
    </row>
    <row r="175" spans="1:24">
      <c r="A175" t="s">
        <v>13226</v>
      </c>
      <c r="B175" t="s">
        <v>13226</v>
      </c>
      <c r="C175" t="s">
        <v>13171</v>
      </c>
      <c r="D175" t="s">
        <v>4546</v>
      </c>
      <c r="E175">
        <v>603</v>
      </c>
      <c r="F175" t="s">
        <v>13208</v>
      </c>
      <c r="G175" t="str">
        <f>Config!$B$5</f>
        <v>SCH/L_ANSI.SchLib</v>
      </c>
      <c r="H175" t="s">
        <v>424</v>
      </c>
      <c r="I175" t="s">
        <v>461</v>
      </c>
      <c r="J175" t="s">
        <v>13137</v>
      </c>
      <c r="K175" s="46">
        <v>1.1999999999999999E-7</v>
      </c>
      <c r="L175" t="s">
        <v>13138</v>
      </c>
      <c r="M175" t="s">
        <v>4546</v>
      </c>
      <c r="N175" t="s">
        <v>13192</v>
      </c>
      <c r="O175" t="s">
        <v>25</v>
      </c>
      <c r="P175" t="s">
        <v>13150</v>
      </c>
    </row>
    <row r="176" spans="1:24">
      <c r="A176" t="s">
        <v>13227</v>
      </c>
      <c r="B176" t="s">
        <v>13227</v>
      </c>
      <c r="C176" t="s">
        <v>13172</v>
      </c>
      <c r="D176" t="s">
        <v>4546</v>
      </c>
      <c r="E176">
        <v>603</v>
      </c>
      <c r="F176" t="s">
        <v>13209</v>
      </c>
      <c r="G176" t="str">
        <f>Config!$B$5</f>
        <v>SCH/L_ANSI.SchLib</v>
      </c>
      <c r="H176" t="s">
        <v>424</v>
      </c>
      <c r="I176" t="s">
        <v>461</v>
      </c>
      <c r="J176" t="s">
        <v>13137</v>
      </c>
      <c r="K176" s="46">
        <v>6.8E-8</v>
      </c>
      <c r="L176" t="s">
        <v>13138</v>
      </c>
      <c r="M176" t="s">
        <v>4546</v>
      </c>
      <c r="N176" t="s">
        <v>13193</v>
      </c>
      <c r="O176" t="s">
        <v>25</v>
      </c>
      <c r="P176" t="s">
        <v>13151</v>
      </c>
    </row>
    <row r="177" spans="1:25">
      <c r="A177" t="s">
        <v>13228</v>
      </c>
      <c r="B177" t="s">
        <v>13228</v>
      </c>
      <c r="C177" t="s">
        <v>13173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13137</v>
      </c>
      <c r="K177" s="46">
        <v>1.5E-6</v>
      </c>
      <c r="L177" t="s">
        <v>13138</v>
      </c>
      <c r="M177" t="s">
        <v>4546</v>
      </c>
      <c r="N177" t="s">
        <v>13194</v>
      </c>
      <c r="O177" t="s">
        <v>25</v>
      </c>
      <c r="P177" t="s">
        <v>13152</v>
      </c>
    </row>
    <row r="178" spans="1:25">
      <c r="A178" t="s">
        <v>13229</v>
      </c>
      <c r="B178" t="s">
        <v>13229</v>
      </c>
      <c r="C178" t="s">
        <v>13174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13137</v>
      </c>
      <c r="K178" s="46">
        <v>3.3000000000000002E-7</v>
      </c>
      <c r="L178" t="s">
        <v>13138</v>
      </c>
      <c r="M178" t="s">
        <v>4546</v>
      </c>
      <c r="N178" t="s">
        <v>13195</v>
      </c>
      <c r="O178" t="s">
        <v>25</v>
      </c>
      <c r="P178" t="s">
        <v>13153</v>
      </c>
    </row>
    <row r="179" spans="1:25">
      <c r="A179" t="s">
        <v>13230</v>
      </c>
      <c r="B179" t="s">
        <v>13230</v>
      </c>
      <c r="C179" t="s">
        <v>13175</v>
      </c>
      <c r="D179" t="s">
        <v>4546</v>
      </c>
      <c r="E179">
        <v>603</v>
      </c>
      <c r="F179" t="s">
        <v>13210</v>
      </c>
      <c r="G179" t="str">
        <f>Config!$B$5</f>
        <v>SCH/L_ANSI.SchLib</v>
      </c>
      <c r="H179" t="s">
        <v>424</v>
      </c>
      <c r="I179" t="s">
        <v>461</v>
      </c>
      <c r="J179" t="s">
        <v>13137</v>
      </c>
      <c r="K179" s="46">
        <v>2.7E-6</v>
      </c>
      <c r="L179" t="s">
        <v>13138</v>
      </c>
      <c r="M179" t="s">
        <v>4546</v>
      </c>
      <c r="N179" t="s">
        <v>13196</v>
      </c>
      <c r="O179" t="s">
        <v>25</v>
      </c>
      <c r="P179" t="s">
        <v>13154</v>
      </c>
    </row>
    <row r="180" spans="1:25">
      <c r="A180" t="s">
        <v>13231</v>
      </c>
      <c r="B180" t="s">
        <v>13231</v>
      </c>
      <c r="C180" t="s">
        <v>13176</v>
      </c>
      <c r="D180" t="s">
        <v>4546</v>
      </c>
      <c r="E180">
        <v>603</v>
      </c>
      <c r="F180" t="s">
        <v>13211</v>
      </c>
      <c r="G180" t="str">
        <f>Config!$B$5</f>
        <v>SCH/L_ANSI.SchLib</v>
      </c>
      <c r="H180" t="s">
        <v>424</v>
      </c>
      <c r="I180" t="s">
        <v>461</v>
      </c>
      <c r="J180" t="s">
        <v>13137</v>
      </c>
      <c r="K180" s="46">
        <v>4.6999999999999997E-8</v>
      </c>
      <c r="L180" t="s">
        <v>13138</v>
      </c>
      <c r="M180" t="s">
        <v>4546</v>
      </c>
      <c r="N180" t="s">
        <v>13197</v>
      </c>
      <c r="O180" t="s">
        <v>25</v>
      </c>
      <c r="P180" t="s">
        <v>13155</v>
      </c>
    </row>
    <row r="181" spans="1:25">
      <c r="A181" t="s">
        <v>13232</v>
      </c>
      <c r="B181" t="s">
        <v>13232</v>
      </c>
      <c r="C181" t="s">
        <v>13177</v>
      </c>
      <c r="D181" t="s">
        <v>4546</v>
      </c>
      <c r="E181">
        <v>603</v>
      </c>
      <c r="F181" t="s">
        <v>13212</v>
      </c>
      <c r="G181" t="str">
        <f>Config!$B$5</f>
        <v>SCH/L_ANSI.SchLib</v>
      </c>
      <c r="H181" t="s">
        <v>424</v>
      </c>
      <c r="I181" t="s">
        <v>461</v>
      </c>
      <c r="J181" t="s">
        <v>13137</v>
      </c>
      <c r="K181" s="46">
        <v>8.2000000000000006E-8</v>
      </c>
      <c r="L181" t="s">
        <v>13138</v>
      </c>
      <c r="M181" t="s">
        <v>4546</v>
      </c>
      <c r="N181" t="s">
        <v>13198</v>
      </c>
      <c r="O181" t="s">
        <v>25</v>
      </c>
      <c r="P181" t="s">
        <v>13156</v>
      </c>
    </row>
    <row r="182" spans="1:25">
      <c r="A182" t="s">
        <v>13233</v>
      </c>
      <c r="B182" t="s">
        <v>13233</v>
      </c>
      <c r="C182" t="s">
        <v>13178</v>
      </c>
      <c r="D182" t="s">
        <v>4546</v>
      </c>
      <c r="E182">
        <v>603</v>
      </c>
      <c r="F182" t="s">
        <v>6924</v>
      </c>
      <c r="G182" t="str">
        <f>Config!$B$5</f>
        <v>SCH/L_ANSI.SchLib</v>
      </c>
      <c r="H182" t="s">
        <v>424</v>
      </c>
      <c r="I182" t="s">
        <v>461</v>
      </c>
      <c r="J182" t="s">
        <v>13137</v>
      </c>
      <c r="K182" s="46">
        <v>1.4999999999999999E-7</v>
      </c>
      <c r="L182" t="s">
        <v>13138</v>
      </c>
      <c r="M182" t="s">
        <v>4546</v>
      </c>
      <c r="N182" t="s">
        <v>13199</v>
      </c>
      <c r="O182" t="s">
        <v>25</v>
      </c>
      <c r="P182" t="s">
        <v>13157</v>
      </c>
    </row>
    <row r="183" spans="1:25">
      <c r="A183" t="s">
        <v>13234</v>
      </c>
      <c r="B183" t="s">
        <v>13234</v>
      </c>
      <c r="C183" t="s">
        <v>13179</v>
      </c>
      <c r="D183" t="s">
        <v>4546</v>
      </c>
      <c r="E183">
        <v>603</v>
      </c>
      <c r="F183" t="s">
        <v>13213</v>
      </c>
      <c r="G183" t="str">
        <f>Config!$B$5</f>
        <v>SCH/L_ANSI.SchLib</v>
      </c>
      <c r="H183" t="s">
        <v>424</v>
      </c>
      <c r="I183" t="s">
        <v>461</v>
      </c>
      <c r="J183" t="s">
        <v>13137</v>
      </c>
      <c r="K183" s="46">
        <v>1.8E-7</v>
      </c>
      <c r="L183" t="s">
        <v>13138</v>
      </c>
      <c r="M183" t="s">
        <v>4546</v>
      </c>
      <c r="N183" t="s">
        <v>13200</v>
      </c>
      <c r="O183" t="s">
        <v>25</v>
      </c>
      <c r="P183" t="s">
        <v>13158</v>
      </c>
    </row>
    <row r="184" spans="1:25">
      <c r="A184" t="s">
        <v>13235</v>
      </c>
      <c r="B184" t="s">
        <v>13235</v>
      </c>
      <c r="C184" t="s">
        <v>13180</v>
      </c>
      <c r="D184" t="s">
        <v>4546</v>
      </c>
      <c r="E184">
        <v>603</v>
      </c>
      <c r="F184" t="s">
        <v>13214</v>
      </c>
      <c r="G184" t="str">
        <f>Config!$B$5</f>
        <v>SCH/L_ANSI.SchLib</v>
      </c>
      <c r="H184" t="s">
        <v>424</v>
      </c>
      <c r="I184" t="s">
        <v>461</v>
      </c>
      <c r="J184" t="s">
        <v>13137</v>
      </c>
      <c r="K184" s="46">
        <v>3.9000000000000002E-7</v>
      </c>
      <c r="L184" t="s">
        <v>13138</v>
      </c>
      <c r="M184" t="s">
        <v>4546</v>
      </c>
      <c r="N184" t="s">
        <v>13201</v>
      </c>
      <c r="O184" t="s">
        <v>25</v>
      </c>
      <c r="P184" t="s">
        <v>13159</v>
      </c>
    </row>
    <row r="185" spans="1:25">
      <c r="A185" t="s">
        <v>13278</v>
      </c>
      <c r="B185" t="s">
        <v>13278</v>
      </c>
      <c r="C185" t="s">
        <v>13277</v>
      </c>
      <c r="D185" t="s">
        <v>13272</v>
      </c>
      <c r="E185">
        <v>4040</v>
      </c>
      <c r="F185" t="s">
        <v>11344</v>
      </c>
      <c r="G185" t="str">
        <f>Config!$B$5</f>
        <v>SCH/L_ANSI.SchLib</v>
      </c>
      <c r="H185" t="s">
        <v>424</v>
      </c>
      <c r="I185" t="s">
        <v>6535</v>
      </c>
      <c r="J185" t="s">
        <v>13273</v>
      </c>
      <c r="K185" s="46">
        <v>4.6999999999999997E-5</v>
      </c>
      <c r="L185" t="s">
        <v>13276</v>
      </c>
      <c r="M185" t="s">
        <v>13272</v>
      </c>
      <c r="N185" t="s">
        <v>13275</v>
      </c>
      <c r="O185" t="s">
        <v>25</v>
      </c>
      <c r="P185" t="s">
        <v>13274</v>
      </c>
      <c r="U185" t="s">
        <v>13272</v>
      </c>
      <c r="V185" t="s">
        <v>13275</v>
      </c>
      <c r="W185" t="s">
        <v>4559</v>
      </c>
      <c r="X185" t="s">
        <v>13279</v>
      </c>
    </row>
    <row r="186" spans="1:25">
      <c r="A186" t="s">
        <v>14025</v>
      </c>
      <c r="B186" t="s">
        <v>14025</v>
      </c>
      <c r="C186" t="s">
        <v>14480</v>
      </c>
      <c r="E186" t="s">
        <v>14021</v>
      </c>
      <c r="G186" t="str">
        <f>Config!$B$5</f>
        <v>SCH/L_ANSI.SchLib</v>
      </c>
      <c r="H186" t="s">
        <v>14022</v>
      </c>
      <c r="I186" t="s">
        <v>14023</v>
      </c>
      <c r="J186" t="s">
        <v>14024</v>
      </c>
    </row>
    <row r="187" spans="1:25">
      <c r="A187" t="s">
        <v>14515</v>
      </c>
      <c r="B187" t="s">
        <v>14515</v>
      </c>
      <c r="C187" t="s">
        <v>14519</v>
      </c>
      <c r="D187" t="s">
        <v>14481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6535</v>
      </c>
      <c r="J187" t="s">
        <v>14631</v>
      </c>
      <c r="K187" s="46">
        <v>9.9999999999999995E-7</v>
      </c>
      <c r="L187" t="s">
        <v>14507</v>
      </c>
      <c r="U187" t="s">
        <v>14485</v>
      </c>
      <c r="V187" t="s">
        <v>14529</v>
      </c>
      <c r="W187" t="s">
        <v>4559</v>
      </c>
      <c r="X187" t="s">
        <v>14534</v>
      </c>
      <c r="Y187" t="s">
        <v>4727</v>
      </c>
    </row>
    <row r="188" spans="1:25">
      <c r="A188" t="s">
        <v>14516</v>
      </c>
      <c r="B188" t="s">
        <v>14516</v>
      </c>
      <c r="C188" t="s">
        <v>14520</v>
      </c>
      <c r="D188" t="s">
        <v>14481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6535</v>
      </c>
      <c r="J188" t="s">
        <v>14631</v>
      </c>
      <c r="K188" s="46">
        <v>1.5E-6</v>
      </c>
      <c r="L188" t="s">
        <v>14507</v>
      </c>
      <c r="U188" t="s">
        <v>14485</v>
      </c>
      <c r="V188" t="s">
        <v>14530</v>
      </c>
      <c r="W188" t="s">
        <v>4559</v>
      </c>
      <c r="X188" t="s">
        <v>14531</v>
      </c>
      <c r="Y188" t="s">
        <v>4727</v>
      </c>
    </row>
    <row r="189" spans="1:25">
      <c r="A189" t="s">
        <v>14517</v>
      </c>
      <c r="B189" t="s">
        <v>14517</v>
      </c>
      <c r="C189" t="s">
        <v>14521</v>
      </c>
      <c r="D189" t="s">
        <v>14481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6535</v>
      </c>
      <c r="J189" t="s">
        <v>14631</v>
      </c>
      <c r="K189" s="46">
        <v>2.2000000000000001E-6</v>
      </c>
      <c r="L189" t="s">
        <v>14507</v>
      </c>
      <c r="U189" t="s">
        <v>14485</v>
      </c>
      <c r="V189" t="s">
        <v>14532</v>
      </c>
      <c r="W189" t="s">
        <v>4559</v>
      </c>
      <c r="X189" t="s">
        <v>14533</v>
      </c>
      <c r="Y189" t="s">
        <v>4727</v>
      </c>
    </row>
    <row r="190" spans="1:25">
      <c r="A190" t="s">
        <v>14514</v>
      </c>
      <c r="B190" t="s">
        <v>14514</v>
      </c>
      <c r="C190" t="s">
        <v>14518</v>
      </c>
      <c r="D190" t="s">
        <v>14481</v>
      </c>
      <c r="E190">
        <v>1350</v>
      </c>
      <c r="F190" t="s">
        <v>6796</v>
      </c>
      <c r="G190" t="str">
        <f>Config!$B$5</f>
        <v>SCH/L_ANSI.SchLib</v>
      </c>
      <c r="H190" t="s">
        <v>424</v>
      </c>
      <c r="I190" t="s">
        <v>6535</v>
      </c>
      <c r="J190" t="s">
        <v>14631</v>
      </c>
      <c r="K190" s="46">
        <v>3.3000000000000002E-6</v>
      </c>
      <c r="L190" t="s">
        <v>14507</v>
      </c>
      <c r="U190" t="s">
        <v>14485</v>
      </c>
      <c r="V190" t="s">
        <v>14535</v>
      </c>
      <c r="W190" t="s">
        <v>4559</v>
      </c>
      <c r="X190" t="s">
        <v>14536</v>
      </c>
      <c r="Y190" t="s">
        <v>4727</v>
      </c>
    </row>
    <row r="191" spans="1:25">
      <c r="A191" t="s">
        <v>14513</v>
      </c>
      <c r="B191" t="s">
        <v>14513</v>
      </c>
      <c r="C191" t="s">
        <v>14522</v>
      </c>
      <c r="D191" t="s">
        <v>14481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6535</v>
      </c>
      <c r="J191" t="s">
        <v>14631</v>
      </c>
      <c r="K191" s="46">
        <v>4.6999999999999999E-6</v>
      </c>
      <c r="L191" t="s">
        <v>14507</v>
      </c>
      <c r="U191" t="s">
        <v>14485</v>
      </c>
      <c r="V191" t="s">
        <v>14537</v>
      </c>
      <c r="W191" t="s">
        <v>4559</v>
      </c>
      <c r="X191" t="s">
        <v>14538</v>
      </c>
      <c r="Y191" t="s">
        <v>4727</v>
      </c>
    </row>
    <row r="192" spans="1:25">
      <c r="A192" t="s">
        <v>14512</v>
      </c>
      <c r="B192" t="s">
        <v>14512</v>
      </c>
      <c r="C192" t="s">
        <v>14523</v>
      </c>
      <c r="D192" t="s">
        <v>14481</v>
      </c>
      <c r="E192">
        <v>1350</v>
      </c>
      <c r="F192" t="s">
        <v>6927</v>
      </c>
      <c r="G192" t="str">
        <f>Config!$B$5</f>
        <v>SCH/L_ANSI.SchLib</v>
      </c>
      <c r="H192" t="s">
        <v>424</v>
      </c>
      <c r="I192" t="s">
        <v>6535</v>
      </c>
      <c r="J192" t="s">
        <v>14631</v>
      </c>
      <c r="K192" s="46">
        <v>6.8000000000000001E-6</v>
      </c>
      <c r="L192" t="s">
        <v>14507</v>
      </c>
      <c r="U192" t="s">
        <v>14485</v>
      </c>
      <c r="V192" t="s">
        <v>14539</v>
      </c>
      <c r="W192" t="s">
        <v>4559</v>
      </c>
      <c r="X192" t="s">
        <v>14540</v>
      </c>
      <c r="Y192" t="s">
        <v>4727</v>
      </c>
    </row>
    <row r="193" spans="1:25">
      <c r="A193" t="s">
        <v>14476</v>
      </c>
      <c r="B193" t="s">
        <v>14476</v>
      </c>
      <c r="C193" t="s">
        <v>14525</v>
      </c>
      <c r="D193" t="s">
        <v>14481</v>
      </c>
      <c r="E193">
        <v>1350</v>
      </c>
      <c r="F193" t="s">
        <v>6778</v>
      </c>
      <c r="G193" t="str">
        <f>Config!$B$5</f>
        <v>SCH/L_ANSI.SchLib</v>
      </c>
      <c r="H193" t="s">
        <v>424</v>
      </c>
      <c r="I193" t="s">
        <v>6535</v>
      </c>
      <c r="J193" t="s">
        <v>14631</v>
      </c>
      <c r="K193" s="46">
        <v>1.0000000000000001E-5</v>
      </c>
      <c r="L193" t="s">
        <v>14507</v>
      </c>
      <c r="U193" t="s">
        <v>14485</v>
      </c>
      <c r="V193" t="s">
        <v>14486</v>
      </c>
      <c r="W193" t="s">
        <v>4559</v>
      </c>
      <c r="X193" t="s">
        <v>14487</v>
      </c>
      <c r="Y193" t="s">
        <v>4727</v>
      </c>
    </row>
    <row r="194" spans="1:25">
      <c r="A194" t="s">
        <v>14510</v>
      </c>
      <c r="B194" t="s">
        <v>14510</v>
      </c>
      <c r="C194" t="s">
        <v>14524</v>
      </c>
      <c r="D194" t="s">
        <v>14481</v>
      </c>
      <c r="E194">
        <v>1350</v>
      </c>
      <c r="F194" t="s">
        <v>6718</v>
      </c>
      <c r="G194" t="str">
        <f>Config!$B$5</f>
        <v>SCH/L_ANSI.SchLib</v>
      </c>
      <c r="H194" t="s">
        <v>424</v>
      </c>
      <c r="I194" t="s">
        <v>6535</v>
      </c>
      <c r="J194" t="s">
        <v>14631</v>
      </c>
      <c r="K194" s="46">
        <v>1.5E-5</v>
      </c>
      <c r="L194" t="s">
        <v>14507</v>
      </c>
      <c r="U194" t="s">
        <v>14485</v>
      </c>
      <c r="V194" t="s">
        <v>14541</v>
      </c>
      <c r="W194" t="s">
        <v>4559</v>
      </c>
      <c r="X194" t="s">
        <v>14542</v>
      </c>
      <c r="Y194" t="s">
        <v>4727</v>
      </c>
    </row>
    <row r="195" spans="1:25">
      <c r="A195" t="s">
        <v>14511</v>
      </c>
      <c r="B195" t="s">
        <v>14511</v>
      </c>
      <c r="C195" t="s">
        <v>14526</v>
      </c>
      <c r="D195" t="s">
        <v>14481</v>
      </c>
      <c r="E195">
        <v>1350</v>
      </c>
      <c r="F195" t="s">
        <v>6845</v>
      </c>
      <c r="G195" t="str">
        <f>Config!$B$5</f>
        <v>SCH/L_ANSI.SchLib</v>
      </c>
      <c r="H195" t="s">
        <v>424</v>
      </c>
      <c r="I195" t="s">
        <v>6535</v>
      </c>
      <c r="J195" t="s">
        <v>14631</v>
      </c>
      <c r="K195" s="46">
        <v>2.1999999999999999E-5</v>
      </c>
      <c r="L195" t="s">
        <v>14507</v>
      </c>
      <c r="U195" t="s">
        <v>14485</v>
      </c>
      <c r="V195" t="s">
        <v>14543</v>
      </c>
      <c r="W195" t="s">
        <v>4559</v>
      </c>
      <c r="X195" t="s">
        <v>14544</v>
      </c>
      <c r="Y195" t="s">
        <v>4727</v>
      </c>
    </row>
    <row r="196" spans="1:25">
      <c r="A196" t="s">
        <v>14509</v>
      </c>
      <c r="B196" t="s">
        <v>14509</v>
      </c>
      <c r="C196" t="s">
        <v>14527</v>
      </c>
      <c r="D196" t="s">
        <v>14481</v>
      </c>
      <c r="E196">
        <v>1350</v>
      </c>
      <c r="F196" t="s">
        <v>6846</v>
      </c>
      <c r="G196" t="str">
        <f>Config!$B$5</f>
        <v>SCH/L_ANSI.SchLib</v>
      </c>
      <c r="H196" t="s">
        <v>424</v>
      </c>
      <c r="I196" t="s">
        <v>6535</v>
      </c>
      <c r="J196" t="s">
        <v>14631</v>
      </c>
      <c r="K196" s="46">
        <v>3.3000000000000003E-5</v>
      </c>
      <c r="L196" t="s">
        <v>14507</v>
      </c>
      <c r="U196" t="s">
        <v>14485</v>
      </c>
      <c r="V196" t="s">
        <v>14545</v>
      </c>
      <c r="W196" t="s">
        <v>4559</v>
      </c>
      <c r="X196" t="s">
        <v>14546</v>
      </c>
      <c r="Y196" t="s">
        <v>4727</v>
      </c>
    </row>
    <row r="197" spans="1:25">
      <c r="A197" t="s">
        <v>14508</v>
      </c>
      <c r="B197" t="s">
        <v>14508</v>
      </c>
      <c r="C197" t="s">
        <v>14528</v>
      </c>
      <c r="D197" t="s">
        <v>14481</v>
      </c>
      <c r="E197">
        <v>1350</v>
      </c>
      <c r="F197" t="s">
        <v>11344</v>
      </c>
      <c r="G197" t="str">
        <f>Config!$B$5</f>
        <v>SCH/L_ANSI.SchLib</v>
      </c>
      <c r="H197" t="s">
        <v>424</v>
      </c>
      <c r="I197" t="s">
        <v>6535</v>
      </c>
      <c r="J197" t="s">
        <v>14631</v>
      </c>
      <c r="K197" s="46">
        <v>4.6999999999999997E-5</v>
      </c>
      <c r="L197" t="s">
        <v>14507</v>
      </c>
      <c r="U197" t="s">
        <v>14485</v>
      </c>
      <c r="V197" t="s">
        <v>14547</v>
      </c>
      <c r="W197" t="s">
        <v>4559</v>
      </c>
      <c r="X197" t="s">
        <v>14548</v>
      </c>
      <c r="Y197" t="s">
        <v>4727</v>
      </c>
    </row>
    <row r="198" spans="1:25">
      <c r="A198" t="s">
        <v>14554</v>
      </c>
      <c r="B198" t="s">
        <v>14554</v>
      </c>
      <c r="C198" t="s">
        <v>14550</v>
      </c>
      <c r="D198" t="s">
        <v>14481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6535</v>
      </c>
      <c r="J198" t="s">
        <v>14632</v>
      </c>
      <c r="K198" s="46">
        <v>1.5E-6</v>
      </c>
      <c r="L198" t="s">
        <v>14549</v>
      </c>
      <c r="U198" t="s">
        <v>14485</v>
      </c>
      <c r="V198" t="s">
        <v>14557</v>
      </c>
      <c r="W198" t="s">
        <v>4559</v>
      </c>
      <c r="X198" t="s">
        <v>14558</v>
      </c>
      <c r="Y198" t="s">
        <v>4727</v>
      </c>
    </row>
    <row r="199" spans="1:25">
      <c r="A199" t="s">
        <v>14477</v>
      </c>
      <c r="B199" t="s">
        <v>14477</v>
      </c>
      <c r="C199" t="s">
        <v>14551</v>
      </c>
      <c r="D199" t="s">
        <v>14481</v>
      </c>
      <c r="E199">
        <v>1360</v>
      </c>
      <c r="F199" t="s">
        <v>6778</v>
      </c>
      <c r="G199" t="str">
        <f>Config!$B$5</f>
        <v>SCH/L_ANSI.SchLib</v>
      </c>
      <c r="H199" t="s">
        <v>424</v>
      </c>
      <c r="I199" t="s">
        <v>6535</v>
      </c>
      <c r="J199" t="s">
        <v>14632</v>
      </c>
      <c r="K199" s="46">
        <v>1.0000000000000001E-5</v>
      </c>
      <c r="L199" t="s">
        <v>14549</v>
      </c>
      <c r="U199" t="s">
        <v>14485</v>
      </c>
      <c r="V199" t="s">
        <v>14488</v>
      </c>
      <c r="W199" t="s">
        <v>4559</v>
      </c>
      <c r="X199" t="s">
        <v>14489</v>
      </c>
      <c r="Y199" t="s">
        <v>4727</v>
      </c>
    </row>
    <row r="200" spans="1:25">
      <c r="A200" t="s">
        <v>14555</v>
      </c>
      <c r="B200" t="s">
        <v>14555</v>
      </c>
      <c r="C200" t="s">
        <v>14552</v>
      </c>
      <c r="D200" t="s">
        <v>14481</v>
      </c>
      <c r="E200">
        <v>1360</v>
      </c>
      <c r="F200" t="s">
        <v>6718</v>
      </c>
      <c r="G200" t="str">
        <f>Config!$B$5</f>
        <v>SCH/L_ANSI.SchLib</v>
      </c>
      <c r="H200" t="s">
        <v>424</v>
      </c>
      <c r="I200" t="s">
        <v>6535</v>
      </c>
      <c r="J200" t="s">
        <v>14632</v>
      </c>
      <c r="K200" s="46">
        <v>1.5E-5</v>
      </c>
      <c r="L200" t="s">
        <v>14549</v>
      </c>
      <c r="U200" t="s">
        <v>14485</v>
      </c>
      <c r="V200" t="s">
        <v>14559</v>
      </c>
      <c r="W200" t="s">
        <v>4559</v>
      </c>
      <c r="X200" t="s">
        <v>14560</v>
      </c>
      <c r="Y200" t="s">
        <v>4727</v>
      </c>
    </row>
    <row r="201" spans="1:25">
      <c r="A201" t="s">
        <v>14556</v>
      </c>
      <c r="B201" t="s">
        <v>14556</v>
      </c>
      <c r="C201" t="s">
        <v>14553</v>
      </c>
      <c r="D201" t="s">
        <v>14481</v>
      </c>
      <c r="E201">
        <v>1360</v>
      </c>
      <c r="F201" t="s">
        <v>11344</v>
      </c>
      <c r="G201" t="str">
        <f>Config!$B$5</f>
        <v>SCH/L_ANSI.SchLib</v>
      </c>
      <c r="H201" t="s">
        <v>424</v>
      </c>
      <c r="I201" t="s">
        <v>6535</v>
      </c>
      <c r="J201" t="s">
        <v>14632</v>
      </c>
      <c r="K201" s="46">
        <v>4.6999999999999997E-5</v>
      </c>
      <c r="L201" t="s">
        <v>14549</v>
      </c>
      <c r="U201" t="s">
        <v>14485</v>
      </c>
      <c r="V201" t="s">
        <v>14561</v>
      </c>
      <c r="W201" t="s">
        <v>4559</v>
      </c>
      <c r="X201" t="s">
        <v>14562</v>
      </c>
      <c r="Y201" t="s">
        <v>4727</v>
      </c>
    </row>
    <row r="202" spans="1:25">
      <c r="A202" t="s">
        <v>14563</v>
      </c>
      <c r="B202" t="s">
        <v>14563</v>
      </c>
      <c r="C202" t="s">
        <v>14585</v>
      </c>
      <c r="D202" t="s">
        <v>14481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6535</v>
      </c>
      <c r="J202" t="s">
        <v>14633</v>
      </c>
      <c r="K202" s="46">
        <v>4.7E-7</v>
      </c>
      <c r="L202" t="s">
        <v>14584</v>
      </c>
      <c r="U202" t="s">
        <v>14485</v>
      </c>
      <c r="V202" t="s">
        <v>14586</v>
      </c>
      <c r="W202" t="s">
        <v>4559</v>
      </c>
      <c r="X202" t="s">
        <v>14587</v>
      </c>
      <c r="Y202" t="s">
        <v>4727</v>
      </c>
    </row>
    <row r="203" spans="1:25">
      <c r="A203" t="s">
        <v>14564</v>
      </c>
      <c r="B203" t="s">
        <v>14564</v>
      </c>
      <c r="C203" t="s">
        <v>14573</v>
      </c>
      <c r="D203" t="s">
        <v>14481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6535</v>
      </c>
      <c r="J203" t="s">
        <v>14633</v>
      </c>
      <c r="K203" s="46">
        <v>9.9999999999999995E-7</v>
      </c>
      <c r="L203" t="s">
        <v>14584</v>
      </c>
      <c r="U203" t="s">
        <v>14485</v>
      </c>
      <c r="V203" t="s">
        <v>14588</v>
      </c>
      <c r="W203" t="s">
        <v>4559</v>
      </c>
      <c r="X203" t="s">
        <v>14589</v>
      </c>
      <c r="Y203" t="s">
        <v>4727</v>
      </c>
    </row>
    <row r="204" spans="1:25">
      <c r="A204" t="s">
        <v>14565</v>
      </c>
      <c r="B204" t="s">
        <v>14565</v>
      </c>
      <c r="C204" t="s">
        <v>14574</v>
      </c>
      <c r="D204" t="s">
        <v>14481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6535</v>
      </c>
      <c r="J204" t="s">
        <v>14633</v>
      </c>
      <c r="K204" s="46">
        <v>1.5E-6</v>
      </c>
      <c r="L204" t="s">
        <v>14584</v>
      </c>
      <c r="U204" t="s">
        <v>14485</v>
      </c>
      <c r="V204" t="s">
        <v>14590</v>
      </c>
      <c r="W204" t="s">
        <v>4559</v>
      </c>
      <c r="X204" t="s">
        <v>14591</v>
      </c>
      <c r="Y204" t="s">
        <v>4727</v>
      </c>
    </row>
    <row r="205" spans="1:25">
      <c r="A205" t="s">
        <v>14566</v>
      </c>
      <c r="B205" t="s">
        <v>14566</v>
      </c>
      <c r="C205" t="s">
        <v>14575</v>
      </c>
      <c r="D205" t="s">
        <v>14481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6535</v>
      </c>
      <c r="J205" t="s">
        <v>14633</v>
      </c>
      <c r="K205" s="46">
        <v>2.2000000000000001E-6</v>
      </c>
      <c r="L205" t="s">
        <v>14584</v>
      </c>
      <c r="U205" t="s">
        <v>14485</v>
      </c>
      <c r="V205" t="s">
        <v>14592</v>
      </c>
      <c r="W205" t="s">
        <v>4559</v>
      </c>
      <c r="X205" t="s">
        <v>14593</v>
      </c>
      <c r="Y205" t="s">
        <v>4727</v>
      </c>
    </row>
    <row r="206" spans="1:25">
      <c r="A206" t="s">
        <v>14567</v>
      </c>
      <c r="B206" t="s">
        <v>14567</v>
      </c>
      <c r="C206" t="s">
        <v>14576</v>
      </c>
      <c r="D206" t="s">
        <v>14481</v>
      </c>
      <c r="E206">
        <v>1365</v>
      </c>
      <c r="F206" t="s">
        <v>6796</v>
      </c>
      <c r="G206" t="str">
        <f>Config!$B$5</f>
        <v>SCH/L_ANSI.SchLib</v>
      </c>
      <c r="H206" t="s">
        <v>424</v>
      </c>
      <c r="I206" t="s">
        <v>6535</v>
      </c>
      <c r="J206" t="s">
        <v>14633</v>
      </c>
      <c r="K206" s="46">
        <v>3.3000000000000002E-6</v>
      </c>
      <c r="L206" t="s">
        <v>14584</v>
      </c>
      <c r="U206" t="s">
        <v>14485</v>
      </c>
      <c r="V206" t="s">
        <v>14594</v>
      </c>
      <c r="W206" t="s">
        <v>4559</v>
      </c>
      <c r="X206" t="s">
        <v>14595</v>
      </c>
      <c r="Y206" t="s">
        <v>4727</v>
      </c>
    </row>
    <row r="207" spans="1:25">
      <c r="A207" t="s">
        <v>14568</v>
      </c>
      <c r="B207" t="s">
        <v>14568</v>
      </c>
      <c r="C207" t="s">
        <v>14577</v>
      </c>
      <c r="D207" t="s">
        <v>14481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6535</v>
      </c>
      <c r="J207" t="s">
        <v>14633</v>
      </c>
      <c r="K207" s="46">
        <v>4.6999999999999999E-6</v>
      </c>
      <c r="L207" t="s">
        <v>14584</v>
      </c>
      <c r="U207" t="s">
        <v>14485</v>
      </c>
      <c r="V207" t="s">
        <v>14596</v>
      </c>
      <c r="W207" t="s">
        <v>4559</v>
      </c>
      <c r="X207" t="s">
        <v>14597</v>
      </c>
      <c r="Y207" t="s">
        <v>4727</v>
      </c>
    </row>
    <row r="208" spans="1:25">
      <c r="A208" t="s">
        <v>14569</v>
      </c>
      <c r="B208" t="s">
        <v>14569</v>
      </c>
      <c r="C208" t="s">
        <v>14578</v>
      </c>
      <c r="D208" t="s">
        <v>14481</v>
      </c>
      <c r="E208">
        <v>1365</v>
      </c>
      <c r="F208" t="s">
        <v>6927</v>
      </c>
      <c r="G208" t="str">
        <f>Config!$B$5</f>
        <v>SCH/L_ANSI.SchLib</v>
      </c>
      <c r="H208" t="s">
        <v>424</v>
      </c>
      <c r="I208" t="s">
        <v>6535</v>
      </c>
      <c r="J208" t="s">
        <v>14633</v>
      </c>
      <c r="K208" s="46">
        <v>6.8000000000000001E-6</v>
      </c>
      <c r="L208" t="s">
        <v>14584</v>
      </c>
      <c r="U208" t="s">
        <v>14485</v>
      </c>
      <c r="V208" t="s">
        <v>14598</v>
      </c>
      <c r="W208" t="s">
        <v>4559</v>
      </c>
      <c r="X208" t="s">
        <v>14599</v>
      </c>
      <c r="Y208" t="s">
        <v>4727</v>
      </c>
    </row>
    <row r="209" spans="1:25">
      <c r="A209" t="s">
        <v>14478</v>
      </c>
      <c r="B209" t="s">
        <v>14478</v>
      </c>
      <c r="C209" t="s">
        <v>14582</v>
      </c>
      <c r="D209" t="s">
        <v>14481</v>
      </c>
      <c r="E209">
        <v>1365</v>
      </c>
      <c r="F209" t="s">
        <v>6778</v>
      </c>
      <c r="G209" t="str">
        <f>Config!$B$5</f>
        <v>SCH/L_ANSI.SchLib</v>
      </c>
      <c r="H209" t="s">
        <v>424</v>
      </c>
      <c r="I209" t="s">
        <v>6535</v>
      </c>
      <c r="J209" t="s">
        <v>14633</v>
      </c>
      <c r="K209" s="46">
        <v>1.0000000000000001E-5</v>
      </c>
      <c r="L209" t="s">
        <v>14584</v>
      </c>
      <c r="U209" t="s">
        <v>14485</v>
      </c>
      <c r="V209" t="s">
        <v>14490</v>
      </c>
      <c r="W209" t="s">
        <v>4559</v>
      </c>
      <c r="X209" t="s">
        <v>14491</v>
      </c>
      <c r="Y209" t="s">
        <v>4727</v>
      </c>
    </row>
    <row r="210" spans="1:25">
      <c r="A210" t="s">
        <v>14504</v>
      </c>
      <c r="B210" t="s">
        <v>14504</v>
      </c>
      <c r="C210" t="s">
        <v>14583</v>
      </c>
      <c r="D210" t="s">
        <v>14481</v>
      </c>
      <c r="E210">
        <v>1365</v>
      </c>
      <c r="F210" t="s">
        <v>6718</v>
      </c>
      <c r="G210" t="str">
        <f>Config!$B$5</f>
        <v>SCH/L_ANSI.SchLib</v>
      </c>
      <c r="H210" t="s">
        <v>424</v>
      </c>
      <c r="I210" t="s">
        <v>6535</v>
      </c>
      <c r="J210" t="s">
        <v>14633</v>
      </c>
      <c r="K210" s="46">
        <v>1.5E-5</v>
      </c>
      <c r="L210" t="s">
        <v>14584</v>
      </c>
      <c r="U210" t="s">
        <v>14485</v>
      </c>
      <c r="V210" t="s">
        <v>14505</v>
      </c>
      <c r="W210" t="s">
        <v>4559</v>
      </c>
      <c r="X210" t="s">
        <v>14506</v>
      </c>
      <c r="Y210" t="s">
        <v>4727</v>
      </c>
    </row>
    <row r="211" spans="1:25">
      <c r="A211" t="s">
        <v>14570</v>
      </c>
      <c r="B211" t="s">
        <v>14570</v>
      </c>
      <c r="C211" t="s">
        <v>14579</v>
      </c>
      <c r="D211" t="s">
        <v>14481</v>
      </c>
      <c r="E211">
        <v>1365</v>
      </c>
      <c r="F211" t="s">
        <v>6845</v>
      </c>
      <c r="G211" t="str">
        <f>Config!$B$5</f>
        <v>SCH/L_ANSI.SchLib</v>
      </c>
      <c r="H211" t="s">
        <v>424</v>
      </c>
      <c r="I211" t="s">
        <v>6535</v>
      </c>
      <c r="J211" t="s">
        <v>14633</v>
      </c>
      <c r="K211" s="46">
        <v>2.1999999999999999E-5</v>
      </c>
      <c r="L211" t="s">
        <v>14584</v>
      </c>
      <c r="U211" t="s">
        <v>14485</v>
      </c>
      <c r="V211" t="s">
        <v>14600</v>
      </c>
      <c r="W211" t="s">
        <v>4559</v>
      </c>
      <c r="X211" t="s">
        <v>14601</v>
      </c>
      <c r="Y211" t="s">
        <v>4727</v>
      </c>
    </row>
    <row r="212" spans="1:25">
      <c r="A212" t="s">
        <v>14571</v>
      </c>
      <c r="B212" t="s">
        <v>14571</v>
      </c>
      <c r="C212" t="s">
        <v>14580</v>
      </c>
      <c r="D212" t="s">
        <v>14481</v>
      </c>
      <c r="E212">
        <v>1365</v>
      </c>
      <c r="F212" t="s">
        <v>6846</v>
      </c>
      <c r="G212" t="str">
        <f>Config!$B$5</f>
        <v>SCH/L_ANSI.SchLib</v>
      </c>
      <c r="H212" t="s">
        <v>424</v>
      </c>
      <c r="I212" t="s">
        <v>6535</v>
      </c>
      <c r="J212" t="s">
        <v>14633</v>
      </c>
      <c r="K212" s="46">
        <v>3.3000000000000003E-5</v>
      </c>
      <c r="L212" t="s">
        <v>14584</v>
      </c>
      <c r="U212" t="s">
        <v>14485</v>
      </c>
      <c r="V212" t="s">
        <v>14602</v>
      </c>
      <c r="W212" t="s">
        <v>4559</v>
      </c>
      <c r="X212" t="s">
        <v>14603</v>
      </c>
      <c r="Y212" t="s">
        <v>4727</v>
      </c>
    </row>
    <row r="213" spans="1:25">
      <c r="A213" t="s">
        <v>14572</v>
      </c>
      <c r="B213" t="s">
        <v>14572</v>
      </c>
      <c r="C213" t="s">
        <v>14581</v>
      </c>
      <c r="D213" t="s">
        <v>14481</v>
      </c>
      <c r="E213">
        <v>1365</v>
      </c>
      <c r="F213" t="s">
        <v>11344</v>
      </c>
      <c r="G213" t="str">
        <f>Config!$B$5</f>
        <v>SCH/L_ANSI.SchLib</v>
      </c>
      <c r="H213" t="s">
        <v>424</v>
      </c>
      <c r="I213" t="s">
        <v>6535</v>
      </c>
      <c r="J213" t="s">
        <v>14633</v>
      </c>
      <c r="K213" s="46">
        <v>4.6999999999999997E-5</v>
      </c>
      <c r="L213" t="s">
        <v>14584</v>
      </c>
      <c r="U213" t="s">
        <v>14485</v>
      </c>
      <c r="V213" t="s">
        <v>14604</v>
      </c>
      <c r="W213" t="s">
        <v>4559</v>
      </c>
      <c r="X213" t="s">
        <v>14605</v>
      </c>
      <c r="Y213" t="s">
        <v>4727</v>
      </c>
    </row>
    <row r="214" spans="1:25">
      <c r="A214" t="s">
        <v>14606</v>
      </c>
      <c r="B214" t="s">
        <v>14606</v>
      </c>
      <c r="C214" t="s">
        <v>14611</v>
      </c>
      <c r="D214" t="s">
        <v>6392</v>
      </c>
      <c r="E214" t="s">
        <v>14482</v>
      </c>
      <c r="F214" t="s">
        <v>6796</v>
      </c>
      <c r="G214" t="str">
        <f>Config!$B$5</f>
        <v>SCH/L_ANSI.SchLib</v>
      </c>
      <c r="H214" t="s">
        <v>14635</v>
      </c>
      <c r="I214" t="s">
        <v>6535</v>
      </c>
      <c r="J214" t="s">
        <v>14634</v>
      </c>
      <c r="K214" s="46">
        <v>3.3000000000000002E-6</v>
      </c>
      <c r="L214" t="s">
        <v>14616</v>
      </c>
      <c r="U214" t="s">
        <v>6392</v>
      </c>
      <c r="V214" t="s">
        <v>14621</v>
      </c>
      <c r="W214" t="s">
        <v>4559</v>
      </c>
      <c r="X214" t="s">
        <v>14622</v>
      </c>
      <c r="Y214" t="s">
        <v>4727</v>
      </c>
    </row>
    <row r="215" spans="1:25">
      <c r="A215" t="s">
        <v>14607</v>
      </c>
      <c r="B215" t="s">
        <v>14607</v>
      </c>
      <c r="C215" t="s">
        <v>14612</v>
      </c>
      <c r="D215" t="s">
        <v>6392</v>
      </c>
      <c r="E215" t="s">
        <v>14482</v>
      </c>
      <c r="F215" t="s">
        <v>4588</v>
      </c>
      <c r="G215" t="str">
        <f>Config!$B$5</f>
        <v>SCH/L_ANSI.SchLib</v>
      </c>
      <c r="H215" t="s">
        <v>14635</v>
      </c>
      <c r="I215" t="s">
        <v>6535</v>
      </c>
      <c r="J215" t="s">
        <v>14634</v>
      </c>
      <c r="K215" s="46">
        <v>4.6999999999999999E-6</v>
      </c>
      <c r="L215" t="s">
        <v>14617</v>
      </c>
      <c r="U215" t="s">
        <v>6392</v>
      </c>
      <c r="V215" t="s">
        <v>14623</v>
      </c>
      <c r="W215" t="s">
        <v>4559</v>
      </c>
      <c r="X215" t="s">
        <v>14624</v>
      </c>
      <c r="Y215" t="s">
        <v>4727</v>
      </c>
    </row>
    <row r="216" spans="1:25">
      <c r="A216" t="s">
        <v>14608</v>
      </c>
      <c r="B216" t="s">
        <v>14608</v>
      </c>
      <c r="C216" t="s">
        <v>14613</v>
      </c>
      <c r="D216" t="s">
        <v>6392</v>
      </c>
      <c r="E216" t="s">
        <v>14482</v>
      </c>
      <c r="F216" t="s">
        <v>6927</v>
      </c>
      <c r="G216" t="str">
        <f>Config!$B$5</f>
        <v>SCH/L_ANSI.SchLib</v>
      </c>
      <c r="H216" t="s">
        <v>14635</v>
      </c>
      <c r="I216" t="s">
        <v>6535</v>
      </c>
      <c r="J216" t="s">
        <v>14634</v>
      </c>
      <c r="K216" s="46">
        <v>6.8000000000000001E-6</v>
      </c>
      <c r="L216" t="s">
        <v>14618</v>
      </c>
      <c r="U216" t="s">
        <v>6392</v>
      </c>
      <c r="V216" t="s">
        <v>14625</v>
      </c>
      <c r="W216" t="s">
        <v>4559</v>
      </c>
      <c r="X216" t="s">
        <v>14626</v>
      </c>
      <c r="Y216" t="s">
        <v>4727</v>
      </c>
    </row>
    <row r="217" spans="1:25">
      <c r="A217" t="s">
        <v>14609</v>
      </c>
      <c r="B217" t="s">
        <v>14609</v>
      </c>
      <c r="C217" t="s">
        <v>14614</v>
      </c>
      <c r="D217" t="s">
        <v>6392</v>
      </c>
      <c r="E217" t="s">
        <v>14482</v>
      </c>
      <c r="F217" t="s">
        <v>6895</v>
      </c>
      <c r="G217" t="str">
        <f>Config!$B$5</f>
        <v>SCH/L_ANSI.SchLib</v>
      </c>
      <c r="H217" t="s">
        <v>14635</v>
      </c>
      <c r="I217" t="s">
        <v>6535</v>
      </c>
      <c r="J217" t="s">
        <v>14634</v>
      </c>
      <c r="K217" s="46">
        <v>8.1999999999999994E-6</v>
      </c>
      <c r="L217" t="s">
        <v>14619</v>
      </c>
      <c r="U217" t="s">
        <v>6392</v>
      </c>
      <c r="V217" t="s">
        <v>14627</v>
      </c>
      <c r="W217" t="s">
        <v>4559</v>
      </c>
      <c r="X217" t="s">
        <v>14628</v>
      </c>
      <c r="Y217" t="s">
        <v>4727</v>
      </c>
    </row>
    <row r="218" spans="1:25">
      <c r="A218" t="s">
        <v>14479</v>
      </c>
      <c r="B218" t="s">
        <v>14479</v>
      </c>
      <c r="C218" t="s">
        <v>14483</v>
      </c>
      <c r="D218" t="s">
        <v>6392</v>
      </c>
      <c r="E218" t="s">
        <v>14482</v>
      </c>
      <c r="F218" t="s">
        <v>6778</v>
      </c>
      <c r="G218" t="str">
        <f>Config!$B$5</f>
        <v>SCH/L_ANSI.SchLib</v>
      </c>
      <c r="H218" t="s">
        <v>14635</v>
      </c>
      <c r="I218" t="s">
        <v>6535</v>
      </c>
      <c r="J218" t="s">
        <v>14634</v>
      </c>
      <c r="K218" s="46">
        <v>1.0000000000000001E-5</v>
      </c>
      <c r="L218" t="s">
        <v>14484</v>
      </c>
      <c r="U218" t="s">
        <v>6392</v>
      </c>
      <c r="V218" t="s">
        <v>14492</v>
      </c>
      <c r="W218" t="s">
        <v>4559</v>
      </c>
      <c r="X218" t="s">
        <v>14493</v>
      </c>
      <c r="Y218" t="s">
        <v>4727</v>
      </c>
    </row>
    <row r="219" spans="1:25">
      <c r="A219" t="s">
        <v>14500</v>
      </c>
      <c r="B219" t="s">
        <v>14500</v>
      </c>
      <c r="C219" t="s">
        <v>14502</v>
      </c>
      <c r="D219" t="s">
        <v>6392</v>
      </c>
      <c r="E219" t="s">
        <v>14482</v>
      </c>
      <c r="F219" t="s">
        <v>6718</v>
      </c>
      <c r="G219" t="str">
        <f>Config!$B$5</f>
        <v>SCH/L_ANSI.SchLib</v>
      </c>
      <c r="H219" t="s">
        <v>14635</v>
      </c>
      <c r="I219" t="s">
        <v>6535</v>
      </c>
      <c r="J219" t="s">
        <v>14634</v>
      </c>
      <c r="K219" s="46">
        <v>1.5E-5</v>
      </c>
      <c r="L219" t="s">
        <v>14498</v>
      </c>
      <c r="U219" t="s">
        <v>6392</v>
      </c>
      <c r="V219" t="s">
        <v>14494</v>
      </c>
      <c r="W219" t="s">
        <v>4559</v>
      </c>
      <c r="X219" t="s">
        <v>14497</v>
      </c>
      <c r="Y219" t="s">
        <v>4727</v>
      </c>
    </row>
    <row r="220" spans="1:25">
      <c r="A220" t="s">
        <v>14501</v>
      </c>
      <c r="B220" t="s">
        <v>14501</v>
      </c>
      <c r="C220" t="s">
        <v>14503</v>
      </c>
      <c r="D220" t="s">
        <v>6392</v>
      </c>
      <c r="E220" t="s">
        <v>14482</v>
      </c>
      <c r="F220" t="s">
        <v>6845</v>
      </c>
      <c r="G220" t="str">
        <f>Config!$B$5</f>
        <v>SCH/L_ANSI.SchLib</v>
      </c>
      <c r="H220" t="s">
        <v>14635</v>
      </c>
      <c r="I220" t="s">
        <v>6535</v>
      </c>
      <c r="J220" t="s">
        <v>14634</v>
      </c>
      <c r="K220" s="46">
        <v>2.1999999999999999E-5</v>
      </c>
      <c r="L220" t="s">
        <v>14499</v>
      </c>
      <c r="U220" t="s">
        <v>6392</v>
      </c>
      <c r="V220" t="s">
        <v>14495</v>
      </c>
      <c r="W220" t="s">
        <v>4559</v>
      </c>
      <c r="X220" t="s">
        <v>14496</v>
      </c>
      <c r="Y220" t="s">
        <v>4727</v>
      </c>
    </row>
    <row r="221" spans="1:25">
      <c r="A221" t="s">
        <v>14610</v>
      </c>
      <c r="B221" t="s">
        <v>14610</v>
      </c>
      <c r="C221" t="s">
        <v>14615</v>
      </c>
      <c r="D221" t="s">
        <v>6392</v>
      </c>
      <c r="E221" t="s">
        <v>14482</v>
      </c>
      <c r="F221" t="s">
        <v>6846</v>
      </c>
      <c r="G221" t="str">
        <f>Config!$B$5</f>
        <v>SCH/L_ANSI.SchLib</v>
      </c>
      <c r="H221" t="s">
        <v>14635</v>
      </c>
      <c r="I221" t="s">
        <v>6535</v>
      </c>
      <c r="J221" t="s">
        <v>14634</v>
      </c>
      <c r="K221" s="46">
        <v>3.3000000000000003E-5</v>
      </c>
      <c r="L221" t="s">
        <v>14620</v>
      </c>
      <c r="U221" t="s">
        <v>6392</v>
      </c>
      <c r="V221" t="s">
        <v>14629</v>
      </c>
      <c r="W221" t="s">
        <v>4559</v>
      </c>
      <c r="X221" t="s">
        <v>14630</v>
      </c>
      <c r="Y221" t="s">
        <v>4727</v>
      </c>
    </row>
    <row r="222" spans="1:25">
      <c r="A222" t="s">
        <v>14726</v>
      </c>
      <c r="B222" t="s">
        <v>14726</v>
      </c>
      <c r="C222" t="s">
        <v>14735</v>
      </c>
      <c r="D222" t="s">
        <v>14720</v>
      </c>
      <c r="E222" t="s">
        <v>14816</v>
      </c>
      <c r="G222" t="str">
        <f>Config!$B$5</f>
        <v>SCH/L_ANSI.SchLib</v>
      </c>
      <c r="H222" t="s">
        <v>14803</v>
      </c>
      <c r="I222" t="s">
        <v>6535</v>
      </c>
      <c r="J222" t="s">
        <v>14756</v>
      </c>
      <c r="L222" t="s">
        <v>14727</v>
      </c>
      <c r="M222" t="s">
        <v>6223</v>
      </c>
      <c r="N222">
        <v>760390013</v>
      </c>
      <c r="O222" t="s">
        <v>25</v>
      </c>
      <c r="P222" t="s">
        <v>14728</v>
      </c>
      <c r="Q222" t="s">
        <v>14723</v>
      </c>
      <c r="R222">
        <v>760390013</v>
      </c>
      <c r="S222" t="s">
        <v>4349</v>
      </c>
      <c r="T222" t="s">
        <v>14739</v>
      </c>
    </row>
    <row r="223" spans="1:25">
      <c r="A223" t="s">
        <v>14729</v>
      </c>
      <c r="B223" t="s">
        <v>14729</v>
      </c>
      <c r="C223" t="s">
        <v>14736</v>
      </c>
      <c r="D223" t="s">
        <v>14720</v>
      </c>
      <c r="E223" t="s">
        <v>14816</v>
      </c>
      <c r="G223" t="str">
        <f>Config!$B$5</f>
        <v>SCH/L_ANSI.SchLib</v>
      </c>
      <c r="H223" t="s">
        <v>14803</v>
      </c>
      <c r="I223" t="s">
        <v>6535</v>
      </c>
      <c r="J223" t="s">
        <v>14756</v>
      </c>
      <c r="L223" t="s">
        <v>14730</v>
      </c>
      <c r="M223" t="s">
        <v>6223</v>
      </c>
      <c r="N223">
        <v>760390015</v>
      </c>
      <c r="O223" t="s">
        <v>25</v>
      </c>
      <c r="P223" t="s">
        <v>14731</v>
      </c>
      <c r="Q223" t="s">
        <v>14723</v>
      </c>
      <c r="R223">
        <v>760390015</v>
      </c>
      <c r="S223" t="s">
        <v>4349</v>
      </c>
      <c r="T223" t="s">
        <v>14732</v>
      </c>
    </row>
    <row r="224" spans="1:25">
      <c r="A224" t="s">
        <v>14733</v>
      </c>
      <c r="B224" t="s">
        <v>14733</v>
      </c>
      <c r="C224" t="s">
        <v>14737</v>
      </c>
      <c r="D224" t="s">
        <v>14720</v>
      </c>
      <c r="E224" t="s">
        <v>14816</v>
      </c>
      <c r="G224" t="str">
        <f>Config!$B$5</f>
        <v>SCH/L_ANSI.SchLib</v>
      </c>
      <c r="H224" t="s">
        <v>14803</v>
      </c>
      <c r="I224" t="s">
        <v>6535</v>
      </c>
      <c r="J224" t="s">
        <v>14756</v>
      </c>
      <c r="L224" t="s">
        <v>14734</v>
      </c>
      <c r="M224" t="s">
        <v>6223</v>
      </c>
      <c r="N224">
        <v>750315225</v>
      </c>
      <c r="O224" t="s">
        <v>25</v>
      </c>
      <c r="P224" t="s">
        <v>14738</v>
      </c>
      <c r="Q224" t="s">
        <v>14723</v>
      </c>
      <c r="R224">
        <v>750315225</v>
      </c>
      <c r="S224" t="s">
        <v>4349</v>
      </c>
      <c r="T224" t="s">
        <v>14740</v>
      </c>
    </row>
    <row r="225" spans="1:25">
      <c r="A225" t="s">
        <v>14741</v>
      </c>
      <c r="B225" t="s">
        <v>14741</v>
      </c>
      <c r="C225" t="s">
        <v>14742</v>
      </c>
      <c r="D225" t="s">
        <v>14720</v>
      </c>
      <c r="E225" t="s">
        <v>14816</v>
      </c>
      <c r="G225" t="str">
        <f>Config!$B$5</f>
        <v>SCH/L_ANSI.SchLib</v>
      </c>
      <c r="H225" t="s">
        <v>14803</v>
      </c>
      <c r="I225" t="s">
        <v>6535</v>
      </c>
      <c r="J225" t="s">
        <v>14756</v>
      </c>
      <c r="L225" t="s">
        <v>14743</v>
      </c>
      <c r="M225" t="s">
        <v>6223</v>
      </c>
      <c r="N225">
        <v>750315227</v>
      </c>
      <c r="O225" t="s">
        <v>25</v>
      </c>
      <c r="P225" t="s">
        <v>14744</v>
      </c>
      <c r="Q225" t="s">
        <v>14723</v>
      </c>
      <c r="R225">
        <v>750315227</v>
      </c>
      <c r="S225" t="s">
        <v>4349</v>
      </c>
      <c r="T225" t="s">
        <v>14745</v>
      </c>
    </row>
    <row r="226" spans="1:25">
      <c r="A226" t="s">
        <v>14746</v>
      </c>
      <c r="B226" t="s">
        <v>14746</v>
      </c>
      <c r="C226" t="s">
        <v>14747</v>
      </c>
      <c r="D226" t="s">
        <v>14720</v>
      </c>
      <c r="E226" t="s">
        <v>14816</v>
      </c>
      <c r="G226" t="str">
        <f>Config!$B$5</f>
        <v>SCH/L_ANSI.SchLib</v>
      </c>
      <c r="H226" t="s">
        <v>14803</v>
      </c>
      <c r="I226" t="s">
        <v>6535</v>
      </c>
      <c r="J226" t="s">
        <v>14756</v>
      </c>
      <c r="L226" t="s">
        <v>14748</v>
      </c>
      <c r="M226" t="s">
        <v>6223</v>
      </c>
      <c r="N226">
        <v>750315226</v>
      </c>
      <c r="O226" t="s">
        <v>25</v>
      </c>
      <c r="P226" t="s">
        <v>14749</v>
      </c>
      <c r="Q226" t="s">
        <v>14723</v>
      </c>
      <c r="R226">
        <v>750315226</v>
      </c>
      <c r="S226" t="s">
        <v>4349</v>
      </c>
      <c r="T226" t="s">
        <v>14750</v>
      </c>
    </row>
    <row r="227" spans="1:25">
      <c r="A227" t="s">
        <v>14751</v>
      </c>
      <c r="B227" t="s">
        <v>14751</v>
      </c>
      <c r="C227" t="s">
        <v>14752</v>
      </c>
      <c r="D227" t="s">
        <v>14720</v>
      </c>
      <c r="E227" t="s">
        <v>14816</v>
      </c>
      <c r="G227" t="str">
        <f>Config!$B$5</f>
        <v>SCH/L_ANSI.SchLib</v>
      </c>
      <c r="H227" t="s">
        <v>14803</v>
      </c>
      <c r="I227" t="s">
        <v>6535</v>
      </c>
      <c r="J227" t="s">
        <v>14756</v>
      </c>
      <c r="L227" t="s">
        <v>14753</v>
      </c>
      <c r="M227" t="s">
        <v>6223</v>
      </c>
      <c r="N227">
        <v>750315228</v>
      </c>
      <c r="O227" t="s">
        <v>25</v>
      </c>
      <c r="P227" t="s">
        <v>14754</v>
      </c>
      <c r="Q227" t="s">
        <v>14723</v>
      </c>
      <c r="R227">
        <v>750315228</v>
      </c>
      <c r="S227" t="s">
        <v>4349</v>
      </c>
      <c r="T227" t="s">
        <v>14755</v>
      </c>
    </row>
    <row r="228" spans="1:25">
      <c r="A228" t="s">
        <v>14758</v>
      </c>
      <c r="B228" t="s">
        <v>14758</v>
      </c>
      <c r="C228" t="s">
        <v>14759</v>
      </c>
      <c r="D228" t="s">
        <v>14720</v>
      </c>
      <c r="E228" t="s">
        <v>14816</v>
      </c>
      <c r="G228" t="str">
        <f>Config!$B$5</f>
        <v>SCH/L_ANSI.SchLib</v>
      </c>
      <c r="H228" t="s">
        <v>14803</v>
      </c>
      <c r="I228" t="s">
        <v>6535</v>
      </c>
      <c r="J228" t="s">
        <v>14756</v>
      </c>
      <c r="L228" t="s">
        <v>14760</v>
      </c>
      <c r="M228" t="s">
        <v>6223</v>
      </c>
      <c r="N228">
        <v>760390012</v>
      </c>
      <c r="O228" t="s">
        <v>25</v>
      </c>
      <c r="P228" t="s">
        <v>14761</v>
      </c>
      <c r="Q228" t="s">
        <v>14723</v>
      </c>
      <c r="R228">
        <v>760390012</v>
      </c>
      <c r="S228" t="s">
        <v>4349</v>
      </c>
      <c r="T228" t="s">
        <v>14762</v>
      </c>
    </row>
    <row r="229" spans="1:25">
      <c r="A229" t="s">
        <v>14768</v>
      </c>
      <c r="B229" t="s">
        <v>14768</v>
      </c>
      <c r="C229" t="s">
        <v>14763</v>
      </c>
      <c r="D229" t="s">
        <v>14720</v>
      </c>
      <c r="E229" t="s">
        <v>14816</v>
      </c>
      <c r="G229" t="str">
        <f>Config!$B$5</f>
        <v>SCH/L_ANSI.SchLib</v>
      </c>
      <c r="H229" t="s">
        <v>14803</v>
      </c>
      <c r="I229" t="s">
        <v>6535</v>
      </c>
      <c r="J229" t="s">
        <v>14756</v>
      </c>
      <c r="L229" t="s">
        <v>14764</v>
      </c>
      <c r="M229" t="s">
        <v>6223</v>
      </c>
      <c r="N229">
        <v>760390014</v>
      </c>
      <c r="O229" t="s">
        <v>25</v>
      </c>
      <c r="P229" t="s">
        <v>14765</v>
      </c>
      <c r="Q229" t="s">
        <v>14723</v>
      </c>
      <c r="R229">
        <v>760390014</v>
      </c>
      <c r="S229" t="s">
        <v>4349</v>
      </c>
      <c r="T229" t="s">
        <v>14766</v>
      </c>
    </row>
    <row r="230" spans="1:25">
      <c r="A230" t="s">
        <v>14767</v>
      </c>
      <c r="B230" t="s">
        <v>14767</v>
      </c>
      <c r="C230" t="s">
        <v>14769</v>
      </c>
      <c r="D230" t="s">
        <v>14720</v>
      </c>
      <c r="E230" t="s">
        <v>14816</v>
      </c>
      <c r="G230" t="str">
        <f>Config!$B$5</f>
        <v>SCH/L_ANSI.SchLib</v>
      </c>
      <c r="H230" t="s">
        <v>14803</v>
      </c>
      <c r="I230" t="s">
        <v>6535</v>
      </c>
      <c r="J230" t="s">
        <v>14756</v>
      </c>
      <c r="L230" t="s">
        <v>14770</v>
      </c>
      <c r="M230" t="s">
        <v>6223</v>
      </c>
      <c r="N230">
        <v>750313710</v>
      </c>
      <c r="O230" t="s">
        <v>25</v>
      </c>
      <c r="P230" t="s">
        <v>14771</v>
      </c>
      <c r="Q230" t="s">
        <v>14723</v>
      </c>
      <c r="R230">
        <v>750313710</v>
      </c>
      <c r="S230" t="s">
        <v>4349</v>
      </c>
      <c r="T230" t="s">
        <v>14772</v>
      </c>
    </row>
    <row r="231" spans="1:25">
      <c r="A231" t="s">
        <v>14773</v>
      </c>
      <c r="B231" t="s">
        <v>14773</v>
      </c>
      <c r="C231" t="s">
        <v>14774</v>
      </c>
      <c r="D231" t="s">
        <v>14720</v>
      </c>
      <c r="E231" t="s">
        <v>14816</v>
      </c>
      <c r="G231" t="str">
        <f>Config!$B$5</f>
        <v>SCH/L_ANSI.SchLib</v>
      </c>
      <c r="H231" t="s">
        <v>14803</v>
      </c>
      <c r="I231" t="s">
        <v>6535</v>
      </c>
      <c r="J231" t="s">
        <v>14756</v>
      </c>
      <c r="L231" t="s">
        <v>14775</v>
      </c>
      <c r="M231" t="s">
        <v>6223</v>
      </c>
      <c r="N231">
        <v>750316769</v>
      </c>
      <c r="O231" t="s">
        <v>25</v>
      </c>
      <c r="P231" t="s">
        <v>14776</v>
      </c>
      <c r="Q231" t="s">
        <v>14723</v>
      </c>
      <c r="R231">
        <v>750316769</v>
      </c>
      <c r="S231" t="s">
        <v>4349</v>
      </c>
      <c r="T231" t="s">
        <v>14777</v>
      </c>
    </row>
    <row r="232" spans="1:25">
      <c r="A232" t="s">
        <v>14778</v>
      </c>
      <c r="B232" t="s">
        <v>14778</v>
      </c>
      <c r="C232" t="s">
        <v>14779</v>
      </c>
      <c r="D232" t="s">
        <v>14720</v>
      </c>
      <c r="E232" t="s">
        <v>14816</v>
      </c>
      <c r="G232" t="str">
        <f>Config!$B$5</f>
        <v>SCH/L_ANSI.SchLib</v>
      </c>
      <c r="H232" t="s">
        <v>14803</v>
      </c>
      <c r="I232" t="s">
        <v>6535</v>
      </c>
      <c r="J232" t="s">
        <v>14756</v>
      </c>
      <c r="L232" t="s">
        <v>14780</v>
      </c>
      <c r="M232" t="s">
        <v>6223</v>
      </c>
      <c r="N232">
        <v>750316770</v>
      </c>
      <c r="O232" t="s">
        <v>25</v>
      </c>
      <c r="P232" t="s">
        <v>14781</v>
      </c>
      <c r="Q232" t="s">
        <v>14723</v>
      </c>
      <c r="R232">
        <v>750316770</v>
      </c>
      <c r="S232" t="s">
        <v>4349</v>
      </c>
      <c r="T232" t="s">
        <v>14782</v>
      </c>
    </row>
    <row r="233" spans="1:25">
      <c r="A233" t="s">
        <v>14783</v>
      </c>
      <c r="B233" t="s">
        <v>14783</v>
      </c>
      <c r="C233" t="s">
        <v>14784</v>
      </c>
      <c r="D233" t="s">
        <v>14720</v>
      </c>
      <c r="E233" t="s">
        <v>14816</v>
      </c>
      <c r="G233" t="str">
        <f>Config!$B$5</f>
        <v>SCH/L_ANSI.SchLib</v>
      </c>
      <c r="H233" t="s">
        <v>14803</v>
      </c>
      <c r="I233" t="s">
        <v>6535</v>
      </c>
      <c r="J233" t="s">
        <v>14756</v>
      </c>
      <c r="L233" t="s">
        <v>14785</v>
      </c>
      <c r="M233" t="s">
        <v>6223</v>
      </c>
      <c r="N233">
        <v>750317722</v>
      </c>
      <c r="O233" t="s">
        <v>25</v>
      </c>
      <c r="P233" t="s">
        <v>14786</v>
      </c>
      <c r="Q233" t="s">
        <v>14723</v>
      </c>
      <c r="R233">
        <v>750317722</v>
      </c>
      <c r="S233" t="s">
        <v>4349</v>
      </c>
      <c r="T233" t="s">
        <v>14787</v>
      </c>
    </row>
    <row r="234" spans="1:25">
      <c r="A234" t="s">
        <v>14719</v>
      </c>
      <c r="B234" t="s">
        <v>14719</v>
      </c>
      <c r="C234" t="s">
        <v>14725</v>
      </c>
      <c r="D234" t="s">
        <v>14720</v>
      </c>
      <c r="E234" t="s">
        <v>14816</v>
      </c>
      <c r="G234" t="str">
        <f>Config!$B$5</f>
        <v>SCH/L_ANSI.SchLib</v>
      </c>
      <c r="H234" t="s">
        <v>14803</v>
      </c>
      <c r="I234" t="s">
        <v>6535</v>
      </c>
      <c r="J234" t="s">
        <v>14757</v>
      </c>
      <c r="L234" t="s">
        <v>14721</v>
      </c>
      <c r="M234" t="s">
        <v>6223</v>
      </c>
      <c r="N234">
        <v>750317829</v>
      </c>
      <c r="O234" t="s">
        <v>25</v>
      </c>
      <c r="P234" t="s">
        <v>14722</v>
      </c>
      <c r="Q234" t="s">
        <v>14723</v>
      </c>
      <c r="R234">
        <v>750317829</v>
      </c>
      <c r="S234" t="s">
        <v>4349</v>
      </c>
      <c r="T234" t="s">
        <v>14724</v>
      </c>
    </row>
    <row r="235" spans="1:25">
      <c r="A235" t="s">
        <v>14788</v>
      </c>
      <c r="B235" t="s">
        <v>14788</v>
      </c>
      <c r="C235" t="s">
        <v>14789</v>
      </c>
      <c r="D235" t="s">
        <v>14720</v>
      </c>
      <c r="E235" t="s">
        <v>14816</v>
      </c>
      <c r="G235" t="str">
        <f>Config!$B$5</f>
        <v>SCH/L_ANSI.SchLib</v>
      </c>
      <c r="H235" t="s">
        <v>14803</v>
      </c>
      <c r="I235" t="s">
        <v>6535</v>
      </c>
      <c r="J235" t="s">
        <v>14757</v>
      </c>
      <c r="L235" t="s">
        <v>14790</v>
      </c>
      <c r="M235" t="s">
        <v>6223</v>
      </c>
      <c r="N235">
        <v>750317830</v>
      </c>
      <c r="O235" t="s">
        <v>25</v>
      </c>
      <c r="P235" t="s">
        <v>14791</v>
      </c>
      <c r="Q235" t="s">
        <v>14723</v>
      </c>
      <c r="R235">
        <v>750317830</v>
      </c>
      <c r="S235" t="s">
        <v>4349</v>
      </c>
      <c r="T235" t="s">
        <v>14792</v>
      </c>
    </row>
    <row r="236" spans="1:25">
      <c r="A236" t="s">
        <v>14793</v>
      </c>
      <c r="B236" t="s">
        <v>14793</v>
      </c>
      <c r="C236" t="s">
        <v>14794</v>
      </c>
      <c r="D236" t="s">
        <v>14720</v>
      </c>
      <c r="E236" t="s">
        <v>14816</v>
      </c>
      <c r="G236" t="str">
        <f>Config!$B$5</f>
        <v>SCH/L_ANSI.SchLib</v>
      </c>
      <c r="H236" t="s">
        <v>14803</v>
      </c>
      <c r="I236" t="s">
        <v>6535</v>
      </c>
      <c r="J236" t="s">
        <v>14757</v>
      </c>
      <c r="L236" t="s">
        <v>14795</v>
      </c>
      <c r="M236" t="s">
        <v>6223</v>
      </c>
      <c r="N236">
        <v>750317331</v>
      </c>
      <c r="O236" t="s">
        <v>25</v>
      </c>
      <c r="P236" t="s">
        <v>14796</v>
      </c>
      <c r="Q236" t="s">
        <v>14723</v>
      </c>
      <c r="R236">
        <v>750317331</v>
      </c>
      <c r="S236" t="s">
        <v>4349</v>
      </c>
      <c r="T236" t="s">
        <v>14797</v>
      </c>
    </row>
    <row r="237" spans="1:25">
      <c r="A237" t="s">
        <v>14798</v>
      </c>
      <c r="B237" t="s">
        <v>14798</v>
      </c>
      <c r="C237" t="s">
        <v>14799</v>
      </c>
      <c r="D237" t="s">
        <v>14720</v>
      </c>
      <c r="E237" t="s">
        <v>14816</v>
      </c>
      <c r="G237" t="str">
        <f>Config!$B$5</f>
        <v>SCH/L_ANSI.SchLib</v>
      </c>
      <c r="H237" t="s">
        <v>14803</v>
      </c>
      <c r="I237" t="s">
        <v>6535</v>
      </c>
      <c r="J237" t="s">
        <v>14757</v>
      </c>
      <c r="L237" t="s">
        <v>14800</v>
      </c>
      <c r="M237" t="s">
        <v>6223</v>
      </c>
      <c r="N237">
        <v>750317828</v>
      </c>
      <c r="O237" t="s">
        <v>25</v>
      </c>
      <c r="P237" t="s">
        <v>14801</v>
      </c>
      <c r="Q237" t="s">
        <v>14723</v>
      </c>
      <c r="R237">
        <v>750317828</v>
      </c>
      <c r="S237" t="s">
        <v>4349</v>
      </c>
      <c r="T237" t="s">
        <v>14802</v>
      </c>
    </row>
    <row r="238" spans="1:25">
      <c r="A238" t="s">
        <v>16728</v>
      </c>
      <c r="B238" t="s">
        <v>16728</v>
      </c>
      <c r="C238" t="s">
        <v>16729</v>
      </c>
      <c r="D238" t="s">
        <v>14806</v>
      </c>
      <c r="E238" t="s">
        <v>14805</v>
      </c>
      <c r="G238" t="str">
        <f>Config!$B$5</f>
        <v>SCH/L_ANSI.SchLib</v>
      </c>
      <c r="H238" t="s">
        <v>14808</v>
      </c>
      <c r="I238" t="s">
        <v>6535</v>
      </c>
      <c r="J238" t="s">
        <v>14815</v>
      </c>
      <c r="L238" t="s">
        <v>14814</v>
      </c>
      <c r="U238" t="s">
        <v>14806</v>
      </c>
      <c r="V238" t="s">
        <v>14809</v>
      </c>
      <c r="W238" t="s">
        <v>4559</v>
      </c>
      <c r="X238" t="s">
        <v>14810</v>
      </c>
      <c r="Y238" t="s">
        <v>4727</v>
      </c>
    </row>
    <row r="239" spans="1:25">
      <c r="A239" t="s">
        <v>14804</v>
      </c>
      <c r="B239" t="s">
        <v>14804</v>
      </c>
      <c r="C239" t="s">
        <v>14807</v>
      </c>
      <c r="D239" t="s">
        <v>14806</v>
      </c>
      <c r="E239" t="s">
        <v>14805</v>
      </c>
      <c r="G239" t="str">
        <f>Config!$B$5</f>
        <v>SCH/L_ANSI.SchLib</v>
      </c>
      <c r="H239" t="s">
        <v>14808</v>
      </c>
      <c r="I239" t="s">
        <v>6535</v>
      </c>
      <c r="J239" t="s">
        <v>14815</v>
      </c>
      <c r="L239" t="s">
        <v>14813</v>
      </c>
      <c r="U239" t="s">
        <v>14806</v>
      </c>
      <c r="V239" t="s">
        <v>14811</v>
      </c>
      <c r="W239" t="s">
        <v>4559</v>
      </c>
      <c r="X239" t="s">
        <v>14812</v>
      </c>
      <c r="Y239" t="s">
        <v>4727</v>
      </c>
    </row>
    <row r="240" spans="1:25">
      <c r="A240" t="s">
        <v>18355</v>
      </c>
      <c r="B240" t="s">
        <v>18355</v>
      </c>
      <c r="C240" t="s">
        <v>18373</v>
      </c>
      <c r="D240" t="s">
        <v>13272</v>
      </c>
      <c r="E240">
        <v>2518</v>
      </c>
      <c r="F240" t="s">
        <v>18397</v>
      </c>
      <c r="G240" t="str">
        <f>Config!$B$5</f>
        <v>SCH/L_ANSI.SchLib</v>
      </c>
      <c r="H240" t="s">
        <v>424</v>
      </c>
      <c r="I240" t="s">
        <v>461</v>
      </c>
      <c r="J240" t="s">
        <v>18415</v>
      </c>
      <c r="K240" s="46">
        <v>1E-3</v>
      </c>
      <c r="L240" t="s">
        <v>18330</v>
      </c>
      <c r="M240" t="s">
        <v>13272</v>
      </c>
      <c r="N240" t="s">
        <v>18281</v>
      </c>
      <c r="O240" t="s">
        <v>25</v>
      </c>
      <c r="P240" t="s">
        <v>18305</v>
      </c>
    </row>
    <row r="241" spans="1:16">
      <c r="A241" t="s">
        <v>18356</v>
      </c>
      <c r="B241" t="s">
        <v>18356</v>
      </c>
      <c r="C241" t="s">
        <v>18374</v>
      </c>
      <c r="D241" t="s">
        <v>13272</v>
      </c>
      <c r="E241">
        <v>2518</v>
      </c>
      <c r="F241" t="s">
        <v>18398</v>
      </c>
      <c r="G241" t="str">
        <f>Config!$B$5</f>
        <v>SCH/L_ANSI.SchLib</v>
      </c>
      <c r="H241" t="s">
        <v>424</v>
      </c>
      <c r="I241" t="s">
        <v>461</v>
      </c>
      <c r="J241" t="s">
        <v>18415</v>
      </c>
      <c r="K241" s="46">
        <v>6.8000000000000005E-4</v>
      </c>
      <c r="L241" t="s">
        <v>18331</v>
      </c>
      <c r="M241" t="s">
        <v>13272</v>
      </c>
      <c r="N241" t="s">
        <v>18282</v>
      </c>
      <c r="O241" t="s">
        <v>25</v>
      </c>
      <c r="P241" t="s">
        <v>18306</v>
      </c>
    </row>
    <row r="242" spans="1:16">
      <c r="A242" t="s">
        <v>18356</v>
      </c>
      <c r="B242" t="s">
        <v>18356</v>
      </c>
      <c r="C242" t="s">
        <v>18375</v>
      </c>
      <c r="D242" t="s">
        <v>13272</v>
      </c>
      <c r="E242">
        <v>2518</v>
      </c>
      <c r="F242" t="s">
        <v>18398</v>
      </c>
      <c r="G242" t="str">
        <f>Config!$B$5</f>
        <v>SCH/L_ANSI.SchLib</v>
      </c>
      <c r="H242" t="s">
        <v>424</v>
      </c>
      <c r="I242" t="s">
        <v>461</v>
      </c>
      <c r="J242" t="s">
        <v>18415</v>
      </c>
      <c r="K242" s="46">
        <v>6.8000000000000005E-4</v>
      </c>
      <c r="L242" t="s">
        <v>18332</v>
      </c>
      <c r="M242" t="s">
        <v>13272</v>
      </c>
      <c r="N242" t="s">
        <v>18283</v>
      </c>
      <c r="O242" t="s">
        <v>25</v>
      </c>
      <c r="P242" t="s">
        <v>18307</v>
      </c>
    </row>
    <row r="243" spans="1:16">
      <c r="A243" t="s">
        <v>18357</v>
      </c>
      <c r="B243" t="s">
        <v>18357</v>
      </c>
      <c r="C243" t="s">
        <v>18376</v>
      </c>
      <c r="D243" t="s">
        <v>13272</v>
      </c>
      <c r="E243">
        <v>2518</v>
      </c>
      <c r="F243" t="s">
        <v>18399</v>
      </c>
      <c r="G243" t="str">
        <f>Config!$B$5</f>
        <v>SCH/L_ANSI.SchLib</v>
      </c>
      <c r="H243" t="s">
        <v>424</v>
      </c>
      <c r="I243" t="s">
        <v>461</v>
      </c>
      <c r="J243" t="s">
        <v>18415</v>
      </c>
      <c r="K243" s="46">
        <v>4.6999999999999999E-4</v>
      </c>
      <c r="L243" t="s">
        <v>18333</v>
      </c>
      <c r="M243" t="s">
        <v>13272</v>
      </c>
      <c r="N243" t="s">
        <v>18284</v>
      </c>
      <c r="O243" t="s">
        <v>25</v>
      </c>
      <c r="P243" t="s">
        <v>18308</v>
      </c>
    </row>
    <row r="244" spans="1:16">
      <c r="A244" t="s">
        <v>18358</v>
      </c>
      <c r="B244" t="s">
        <v>18358</v>
      </c>
      <c r="C244" t="s">
        <v>18377</v>
      </c>
      <c r="D244" t="s">
        <v>13272</v>
      </c>
      <c r="E244">
        <v>2518</v>
      </c>
      <c r="F244" t="s">
        <v>18400</v>
      </c>
      <c r="G244" t="str">
        <f>Config!$B$5</f>
        <v>SCH/L_ANSI.SchLib</v>
      </c>
      <c r="H244" t="s">
        <v>424</v>
      </c>
      <c r="I244" t="s">
        <v>461</v>
      </c>
      <c r="J244" t="s">
        <v>18415</v>
      </c>
      <c r="K244" s="46">
        <v>3.3E-4</v>
      </c>
      <c r="L244" t="s">
        <v>18334</v>
      </c>
      <c r="M244" t="s">
        <v>13272</v>
      </c>
      <c r="N244" t="s">
        <v>18285</v>
      </c>
      <c r="O244" t="s">
        <v>25</v>
      </c>
      <c r="P244" t="s">
        <v>18309</v>
      </c>
    </row>
    <row r="245" spans="1:16">
      <c r="A245" t="s">
        <v>18359</v>
      </c>
      <c r="B245" t="s">
        <v>18359</v>
      </c>
      <c r="C245" t="s">
        <v>18378</v>
      </c>
      <c r="D245" t="s">
        <v>13272</v>
      </c>
      <c r="E245">
        <v>2518</v>
      </c>
      <c r="F245" t="s">
        <v>18401</v>
      </c>
      <c r="G245" t="str">
        <f>Config!$B$5</f>
        <v>SCH/L_ANSI.SchLib</v>
      </c>
      <c r="H245" t="s">
        <v>424</v>
      </c>
      <c r="I245" t="s">
        <v>461</v>
      </c>
      <c r="J245" t="s">
        <v>18415</v>
      </c>
      <c r="K245" s="46">
        <v>2.2000000000000001E-4</v>
      </c>
      <c r="L245" t="s">
        <v>18335</v>
      </c>
      <c r="M245" t="s">
        <v>13272</v>
      </c>
      <c r="N245" t="s">
        <v>18286</v>
      </c>
      <c r="O245" t="s">
        <v>25</v>
      </c>
      <c r="P245" t="s">
        <v>18310</v>
      </c>
    </row>
    <row r="246" spans="1:16">
      <c r="A246" t="s">
        <v>18359</v>
      </c>
      <c r="B246" t="s">
        <v>18359</v>
      </c>
      <c r="C246" t="s">
        <v>18379</v>
      </c>
      <c r="D246" t="s">
        <v>13272</v>
      </c>
      <c r="E246">
        <v>2518</v>
      </c>
      <c r="F246" t="s">
        <v>18401</v>
      </c>
      <c r="G246" t="str">
        <f>Config!$B$5</f>
        <v>SCH/L_ANSI.SchLib</v>
      </c>
      <c r="H246" t="s">
        <v>424</v>
      </c>
      <c r="I246" t="s">
        <v>461</v>
      </c>
      <c r="J246" t="s">
        <v>18415</v>
      </c>
      <c r="K246" s="46">
        <v>2.2000000000000001E-4</v>
      </c>
      <c r="L246" t="s">
        <v>18336</v>
      </c>
      <c r="M246" t="s">
        <v>13272</v>
      </c>
      <c r="N246" t="s">
        <v>18287</v>
      </c>
      <c r="O246" t="s">
        <v>25</v>
      </c>
      <c r="P246" t="s">
        <v>18311</v>
      </c>
    </row>
    <row r="247" spans="1:16">
      <c r="A247" t="s">
        <v>18360</v>
      </c>
      <c r="B247" t="s">
        <v>18360</v>
      </c>
      <c r="C247" t="s">
        <v>18380</v>
      </c>
      <c r="D247" t="s">
        <v>13272</v>
      </c>
      <c r="E247">
        <v>2518</v>
      </c>
      <c r="F247" t="s">
        <v>18402</v>
      </c>
      <c r="G247" t="str">
        <f>Config!$B$5</f>
        <v>SCH/L_ANSI.SchLib</v>
      </c>
      <c r="H247" t="s">
        <v>424</v>
      </c>
      <c r="I247" t="s">
        <v>461</v>
      </c>
      <c r="J247" t="s">
        <v>18415</v>
      </c>
      <c r="K247" s="46">
        <v>1.4999999999999999E-4</v>
      </c>
      <c r="L247" t="s">
        <v>18337</v>
      </c>
      <c r="M247" t="s">
        <v>13272</v>
      </c>
      <c r="N247" t="s">
        <v>18288</v>
      </c>
      <c r="O247" t="s">
        <v>25</v>
      </c>
      <c r="P247" t="s">
        <v>18312</v>
      </c>
    </row>
    <row r="248" spans="1:16">
      <c r="A248" t="s">
        <v>18361</v>
      </c>
      <c r="B248" t="s">
        <v>18361</v>
      </c>
      <c r="C248" t="s">
        <v>18381</v>
      </c>
      <c r="D248" t="s">
        <v>13272</v>
      </c>
      <c r="E248">
        <v>2518</v>
      </c>
      <c r="F248" t="s">
        <v>18403</v>
      </c>
      <c r="G248" t="str">
        <f>Config!$B$5</f>
        <v>SCH/L_ANSI.SchLib</v>
      </c>
      <c r="H248" t="s">
        <v>424</v>
      </c>
      <c r="I248" t="s">
        <v>461</v>
      </c>
      <c r="J248" t="s">
        <v>18415</v>
      </c>
      <c r="K248" s="46">
        <v>1E-4</v>
      </c>
      <c r="L248" t="s">
        <v>18338</v>
      </c>
      <c r="M248" t="s">
        <v>13272</v>
      </c>
      <c r="N248" t="s">
        <v>18289</v>
      </c>
      <c r="O248" t="s">
        <v>25</v>
      </c>
      <c r="P248" t="s">
        <v>18313</v>
      </c>
    </row>
    <row r="249" spans="1:16">
      <c r="A249" t="s">
        <v>18362</v>
      </c>
      <c r="B249" t="s">
        <v>18362</v>
      </c>
      <c r="C249" t="s">
        <v>18382</v>
      </c>
      <c r="D249" t="s">
        <v>13272</v>
      </c>
      <c r="E249">
        <v>2518</v>
      </c>
      <c r="F249" t="s">
        <v>18404</v>
      </c>
      <c r="G249" t="str">
        <f>Config!$B$5</f>
        <v>SCH/L_ANSI.SchLib</v>
      </c>
      <c r="H249" t="s">
        <v>424</v>
      </c>
      <c r="I249" t="s">
        <v>461</v>
      </c>
      <c r="J249" t="s">
        <v>18415</v>
      </c>
      <c r="K249" s="46">
        <v>6.7999999999999999E-5</v>
      </c>
      <c r="L249" t="s">
        <v>18339</v>
      </c>
      <c r="M249" t="s">
        <v>13272</v>
      </c>
      <c r="N249" t="s">
        <v>18290</v>
      </c>
      <c r="O249" t="s">
        <v>25</v>
      </c>
      <c r="P249" t="s">
        <v>18314</v>
      </c>
    </row>
    <row r="250" spans="1:16">
      <c r="A250" t="s">
        <v>18363</v>
      </c>
      <c r="B250" t="s">
        <v>18363</v>
      </c>
      <c r="C250" t="s">
        <v>18383</v>
      </c>
      <c r="D250" t="s">
        <v>13272</v>
      </c>
      <c r="E250">
        <v>2518</v>
      </c>
      <c r="F250" t="s">
        <v>18405</v>
      </c>
      <c r="G250" t="str">
        <f>Config!$B$5</f>
        <v>SCH/L_ANSI.SchLib</v>
      </c>
      <c r="H250" t="s">
        <v>424</v>
      </c>
      <c r="I250" t="s">
        <v>461</v>
      </c>
      <c r="J250" t="s">
        <v>18415</v>
      </c>
      <c r="K250" s="46">
        <v>4.6999999999999997E-5</v>
      </c>
      <c r="L250" t="s">
        <v>18340</v>
      </c>
      <c r="M250" t="s">
        <v>13272</v>
      </c>
      <c r="N250" t="s">
        <v>18291</v>
      </c>
      <c r="O250" t="s">
        <v>25</v>
      </c>
      <c r="P250" t="s">
        <v>18315</v>
      </c>
    </row>
    <row r="251" spans="1:16">
      <c r="A251" t="s">
        <v>18364</v>
      </c>
      <c r="B251" t="s">
        <v>18364</v>
      </c>
      <c r="C251" t="s">
        <v>18384</v>
      </c>
      <c r="D251" t="s">
        <v>13272</v>
      </c>
      <c r="E251">
        <v>2518</v>
      </c>
      <c r="F251" t="s">
        <v>18406</v>
      </c>
      <c r="G251" t="str">
        <f>Config!$B$5</f>
        <v>SCH/L_ANSI.SchLib</v>
      </c>
      <c r="H251" t="s">
        <v>424</v>
      </c>
      <c r="I251" t="s">
        <v>461</v>
      </c>
      <c r="J251" t="s">
        <v>18415</v>
      </c>
      <c r="K251" s="46">
        <v>3.3000000000000003E-5</v>
      </c>
      <c r="L251" t="s">
        <v>18341</v>
      </c>
      <c r="M251" t="s">
        <v>13272</v>
      </c>
      <c r="N251" t="s">
        <v>18292</v>
      </c>
      <c r="O251" t="s">
        <v>25</v>
      </c>
      <c r="P251" t="s">
        <v>18316</v>
      </c>
    </row>
    <row r="252" spans="1:16">
      <c r="A252" t="s">
        <v>18364</v>
      </c>
      <c r="B252" t="s">
        <v>18364</v>
      </c>
      <c r="C252" t="s">
        <v>18385</v>
      </c>
      <c r="D252" t="s">
        <v>13272</v>
      </c>
      <c r="E252">
        <v>2518</v>
      </c>
      <c r="F252" t="s">
        <v>18406</v>
      </c>
      <c r="G252" t="str">
        <f>Config!$B$5</f>
        <v>SCH/L_ANSI.SchLib</v>
      </c>
      <c r="H252" t="s">
        <v>424</v>
      </c>
      <c r="I252" t="s">
        <v>461</v>
      </c>
      <c r="J252" t="s">
        <v>18415</v>
      </c>
      <c r="K252" s="46">
        <v>3.3000000000000003E-5</v>
      </c>
      <c r="L252" t="s">
        <v>18342</v>
      </c>
      <c r="M252" t="s">
        <v>13272</v>
      </c>
      <c r="N252" t="s">
        <v>18293</v>
      </c>
      <c r="O252" t="s">
        <v>25</v>
      </c>
      <c r="P252" t="s">
        <v>18317</v>
      </c>
    </row>
    <row r="253" spans="1:16">
      <c r="A253" t="s">
        <v>18364</v>
      </c>
      <c r="B253" t="s">
        <v>18364</v>
      </c>
      <c r="C253" t="s">
        <v>18384</v>
      </c>
      <c r="D253" t="s">
        <v>13272</v>
      </c>
      <c r="E253">
        <v>2518</v>
      </c>
      <c r="F253" t="s">
        <v>18406</v>
      </c>
      <c r="G253" t="str">
        <f>Config!$B$5</f>
        <v>SCH/L_ANSI.SchLib</v>
      </c>
      <c r="H253" t="s">
        <v>424</v>
      </c>
      <c r="I253" t="s">
        <v>461</v>
      </c>
      <c r="J253" t="s">
        <v>18415</v>
      </c>
      <c r="K253" s="46">
        <v>3.3000000000000003E-5</v>
      </c>
      <c r="L253" t="s">
        <v>18343</v>
      </c>
      <c r="M253" t="s">
        <v>13272</v>
      </c>
      <c r="N253" t="s">
        <v>18294</v>
      </c>
      <c r="O253" t="s">
        <v>25</v>
      </c>
      <c r="P253" t="s">
        <v>18318</v>
      </c>
    </row>
    <row r="254" spans="1:16">
      <c r="A254" t="s">
        <v>18365</v>
      </c>
      <c r="B254" t="s">
        <v>18365</v>
      </c>
      <c r="C254" t="s">
        <v>18386</v>
      </c>
      <c r="D254" t="s">
        <v>13272</v>
      </c>
      <c r="E254">
        <v>2518</v>
      </c>
      <c r="F254" t="s">
        <v>18407</v>
      </c>
      <c r="G254" t="str">
        <f>Config!$B$5</f>
        <v>SCH/L_ANSI.SchLib</v>
      </c>
      <c r="H254" t="s">
        <v>424</v>
      </c>
      <c r="I254" t="s">
        <v>461</v>
      </c>
      <c r="J254" t="s">
        <v>18415</v>
      </c>
      <c r="K254" s="46">
        <v>2.1999999999999999E-5</v>
      </c>
      <c r="L254" t="s">
        <v>18344</v>
      </c>
      <c r="M254" t="s">
        <v>13272</v>
      </c>
      <c r="N254" t="s">
        <v>18295</v>
      </c>
      <c r="O254" t="s">
        <v>25</v>
      </c>
      <c r="P254" t="s">
        <v>18319</v>
      </c>
    </row>
    <row r="255" spans="1:16">
      <c r="A255" t="s">
        <v>18365</v>
      </c>
      <c r="B255" t="s">
        <v>18365</v>
      </c>
      <c r="C255" t="s">
        <v>18387</v>
      </c>
      <c r="D255" t="s">
        <v>13272</v>
      </c>
      <c r="E255">
        <v>2518</v>
      </c>
      <c r="F255" t="s">
        <v>18407</v>
      </c>
      <c r="G255" t="str">
        <f>Config!$B$5</f>
        <v>SCH/L_ANSI.SchLib</v>
      </c>
      <c r="H255" t="s">
        <v>424</v>
      </c>
      <c r="I255" t="s">
        <v>461</v>
      </c>
      <c r="J255" t="s">
        <v>18415</v>
      </c>
      <c r="K255" s="46">
        <v>2.1999999999999999E-5</v>
      </c>
      <c r="L255" t="s">
        <v>18345</v>
      </c>
      <c r="M255" t="s">
        <v>13272</v>
      </c>
      <c r="N255" t="s">
        <v>18296</v>
      </c>
      <c r="O255" t="s">
        <v>25</v>
      </c>
      <c r="P255" t="s">
        <v>18320</v>
      </c>
    </row>
    <row r="256" spans="1:16">
      <c r="A256" t="s">
        <v>18366</v>
      </c>
      <c r="B256" t="s">
        <v>18366</v>
      </c>
      <c r="C256" t="s">
        <v>18388</v>
      </c>
      <c r="D256" t="s">
        <v>13272</v>
      </c>
      <c r="E256">
        <v>2518</v>
      </c>
      <c r="F256" t="s">
        <v>18408</v>
      </c>
      <c r="G256" t="str">
        <f>Config!$B$5</f>
        <v>SCH/L_ANSI.SchLib</v>
      </c>
      <c r="H256" t="s">
        <v>424</v>
      </c>
      <c r="I256" t="s">
        <v>461</v>
      </c>
      <c r="J256" t="s">
        <v>18415</v>
      </c>
      <c r="K256" s="46">
        <v>1.5E-5</v>
      </c>
      <c r="L256" t="s">
        <v>18346</v>
      </c>
      <c r="M256" t="s">
        <v>13272</v>
      </c>
      <c r="N256" t="s">
        <v>18297</v>
      </c>
      <c r="O256" t="s">
        <v>25</v>
      </c>
      <c r="P256" t="s">
        <v>18321</v>
      </c>
    </row>
    <row r="257" spans="1:25">
      <c r="A257" t="s">
        <v>18367</v>
      </c>
      <c r="B257" t="s">
        <v>18367</v>
      </c>
      <c r="C257" t="s">
        <v>18389</v>
      </c>
      <c r="D257" t="s">
        <v>13272</v>
      </c>
      <c r="E257">
        <v>2518</v>
      </c>
      <c r="F257" t="s">
        <v>18409</v>
      </c>
      <c r="G257" t="str">
        <f>Config!$B$5</f>
        <v>SCH/L_ANSI.SchLib</v>
      </c>
      <c r="H257" t="s">
        <v>424</v>
      </c>
      <c r="I257" t="s">
        <v>461</v>
      </c>
      <c r="J257" t="s">
        <v>18415</v>
      </c>
      <c r="K257" s="46">
        <v>1.0000000000000001E-5</v>
      </c>
      <c r="L257" t="s">
        <v>18347</v>
      </c>
      <c r="M257" t="s">
        <v>13272</v>
      </c>
      <c r="N257" t="s">
        <v>18298</v>
      </c>
      <c r="O257" t="s">
        <v>25</v>
      </c>
      <c r="P257" t="s">
        <v>18322</v>
      </c>
    </row>
    <row r="258" spans="1:25">
      <c r="A258" t="s">
        <v>18368</v>
      </c>
      <c r="B258" t="s">
        <v>18368</v>
      </c>
      <c r="C258" t="s">
        <v>18390</v>
      </c>
      <c r="D258" t="s">
        <v>13272</v>
      </c>
      <c r="E258">
        <v>2518</v>
      </c>
      <c r="F258" t="s">
        <v>18410</v>
      </c>
      <c r="G258" t="str">
        <f>Config!$B$5</f>
        <v>SCH/L_ANSI.SchLib</v>
      </c>
      <c r="H258" t="s">
        <v>424</v>
      </c>
      <c r="I258" t="s">
        <v>461</v>
      </c>
      <c r="J258" t="s">
        <v>18415</v>
      </c>
      <c r="K258" s="46">
        <v>6.8000000000000001E-6</v>
      </c>
      <c r="L258" t="s">
        <v>18348</v>
      </c>
      <c r="M258" t="s">
        <v>13272</v>
      </c>
      <c r="N258" t="s">
        <v>18299</v>
      </c>
      <c r="O258" t="s">
        <v>25</v>
      </c>
      <c r="P258" t="s">
        <v>18323</v>
      </c>
    </row>
    <row r="259" spans="1:25">
      <c r="A259" t="s">
        <v>18369</v>
      </c>
      <c r="B259" t="s">
        <v>18369</v>
      </c>
      <c r="C259" t="s">
        <v>18391</v>
      </c>
      <c r="D259" t="s">
        <v>13272</v>
      </c>
      <c r="E259">
        <v>2518</v>
      </c>
      <c r="F259" t="s">
        <v>18411</v>
      </c>
      <c r="G259" t="str">
        <f>Config!$B$5</f>
        <v>SCH/L_ANSI.SchLib</v>
      </c>
      <c r="H259" t="s">
        <v>424</v>
      </c>
      <c r="I259" t="s">
        <v>461</v>
      </c>
      <c r="J259" t="s">
        <v>18415</v>
      </c>
      <c r="K259" s="46">
        <v>4.6999999999999999E-6</v>
      </c>
      <c r="L259" t="s">
        <v>18349</v>
      </c>
      <c r="M259" t="s">
        <v>13272</v>
      </c>
      <c r="N259" t="s">
        <v>18300</v>
      </c>
      <c r="O259" t="s">
        <v>25</v>
      </c>
      <c r="P259" t="s">
        <v>18324</v>
      </c>
    </row>
    <row r="260" spans="1:25">
      <c r="A260" t="s">
        <v>18369</v>
      </c>
      <c r="B260" t="s">
        <v>18369</v>
      </c>
      <c r="C260" t="s">
        <v>18392</v>
      </c>
      <c r="D260" t="s">
        <v>13272</v>
      </c>
      <c r="E260">
        <v>2518</v>
      </c>
      <c r="F260" t="s">
        <v>18411</v>
      </c>
      <c r="G260" t="str">
        <f>Config!$B$5</f>
        <v>SCH/L_ANSI.SchLib</v>
      </c>
      <c r="H260" t="s">
        <v>424</v>
      </c>
      <c r="I260" t="s">
        <v>461</v>
      </c>
      <c r="J260" t="s">
        <v>18415</v>
      </c>
      <c r="K260" s="46">
        <v>4.6999999999999999E-6</v>
      </c>
      <c r="L260" t="s">
        <v>18350</v>
      </c>
      <c r="M260" t="s">
        <v>13272</v>
      </c>
      <c r="N260" t="s">
        <v>18301</v>
      </c>
      <c r="O260" t="s">
        <v>25</v>
      </c>
      <c r="P260" t="s">
        <v>18325</v>
      </c>
    </row>
    <row r="261" spans="1:25">
      <c r="A261" t="s">
        <v>18370</v>
      </c>
      <c r="B261" t="s">
        <v>18370</v>
      </c>
      <c r="C261" t="s">
        <v>18393</v>
      </c>
      <c r="D261" t="s">
        <v>13272</v>
      </c>
      <c r="E261">
        <v>2518</v>
      </c>
      <c r="F261" t="s">
        <v>18412</v>
      </c>
      <c r="G261" t="str">
        <f>Config!$B$5</f>
        <v>SCH/L_ANSI.SchLib</v>
      </c>
      <c r="H261" t="s">
        <v>424</v>
      </c>
      <c r="I261" t="s">
        <v>461</v>
      </c>
      <c r="J261" t="s">
        <v>18415</v>
      </c>
      <c r="K261" s="46">
        <v>3.3000000000000002E-6</v>
      </c>
      <c r="L261" t="s">
        <v>18351</v>
      </c>
      <c r="M261" t="s">
        <v>13272</v>
      </c>
      <c r="N261" t="s">
        <v>18302</v>
      </c>
      <c r="O261" t="s">
        <v>25</v>
      </c>
      <c r="P261" t="s">
        <v>18326</v>
      </c>
    </row>
    <row r="262" spans="1:25">
      <c r="A262" t="s">
        <v>18371</v>
      </c>
      <c r="B262" t="s">
        <v>18371</v>
      </c>
      <c r="C262" t="s">
        <v>18394</v>
      </c>
      <c r="D262" t="s">
        <v>13272</v>
      </c>
      <c r="E262">
        <v>2518</v>
      </c>
      <c r="F262" t="s">
        <v>18413</v>
      </c>
      <c r="G262" t="str">
        <f>Config!$B$5</f>
        <v>SCH/L_ANSI.SchLib</v>
      </c>
      <c r="H262" t="s">
        <v>424</v>
      </c>
      <c r="I262" t="s">
        <v>461</v>
      </c>
      <c r="J262" t="s">
        <v>18415</v>
      </c>
      <c r="K262" s="46">
        <v>2.2000000000000001E-6</v>
      </c>
      <c r="L262" t="s">
        <v>18352</v>
      </c>
      <c r="M262" t="s">
        <v>13272</v>
      </c>
      <c r="N262" t="s">
        <v>18303</v>
      </c>
      <c r="O262" t="s">
        <v>25</v>
      </c>
      <c r="P262" t="s">
        <v>18327</v>
      </c>
    </row>
    <row r="263" spans="1:25">
      <c r="A263" t="s">
        <v>18372</v>
      </c>
      <c r="B263" t="s">
        <v>18372</v>
      </c>
      <c r="C263" t="s">
        <v>18395</v>
      </c>
      <c r="D263" t="s">
        <v>13272</v>
      </c>
      <c r="E263">
        <v>2518</v>
      </c>
      <c r="F263" t="s">
        <v>18414</v>
      </c>
      <c r="G263" t="str">
        <f>Config!$B$5</f>
        <v>SCH/L_ANSI.SchLib</v>
      </c>
      <c r="H263" t="s">
        <v>424</v>
      </c>
      <c r="I263" t="s">
        <v>461</v>
      </c>
      <c r="J263" t="s">
        <v>18415</v>
      </c>
      <c r="K263" s="46">
        <v>9.9999999999999995E-7</v>
      </c>
      <c r="L263" t="s">
        <v>18353</v>
      </c>
      <c r="M263" t="s">
        <v>13272</v>
      </c>
      <c r="N263" t="s">
        <v>18304</v>
      </c>
      <c r="O263" t="s">
        <v>25</v>
      </c>
      <c r="P263" t="s">
        <v>18328</v>
      </c>
    </row>
    <row r="264" spans="1:25">
      <c r="A264" t="s">
        <v>18372</v>
      </c>
      <c r="B264" t="s">
        <v>18372</v>
      </c>
      <c r="C264" t="s">
        <v>18396</v>
      </c>
      <c r="D264" t="s">
        <v>13272</v>
      </c>
      <c r="E264">
        <v>2518</v>
      </c>
      <c r="F264" t="s">
        <v>18414</v>
      </c>
      <c r="G264" t="str">
        <f>Config!$B$5</f>
        <v>SCH/L_ANSI.SchLib</v>
      </c>
      <c r="H264" t="s">
        <v>424</v>
      </c>
      <c r="I264" t="s">
        <v>461</v>
      </c>
      <c r="J264" t="s">
        <v>18415</v>
      </c>
      <c r="K264" s="46">
        <v>9.9999999999999995E-7</v>
      </c>
      <c r="L264" t="s">
        <v>18345</v>
      </c>
      <c r="M264" t="s">
        <v>13272</v>
      </c>
      <c r="N264" t="s">
        <v>18354</v>
      </c>
      <c r="O264" t="s">
        <v>25</v>
      </c>
      <c r="P264" t="s">
        <v>18329</v>
      </c>
    </row>
    <row r="265" spans="1:25">
      <c r="A265" t="s">
        <v>18490</v>
      </c>
      <c r="B265" t="s">
        <v>18490</v>
      </c>
      <c r="C265" t="s">
        <v>18471</v>
      </c>
      <c r="D265" t="s">
        <v>13272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18489</v>
      </c>
      <c r="K265" s="46">
        <v>1.0000000000000001E-5</v>
      </c>
      <c r="L265" t="s">
        <v>18416</v>
      </c>
      <c r="M265" t="s">
        <v>13272</v>
      </c>
      <c r="N265" t="s">
        <v>18433</v>
      </c>
      <c r="O265" t="s">
        <v>25</v>
      </c>
      <c r="P265" t="s">
        <v>18452</v>
      </c>
    </row>
    <row r="266" spans="1:25">
      <c r="A266" t="s">
        <v>18491</v>
      </c>
      <c r="B266" t="s">
        <v>18491</v>
      </c>
      <c r="C266" t="s">
        <v>18472</v>
      </c>
      <c r="D266" t="s">
        <v>13272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18489</v>
      </c>
      <c r="K266" s="46">
        <v>4.6999999999999997E-5</v>
      </c>
      <c r="L266" t="s">
        <v>18417</v>
      </c>
      <c r="M266" t="s">
        <v>13272</v>
      </c>
      <c r="N266" t="s">
        <v>18434</v>
      </c>
      <c r="O266" t="s">
        <v>25</v>
      </c>
      <c r="P266" t="s">
        <v>18453</v>
      </c>
    </row>
    <row r="267" spans="1:25">
      <c r="A267" t="s">
        <v>18490</v>
      </c>
      <c r="B267" t="s">
        <v>18490</v>
      </c>
      <c r="C267" t="s">
        <v>18471</v>
      </c>
      <c r="D267" t="s">
        <v>13272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18489</v>
      </c>
      <c r="K267" s="46">
        <v>1.0000000000000001E-5</v>
      </c>
      <c r="L267" t="s">
        <v>18418</v>
      </c>
      <c r="M267" t="s">
        <v>13272</v>
      </c>
      <c r="N267" t="s">
        <v>18435</v>
      </c>
      <c r="O267" t="s">
        <v>25</v>
      </c>
      <c r="P267" t="s">
        <v>18454</v>
      </c>
    </row>
    <row r="268" spans="1:25">
      <c r="A268" t="s">
        <v>18492</v>
      </c>
      <c r="B268" t="s">
        <v>18492</v>
      </c>
      <c r="C268" t="s">
        <v>18473</v>
      </c>
      <c r="D268" t="s">
        <v>13272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18489</v>
      </c>
      <c r="K268" s="46">
        <v>4.6999999999999999E-6</v>
      </c>
      <c r="L268" t="s">
        <v>18419</v>
      </c>
      <c r="M268" t="s">
        <v>13272</v>
      </c>
      <c r="N268" t="s">
        <v>18436</v>
      </c>
      <c r="O268" t="s">
        <v>25</v>
      </c>
      <c r="P268" t="s">
        <v>18455</v>
      </c>
    </row>
    <row r="269" spans="1:25">
      <c r="A269" t="s">
        <v>18493</v>
      </c>
      <c r="B269" t="s">
        <v>18493</v>
      </c>
      <c r="C269" t="s">
        <v>18474</v>
      </c>
      <c r="D269" t="s">
        <v>13272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18489</v>
      </c>
      <c r="K269" s="46">
        <v>2.1999999999999999E-5</v>
      </c>
      <c r="L269" t="s">
        <v>18420</v>
      </c>
      <c r="M269" t="s">
        <v>13272</v>
      </c>
      <c r="N269" t="s">
        <v>18437</v>
      </c>
      <c r="O269" t="s">
        <v>25</v>
      </c>
      <c r="P269" t="s">
        <v>18456</v>
      </c>
    </row>
    <row r="270" spans="1:25">
      <c r="A270" t="s">
        <v>18494</v>
      </c>
      <c r="B270" t="s">
        <v>18494</v>
      </c>
      <c r="C270" t="s">
        <v>18475</v>
      </c>
      <c r="D270" t="s">
        <v>13272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18489</v>
      </c>
      <c r="K270" s="46">
        <v>6.8000000000000001E-6</v>
      </c>
      <c r="L270" t="s">
        <v>18421</v>
      </c>
      <c r="M270" t="s">
        <v>13272</v>
      </c>
      <c r="N270" t="s">
        <v>18438</v>
      </c>
      <c r="O270" t="s">
        <v>25</v>
      </c>
      <c r="P270" t="s">
        <v>18457</v>
      </c>
    </row>
    <row r="271" spans="1:25">
      <c r="A271" t="s">
        <v>18495</v>
      </c>
      <c r="B271" t="s">
        <v>18495</v>
      </c>
      <c r="C271" t="s">
        <v>18476</v>
      </c>
      <c r="D271" t="s">
        <v>13272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18489</v>
      </c>
      <c r="K271" s="46">
        <v>1.5E-5</v>
      </c>
      <c r="L271" t="s">
        <v>18422</v>
      </c>
      <c r="M271" t="s">
        <v>13272</v>
      </c>
      <c r="N271" t="s">
        <v>18439</v>
      </c>
      <c r="O271" t="s">
        <v>25</v>
      </c>
      <c r="P271" t="s">
        <v>18458</v>
      </c>
    </row>
    <row r="272" spans="1:25">
      <c r="A272" t="s">
        <v>18496</v>
      </c>
      <c r="B272" t="s">
        <v>18496</v>
      </c>
      <c r="C272" t="s">
        <v>18477</v>
      </c>
      <c r="D272" t="s">
        <v>13272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18489</v>
      </c>
      <c r="K272" s="46">
        <v>1E-4</v>
      </c>
      <c r="L272" t="s">
        <v>18423</v>
      </c>
      <c r="M272" t="s">
        <v>13272</v>
      </c>
      <c r="N272" t="s">
        <v>18440</v>
      </c>
      <c r="O272" t="s">
        <v>25</v>
      </c>
      <c r="P272" t="s">
        <v>18459</v>
      </c>
      <c r="U272" t="s">
        <v>4479</v>
      </c>
      <c r="V272" t="s">
        <v>18516</v>
      </c>
      <c r="W272" t="s">
        <v>4559</v>
      </c>
      <c r="X272" t="s">
        <v>18515</v>
      </c>
      <c r="Y272" t="s">
        <v>4727</v>
      </c>
    </row>
    <row r="273" spans="1:16">
      <c r="A273" t="s">
        <v>18490</v>
      </c>
      <c r="B273" t="s">
        <v>18490</v>
      </c>
      <c r="C273" t="s">
        <v>18478</v>
      </c>
      <c r="D273" t="s">
        <v>13272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18489</v>
      </c>
      <c r="K273" s="46">
        <v>1.0000000000000001E-5</v>
      </c>
      <c r="L273" t="s">
        <v>18424</v>
      </c>
      <c r="M273" t="s">
        <v>13272</v>
      </c>
      <c r="N273" t="s">
        <v>18441</v>
      </c>
      <c r="O273" t="s">
        <v>25</v>
      </c>
      <c r="P273" t="s">
        <v>18460</v>
      </c>
    </row>
    <row r="274" spans="1:16">
      <c r="A274" t="s">
        <v>18497</v>
      </c>
      <c r="B274" t="s">
        <v>18497</v>
      </c>
      <c r="C274" t="s">
        <v>18479</v>
      </c>
      <c r="D274" t="s">
        <v>13272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18489</v>
      </c>
      <c r="K274" s="46">
        <v>6.7999999999999999E-5</v>
      </c>
      <c r="L274" t="s">
        <v>18425</v>
      </c>
      <c r="M274" t="s">
        <v>13272</v>
      </c>
      <c r="N274" t="s">
        <v>18442</v>
      </c>
      <c r="O274" t="s">
        <v>25</v>
      </c>
      <c r="P274" t="s">
        <v>18461</v>
      </c>
    </row>
    <row r="275" spans="1:16">
      <c r="A275" t="s">
        <v>18491</v>
      </c>
      <c r="B275" t="s">
        <v>18491</v>
      </c>
      <c r="C275" t="s">
        <v>18480</v>
      </c>
      <c r="D275" t="s">
        <v>13272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18489</v>
      </c>
      <c r="K275" s="46">
        <v>4.6999999999999997E-5</v>
      </c>
      <c r="L275" t="s">
        <v>18426</v>
      </c>
      <c r="M275" t="s">
        <v>13272</v>
      </c>
      <c r="N275" t="s">
        <v>18443</v>
      </c>
      <c r="O275" t="s">
        <v>25</v>
      </c>
      <c r="P275" t="s">
        <v>18462</v>
      </c>
    </row>
    <row r="276" spans="1:16">
      <c r="A276" t="s">
        <v>18498</v>
      </c>
      <c r="B276" t="s">
        <v>18498</v>
      </c>
      <c r="C276" t="s">
        <v>18481</v>
      </c>
      <c r="D276" t="s">
        <v>13272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18489</v>
      </c>
      <c r="K276" s="46">
        <v>3.3000000000000002E-6</v>
      </c>
      <c r="L276" t="s">
        <v>18427</v>
      </c>
      <c r="M276" t="s">
        <v>13272</v>
      </c>
      <c r="N276" t="s">
        <v>18444</v>
      </c>
      <c r="O276" t="s">
        <v>25</v>
      </c>
      <c r="P276" t="s">
        <v>18463</v>
      </c>
    </row>
    <row r="277" spans="1:16">
      <c r="A277" t="s">
        <v>18499</v>
      </c>
      <c r="B277" t="s">
        <v>18499</v>
      </c>
      <c r="C277" t="s">
        <v>18482</v>
      </c>
      <c r="D277" t="s">
        <v>13272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18489</v>
      </c>
      <c r="K277" s="46">
        <v>9.9999999999999995E-7</v>
      </c>
      <c r="L277" t="s">
        <v>18428</v>
      </c>
      <c r="M277" t="s">
        <v>13272</v>
      </c>
      <c r="N277" t="s">
        <v>18445</v>
      </c>
      <c r="O277" t="s">
        <v>25</v>
      </c>
      <c r="P277" t="s">
        <v>18464</v>
      </c>
    </row>
    <row r="278" spans="1:16">
      <c r="A278" t="s">
        <v>18498</v>
      </c>
      <c r="B278" t="s">
        <v>18498</v>
      </c>
      <c r="C278" t="s">
        <v>18483</v>
      </c>
      <c r="D278" t="s">
        <v>13272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18489</v>
      </c>
      <c r="K278" s="46">
        <v>3.3000000000000002E-6</v>
      </c>
      <c r="L278" t="s">
        <v>18429</v>
      </c>
      <c r="M278" t="s">
        <v>13272</v>
      </c>
      <c r="N278" t="s">
        <v>18446</v>
      </c>
      <c r="O278" t="s">
        <v>25</v>
      </c>
      <c r="P278" t="s">
        <v>18465</v>
      </c>
    </row>
    <row r="279" spans="1:16">
      <c r="A279" t="s">
        <v>18500</v>
      </c>
      <c r="B279" t="s">
        <v>18500</v>
      </c>
      <c r="C279" t="s">
        <v>18484</v>
      </c>
      <c r="D279" t="s">
        <v>13272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18489</v>
      </c>
      <c r="K279" s="46">
        <v>2.2000000000000001E-6</v>
      </c>
      <c r="L279" t="s">
        <v>18430</v>
      </c>
      <c r="M279" t="s">
        <v>13272</v>
      </c>
      <c r="N279" t="s">
        <v>18447</v>
      </c>
      <c r="O279" t="s">
        <v>25</v>
      </c>
      <c r="P279" t="s">
        <v>18466</v>
      </c>
    </row>
    <row r="280" spans="1:16">
      <c r="A280" t="s">
        <v>18499</v>
      </c>
      <c r="B280" t="s">
        <v>18499</v>
      </c>
      <c r="C280" t="s">
        <v>18485</v>
      </c>
      <c r="D280" t="s">
        <v>13272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18489</v>
      </c>
      <c r="K280" s="46">
        <v>9.9999999999999995E-7</v>
      </c>
      <c r="L280" t="s">
        <v>18345</v>
      </c>
      <c r="M280" t="s">
        <v>13272</v>
      </c>
      <c r="N280" t="s">
        <v>18448</v>
      </c>
      <c r="O280" t="s">
        <v>25</v>
      </c>
      <c r="P280" t="s">
        <v>18467</v>
      </c>
    </row>
    <row r="281" spans="1:16">
      <c r="A281" t="s">
        <v>18499</v>
      </c>
      <c r="B281" t="s">
        <v>18499</v>
      </c>
      <c r="C281" t="s">
        <v>18486</v>
      </c>
      <c r="D281" t="s">
        <v>13272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18489</v>
      </c>
      <c r="K281" s="46">
        <v>9.9999999999999995E-7</v>
      </c>
      <c r="L281" t="s">
        <v>18431</v>
      </c>
      <c r="M281" t="s">
        <v>13272</v>
      </c>
      <c r="N281" t="s">
        <v>18449</v>
      </c>
      <c r="O281" t="s">
        <v>25</v>
      </c>
      <c r="P281" t="s">
        <v>18468</v>
      </c>
    </row>
    <row r="282" spans="1:16">
      <c r="A282" t="s">
        <v>18492</v>
      </c>
      <c r="B282" t="s">
        <v>18492</v>
      </c>
      <c r="C282" t="s">
        <v>18487</v>
      </c>
      <c r="D282" t="s">
        <v>13272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18489</v>
      </c>
      <c r="K282" s="46">
        <v>4.6999999999999999E-6</v>
      </c>
      <c r="L282" t="s">
        <v>18345</v>
      </c>
      <c r="M282" t="s">
        <v>13272</v>
      </c>
      <c r="N282" t="s">
        <v>18450</v>
      </c>
      <c r="O282" t="s">
        <v>25</v>
      </c>
      <c r="P282" t="s">
        <v>18469</v>
      </c>
    </row>
    <row r="283" spans="1:16">
      <c r="A283" t="s">
        <v>18490</v>
      </c>
      <c r="B283" t="s">
        <v>18490</v>
      </c>
      <c r="C283" t="s">
        <v>18488</v>
      </c>
      <c r="D283" t="s">
        <v>13272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18489</v>
      </c>
      <c r="K283" s="46">
        <v>1.0000000000000001E-5</v>
      </c>
      <c r="L283" t="s">
        <v>18432</v>
      </c>
      <c r="M283" t="s">
        <v>13272</v>
      </c>
      <c r="N283" t="s">
        <v>18451</v>
      </c>
      <c r="O283" t="s">
        <v>25</v>
      </c>
      <c r="P283" t="s">
        <v>18470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4"/>
  <sheetViews>
    <sheetView workbookViewId="0">
      <pane xSplit="2" ySplit="1" topLeftCell="C628" activePane="bottomRight" state="frozen"/>
      <selection pane="topRight" activeCell="C1" sqref="C1"/>
      <selection pane="bottomLeft" activeCell="A2" sqref="A2"/>
      <selection pane="bottomRight" activeCell="R654" sqref="R654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">
        <v>12</v>
      </c>
      <c r="N1" s="49" t="s">
        <v>13</v>
      </c>
      <c r="O1" s="49" t="s">
        <v>14</v>
      </c>
      <c r="P1" s="49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4593</v>
      </c>
      <c r="V1" s="49" t="s">
        <v>4594</v>
      </c>
      <c r="W1" s="49" t="s">
        <v>4595</v>
      </c>
      <c r="X1" s="49" t="s">
        <v>4596</v>
      </c>
      <c r="Y1" s="49" t="s">
        <v>4726</v>
      </c>
    </row>
    <row r="2" spans="1:25">
      <c r="A2" s="17" t="s">
        <v>2667</v>
      </c>
      <c r="B2" s="17" t="s">
        <v>2667</v>
      </c>
      <c r="C2" s="17" t="s">
        <v>2668</v>
      </c>
      <c r="D2" s="17" t="s">
        <v>2669</v>
      </c>
      <c r="E2" s="17" t="s">
        <v>2670</v>
      </c>
      <c r="F2" s="17" t="s">
        <v>2667</v>
      </c>
      <c r="G2" s="17" t="s">
        <v>2671</v>
      </c>
      <c r="H2" s="17" t="s">
        <v>4312</v>
      </c>
      <c r="I2" s="17" t="s">
        <v>2672</v>
      </c>
      <c r="J2" s="17" t="s">
        <v>2673</v>
      </c>
      <c r="K2" s="17" t="s">
        <v>2674</v>
      </c>
      <c r="L2" s="17" t="s">
        <v>2675</v>
      </c>
      <c r="M2" s="17" t="s">
        <v>2669</v>
      </c>
      <c r="N2" s="17" t="s">
        <v>2676</v>
      </c>
      <c r="O2" s="17" t="s">
        <v>7635</v>
      </c>
      <c r="P2" s="17" t="s">
        <v>2677</v>
      </c>
      <c r="Q2" s="17" t="s">
        <v>2669</v>
      </c>
      <c r="R2" s="17" t="s">
        <v>2667</v>
      </c>
      <c r="S2" s="17" t="s">
        <v>7635</v>
      </c>
      <c r="T2" s="17" t="s">
        <v>2678</v>
      </c>
      <c r="U2" s="17" t="s">
        <v>4597</v>
      </c>
      <c r="V2" s="17" t="s">
        <v>2667</v>
      </c>
      <c r="W2" s="17" t="s">
        <v>4559</v>
      </c>
      <c r="X2" s="17" t="s">
        <v>4598</v>
      </c>
      <c r="Y2" s="17" t="s">
        <v>4727</v>
      </c>
    </row>
    <row r="3" spans="1:25">
      <c r="A3" s="17" t="s">
        <v>2679</v>
      </c>
      <c r="B3" s="17" t="s">
        <v>2679</v>
      </c>
      <c r="C3" s="17" t="s">
        <v>2680</v>
      </c>
      <c r="D3" s="17" t="s">
        <v>2669</v>
      </c>
      <c r="E3" s="17" t="s">
        <v>2670</v>
      </c>
      <c r="F3" s="17" t="s">
        <v>2679</v>
      </c>
      <c r="G3" s="17" t="s">
        <v>2671</v>
      </c>
      <c r="H3" s="17" t="s">
        <v>6835</v>
      </c>
      <c r="I3" s="17" t="s">
        <v>2672</v>
      </c>
      <c r="J3" s="17" t="s">
        <v>2673</v>
      </c>
      <c r="K3" s="17" t="s">
        <v>2674</v>
      </c>
      <c r="L3" s="17" t="s">
        <v>2675</v>
      </c>
      <c r="M3" s="17" t="s">
        <v>2669</v>
      </c>
      <c r="N3" s="17" t="s">
        <v>2679</v>
      </c>
      <c r="O3" s="17" t="s">
        <v>7635</v>
      </c>
      <c r="P3" s="17" t="s">
        <v>2681</v>
      </c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7" t="s">
        <v>2682</v>
      </c>
      <c r="B4" s="17" t="s">
        <v>2682</v>
      </c>
      <c r="C4" s="17" t="s">
        <v>2683</v>
      </c>
      <c r="D4" s="17" t="s">
        <v>2669</v>
      </c>
      <c r="E4" s="17" t="s">
        <v>2670</v>
      </c>
      <c r="F4" s="17" t="s">
        <v>2682</v>
      </c>
      <c r="G4" s="17" t="s">
        <v>2671</v>
      </c>
      <c r="H4" s="17" t="s">
        <v>4312</v>
      </c>
      <c r="I4" s="17" t="s">
        <v>2672</v>
      </c>
      <c r="J4" s="17" t="s">
        <v>2673</v>
      </c>
      <c r="K4" s="17" t="s">
        <v>2684</v>
      </c>
      <c r="L4" s="17" t="s">
        <v>2675</v>
      </c>
      <c r="M4" s="17" t="s">
        <v>2669</v>
      </c>
      <c r="N4" s="17" t="s">
        <v>2685</v>
      </c>
      <c r="O4" s="17" t="s">
        <v>7635</v>
      </c>
      <c r="P4" s="17" t="s">
        <v>2686</v>
      </c>
      <c r="Q4" s="17" t="s">
        <v>2669</v>
      </c>
      <c r="R4" s="17" t="s">
        <v>2682</v>
      </c>
      <c r="S4" s="17" t="s">
        <v>7635</v>
      </c>
      <c r="T4" s="17" t="s">
        <v>2687</v>
      </c>
      <c r="U4" s="17"/>
      <c r="V4" s="17"/>
      <c r="W4" s="17"/>
      <c r="X4" s="17"/>
      <c r="Y4" s="17"/>
    </row>
    <row r="5" spans="1:25">
      <c r="A5" s="17" t="s">
        <v>2688</v>
      </c>
      <c r="B5" s="17" t="s">
        <v>2688</v>
      </c>
      <c r="C5" s="17" t="s">
        <v>2689</v>
      </c>
      <c r="D5" s="17" t="s">
        <v>2669</v>
      </c>
      <c r="E5" s="17" t="s">
        <v>2670</v>
      </c>
      <c r="F5" s="17" t="s">
        <v>2688</v>
      </c>
      <c r="G5" s="17" t="s">
        <v>2671</v>
      </c>
      <c r="H5" s="17" t="s">
        <v>6835</v>
      </c>
      <c r="I5" s="17" t="s">
        <v>2672</v>
      </c>
      <c r="J5" s="17" t="s">
        <v>2673</v>
      </c>
      <c r="K5" s="17" t="s">
        <v>2684</v>
      </c>
      <c r="L5" s="17" t="s">
        <v>2675</v>
      </c>
      <c r="M5" s="17" t="s">
        <v>2669</v>
      </c>
      <c r="N5" s="17" t="s">
        <v>2688</v>
      </c>
      <c r="O5" s="17" t="s">
        <v>7635</v>
      </c>
      <c r="P5" s="17" t="s">
        <v>2690</v>
      </c>
      <c r="Q5" s="17"/>
      <c r="R5" s="17"/>
      <c r="S5" s="17"/>
      <c r="T5" s="17"/>
      <c r="U5" s="17"/>
      <c r="V5" s="17"/>
      <c r="W5" s="17"/>
      <c r="X5" s="17"/>
      <c r="Y5" s="17"/>
    </row>
    <row r="6" spans="1:25">
      <c r="A6" s="17" t="s">
        <v>2691</v>
      </c>
      <c r="B6" s="17" t="s">
        <v>2691</v>
      </c>
      <c r="C6" s="17" t="s">
        <v>2692</v>
      </c>
      <c r="D6" s="17" t="s">
        <v>2669</v>
      </c>
      <c r="E6" s="17" t="s">
        <v>2670</v>
      </c>
      <c r="F6" s="17" t="s">
        <v>2691</v>
      </c>
      <c r="G6" s="17" t="s">
        <v>2671</v>
      </c>
      <c r="H6" s="17" t="s">
        <v>4312</v>
      </c>
      <c r="I6" s="17" t="s">
        <v>2672</v>
      </c>
      <c r="J6" s="17" t="s">
        <v>2673</v>
      </c>
      <c r="K6" s="17" t="s">
        <v>2693</v>
      </c>
      <c r="L6" s="17" t="s">
        <v>2675</v>
      </c>
      <c r="M6" s="17" t="s">
        <v>2669</v>
      </c>
      <c r="N6" s="17" t="s">
        <v>2694</v>
      </c>
      <c r="O6" s="17" t="s">
        <v>7635</v>
      </c>
      <c r="P6" s="17" t="s">
        <v>2695</v>
      </c>
      <c r="Q6" s="17" t="s">
        <v>2669</v>
      </c>
      <c r="R6" s="17" t="s">
        <v>2691</v>
      </c>
      <c r="S6" s="17" t="s">
        <v>7635</v>
      </c>
      <c r="T6" s="17" t="s">
        <v>2696</v>
      </c>
      <c r="U6" s="17"/>
      <c r="V6" s="17"/>
      <c r="W6" s="17"/>
      <c r="X6" s="17"/>
      <c r="Y6" s="17"/>
    </row>
    <row r="7" spans="1:25">
      <c r="A7" s="17" t="s">
        <v>2697</v>
      </c>
      <c r="B7" s="17" t="s">
        <v>2697</v>
      </c>
      <c r="C7" s="17" t="s">
        <v>2698</v>
      </c>
      <c r="D7" s="17" t="s">
        <v>2669</v>
      </c>
      <c r="E7" s="17" t="s">
        <v>2670</v>
      </c>
      <c r="F7" s="17" t="s">
        <v>2697</v>
      </c>
      <c r="G7" s="17" t="s">
        <v>2671</v>
      </c>
      <c r="H7" s="17" t="s">
        <v>4312</v>
      </c>
      <c r="I7" s="17" t="s">
        <v>2672</v>
      </c>
      <c r="J7" s="17" t="s">
        <v>2673</v>
      </c>
      <c r="K7" s="17" t="s">
        <v>2699</v>
      </c>
      <c r="L7" s="17" t="s">
        <v>2675</v>
      </c>
      <c r="M7" s="17" t="s">
        <v>2669</v>
      </c>
      <c r="N7" s="17" t="s">
        <v>2697</v>
      </c>
      <c r="O7" s="17" t="s">
        <v>7635</v>
      </c>
      <c r="P7" s="17" t="s">
        <v>2700</v>
      </c>
      <c r="Q7" s="17"/>
      <c r="R7" s="17"/>
      <c r="S7" s="17"/>
      <c r="T7" s="17"/>
      <c r="U7" s="17"/>
      <c r="V7" s="17"/>
      <c r="W7" s="17"/>
      <c r="X7" s="17"/>
      <c r="Y7" s="17"/>
    </row>
    <row r="8" spans="1:25">
      <c r="A8" s="17" t="s">
        <v>2701</v>
      </c>
      <c r="B8" s="17" t="s">
        <v>2701</v>
      </c>
      <c r="C8" s="17" t="s">
        <v>2702</v>
      </c>
      <c r="D8" s="17" t="s">
        <v>2669</v>
      </c>
      <c r="E8" s="17" t="s">
        <v>2670</v>
      </c>
      <c r="F8" s="17" t="s">
        <v>2701</v>
      </c>
      <c r="G8" s="17" t="s">
        <v>2671</v>
      </c>
      <c r="H8" s="17" t="s">
        <v>4312</v>
      </c>
      <c r="I8" s="17" t="s">
        <v>2672</v>
      </c>
      <c r="J8" s="17" t="s">
        <v>2673</v>
      </c>
      <c r="K8" s="17" t="s">
        <v>2703</v>
      </c>
      <c r="L8" s="17" t="s">
        <v>2675</v>
      </c>
      <c r="M8" s="17" t="s">
        <v>2669</v>
      </c>
      <c r="N8" s="17" t="s">
        <v>2701</v>
      </c>
      <c r="O8" s="17" t="s">
        <v>7635</v>
      </c>
      <c r="P8" s="17" t="s">
        <v>2704</v>
      </c>
      <c r="Q8" s="17"/>
      <c r="R8" s="17"/>
      <c r="S8" s="17"/>
      <c r="T8" s="17"/>
      <c r="U8" s="17"/>
      <c r="V8" s="17"/>
      <c r="W8" s="17"/>
      <c r="X8" s="17"/>
      <c r="Y8" s="17"/>
    </row>
    <row r="9" spans="1:25">
      <c r="A9" s="17" t="s">
        <v>2705</v>
      </c>
      <c r="B9" s="17" t="s">
        <v>2705</v>
      </c>
      <c r="C9" s="17" t="s">
        <v>2706</v>
      </c>
      <c r="D9" s="17" t="s">
        <v>2669</v>
      </c>
      <c r="E9" s="17" t="s">
        <v>2670</v>
      </c>
      <c r="F9" s="17" t="s">
        <v>2705</v>
      </c>
      <c r="G9" s="17" t="s">
        <v>2671</v>
      </c>
      <c r="H9" s="17" t="s">
        <v>4312</v>
      </c>
      <c r="I9" s="17" t="s">
        <v>2672</v>
      </c>
      <c r="J9" s="17" t="s">
        <v>2673</v>
      </c>
      <c r="K9" s="17" t="s">
        <v>2707</v>
      </c>
      <c r="L9" s="17" t="s">
        <v>2675</v>
      </c>
      <c r="M9" s="17" t="s">
        <v>2669</v>
      </c>
      <c r="N9" s="17" t="s">
        <v>2705</v>
      </c>
      <c r="O9" s="17" t="s">
        <v>7635</v>
      </c>
      <c r="P9" s="17" t="s">
        <v>2708</v>
      </c>
      <c r="Q9" s="17" t="s">
        <v>2669</v>
      </c>
      <c r="R9" s="17" t="s">
        <v>2709</v>
      </c>
      <c r="S9" s="17" t="s">
        <v>7635</v>
      </c>
      <c r="T9" s="17" t="s">
        <v>2710</v>
      </c>
      <c r="U9" s="17"/>
      <c r="V9" s="17"/>
      <c r="W9" s="17"/>
      <c r="X9" s="17"/>
      <c r="Y9" s="17"/>
    </row>
    <row r="10" spans="1:25">
      <c r="A10" s="17" t="s">
        <v>2711</v>
      </c>
      <c r="B10" s="17" t="s">
        <v>2711</v>
      </c>
      <c r="C10" s="17" t="s">
        <v>2712</v>
      </c>
      <c r="D10" s="17" t="s">
        <v>2669</v>
      </c>
      <c r="E10" s="17" t="s">
        <v>2670</v>
      </c>
      <c r="F10" s="17" t="s">
        <v>2711</v>
      </c>
      <c r="G10" s="17" t="s">
        <v>2671</v>
      </c>
      <c r="H10" s="17" t="s">
        <v>4312</v>
      </c>
      <c r="I10" s="17" t="s">
        <v>2672</v>
      </c>
      <c r="J10" s="17" t="s">
        <v>2673</v>
      </c>
      <c r="K10" s="17" t="s">
        <v>2713</v>
      </c>
      <c r="L10" s="17" t="s">
        <v>2675</v>
      </c>
      <c r="M10" s="17" t="s">
        <v>2669</v>
      </c>
      <c r="N10" s="17" t="s">
        <v>2711</v>
      </c>
      <c r="O10" s="17" t="s">
        <v>7635</v>
      </c>
      <c r="P10" s="17" t="s">
        <v>2714</v>
      </c>
      <c r="Q10" s="17"/>
      <c r="R10" s="17"/>
      <c r="S10" s="17"/>
      <c r="T10" s="17"/>
      <c r="U10" s="17"/>
      <c r="V10" s="17"/>
      <c r="W10" s="17"/>
      <c r="X10" s="17"/>
      <c r="Y10" s="17"/>
    </row>
    <row r="11" spans="1:25">
      <c r="A11" s="17" t="s">
        <v>2715</v>
      </c>
      <c r="B11" s="17" t="s">
        <v>2715</v>
      </c>
      <c r="C11" s="17" t="s">
        <v>2716</v>
      </c>
      <c r="D11" s="17" t="s">
        <v>2669</v>
      </c>
      <c r="E11" s="17" t="s">
        <v>2670</v>
      </c>
      <c r="F11" s="17" t="s">
        <v>2715</v>
      </c>
      <c r="G11" s="17" t="s">
        <v>2671</v>
      </c>
      <c r="H11" s="17" t="s">
        <v>6835</v>
      </c>
      <c r="I11" s="17" t="s">
        <v>2672</v>
      </c>
      <c r="J11" s="17" t="s">
        <v>2673</v>
      </c>
      <c r="K11" s="17" t="s">
        <v>2713</v>
      </c>
      <c r="L11" s="17" t="s">
        <v>2675</v>
      </c>
      <c r="M11" s="17" t="s">
        <v>2669</v>
      </c>
      <c r="N11" s="17" t="s">
        <v>2715</v>
      </c>
      <c r="O11" s="17" t="s">
        <v>7635</v>
      </c>
      <c r="P11" s="17" t="s">
        <v>2717</v>
      </c>
      <c r="Q11" s="17"/>
      <c r="R11" s="17"/>
      <c r="S11" s="17"/>
      <c r="T11" s="17"/>
      <c r="U11" s="17"/>
      <c r="V11" s="17"/>
      <c r="W11" s="17"/>
      <c r="X11" s="17"/>
      <c r="Y11" s="17"/>
    </row>
    <row r="12" spans="1:25">
      <c r="A12" s="17" t="s">
        <v>2718</v>
      </c>
      <c r="B12" s="17" t="s">
        <v>2718</v>
      </c>
      <c r="C12" s="17" t="s">
        <v>2719</v>
      </c>
      <c r="D12" s="17" t="s">
        <v>2669</v>
      </c>
      <c r="E12" s="17" t="s">
        <v>2670</v>
      </c>
      <c r="F12" s="17" t="s">
        <v>2718</v>
      </c>
      <c r="G12" s="17" t="s">
        <v>2671</v>
      </c>
      <c r="H12" s="17" t="s">
        <v>4312</v>
      </c>
      <c r="I12" s="17" t="s">
        <v>2672</v>
      </c>
      <c r="J12" s="17" t="s">
        <v>2673</v>
      </c>
      <c r="K12" s="17" t="s">
        <v>2720</v>
      </c>
      <c r="L12" s="17" t="s">
        <v>2675</v>
      </c>
      <c r="M12" s="17" t="s">
        <v>2669</v>
      </c>
      <c r="N12" s="17" t="s">
        <v>2721</v>
      </c>
      <c r="O12" s="17" t="s">
        <v>7635</v>
      </c>
      <c r="P12" s="17" t="s">
        <v>2722</v>
      </c>
      <c r="Q12" s="17" t="s">
        <v>2669</v>
      </c>
      <c r="R12" s="17" t="s">
        <v>2718</v>
      </c>
      <c r="S12" s="17" t="s">
        <v>7635</v>
      </c>
      <c r="T12" s="17" t="s">
        <v>2723</v>
      </c>
      <c r="U12" s="17"/>
      <c r="V12" s="17"/>
      <c r="W12" s="17"/>
      <c r="X12" s="17"/>
      <c r="Y12" s="17"/>
    </row>
    <row r="13" spans="1:25">
      <c r="A13" s="17" t="s">
        <v>2724</v>
      </c>
      <c r="B13" s="17" t="s">
        <v>2724</v>
      </c>
      <c r="C13" s="17" t="s">
        <v>2725</v>
      </c>
      <c r="D13" s="17" t="s">
        <v>2669</v>
      </c>
      <c r="E13" s="17" t="s">
        <v>2670</v>
      </c>
      <c r="F13" s="17" t="s">
        <v>2724</v>
      </c>
      <c r="G13" s="17" t="s">
        <v>2671</v>
      </c>
      <c r="H13" s="17" t="s">
        <v>6835</v>
      </c>
      <c r="I13" s="17" t="s">
        <v>2672</v>
      </c>
      <c r="J13" s="17" t="s">
        <v>2673</v>
      </c>
      <c r="K13" s="17" t="s">
        <v>2720</v>
      </c>
      <c r="L13" s="17" t="s">
        <v>2675</v>
      </c>
      <c r="M13" s="17" t="s">
        <v>2669</v>
      </c>
      <c r="N13" s="17" t="s">
        <v>2724</v>
      </c>
      <c r="O13" s="17" t="s">
        <v>7635</v>
      </c>
      <c r="P13" s="17" t="s">
        <v>2726</v>
      </c>
      <c r="Q13" s="17"/>
      <c r="R13" s="17"/>
      <c r="S13" s="17"/>
      <c r="T13" s="17"/>
      <c r="U13" s="17"/>
      <c r="V13" s="17"/>
      <c r="W13" s="17"/>
      <c r="X13" s="17"/>
      <c r="Y13" s="17"/>
    </row>
    <row r="14" spans="1:25">
      <c r="A14" s="17" t="s">
        <v>2727</v>
      </c>
      <c r="B14" s="17" t="s">
        <v>2727</v>
      </c>
      <c r="C14" s="17" t="s">
        <v>2728</v>
      </c>
      <c r="D14" s="17" t="s">
        <v>2669</v>
      </c>
      <c r="E14" s="17" t="s">
        <v>2670</v>
      </c>
      <c r="F14" s="17" t="s">
        <v>2727</v>
      </c>
      <c r="G14" s="17" t="s">
        <v>2671</v>
      </c>
      <c r="H14" s="17" t="s">
        <v>4312</v>
      </c>
      <c r="I14" s="17" t="s">
        <v>2672</v>
      </c>
      <c r="J14" s="17" t="s">
        <v>2673</v>
      </c>
      <c r="K14" s="17" t="s">
        <v>2729</v>
      </c>
      <c r="L14" s="17" t="s">
        <v>2675</v>
      </c>
      <c r="M14" s="17" t="s">
        <v>2669</v>
      </c>
      <c r="N14" s="17" t="s">
        <v>2730</v>
      </c>
      <c r="O14" s="17" t="s">
        <v>7635</v>
      </c>
      <c r="P14" s="17" t="s">
        <v>2731</v>
      </c>
      <c r="Q14" s="17" t="s">
        <v>2669</v>
      </c>
      <c r="R14" s="17" t="s">
        <v>2727</v>
      </c>
      <c r="S14" s="17" t="s">
        <v>7635</v>
      </c>
      <c r="T14" s="17" t="s">
        <v>2732</v>
      </c>
      <c r="U14" s="17"/>
      <c r="V14" s="17"/>
      <c r="W14" s="17"/>
      <c r="X14" s="17"/>
      <c r="Y14" s="17"/>
    </row>
    <row r="15" spans="1:25">
      <c r="A15" s="17" t="s">
        <v>2733</v>
      </c>
      <c r="B15" s="17" t="s">
        <v>2733</v>
      </c>
      <c r="C15" s="17" t="s">
        <v>2734</v>
      </c>
      <c r="D15" s="17" t="s">
        <v>2669</v>
      </c>
      <c r="E15" s="17" t="s">
        <v>2670</v>
      </c>
      <c r="F15" s="17" t="s">
        <v>2733</v>
      </c>
      <c r="G15" s="17" t="s">
        <v>2671</v>
      </c>
      <c r="H15" s="17" t="s">
        <v>6835</v>
      </c>
      <c r="I15" s="17" t="s">
        <v>2672</v>
      </c>
      <c r="J15" s="17" t="s">
        <v>2673</v>
      </c>
      <c r="K15" s="17" t="s">
        <v>2729</v>
      </c>
      <c r="L15" s="17" t="s">
        <v>2675</v>
      </c>
      <c r="M15" s="17" t="s">
        <v>2669</v>
      </c>
      <c r="N15" s="17" t="s">
        <v>2733</v>
      </c>
      <c r="O15" s="17" t="s">
        <v>7635</v>
      </c>
      <c r="P15" s="17" t="s">
        <v>2735</v>
      </c>
      <c r="Q15" s="17"/>
      <c r="R15" s="17"/>
      <c r="S15" s="17"/>
      <c r="T15" s="17"/>
      <c r="U15" s="17"/>
      <c r="V15" s="17"/>
      <c r="W15" s="17"/>
      <c r="X15" s="17"/>
      <c r="Y15" s="17"/>
    </row>
    <row r="16" spans="1:25">
      <c r="A16" s="17" t="s">
        <v>2736</v>
      </c>
      <c r="B16" s="17" t="s">
        <v>2736</v>
      </c>
      <c r="C16" s="17" t="s">
        <v>2737</v>
      </c>
      <c r="D16" s="17" t="s">
        <v>2669</v>
      </c>
      <c r="E16" s="17" t="s">
        <v>2670</v>
      </c>
      <c r="F16" s="17" t="s">
        <v>2736</v>
      </c>
      <c r="G16" s="17" t="s">
        <v>2671</v>
      </c>
      <c r="H16" s="17" t="s">
        <v>4312</v>
      </c>
      <c r="I16" s="17" t="s">
        <v>2672</v>
      </c>
      <c r="J16" s="17" t="s">
        <v>2673</v>
      </c>
      <c r="K16" s="17" t="s">
        <v>2738</v>
      </c>
      <c r="L16" s="17" t="s">
        <v>2675</v>
      </c>
      <c r="M16" s="17" t="s">
        <v>2669</v>
      </c>
      <c r="N16" s="17" t="s">
        <v>2736</v>
      </c>
      <c r="O16" s="17" t="s">
        <v>7635</v>
      </c>
      <c r="P16" s="17" t="s">
        <v>2739</v>
      </c>
      <c r="Q16" s="17"/>
      <c r="R16" s="17"/>
      <c r="S16" s="17"/>
      <c r="T16" s="17"/>
      <c r="U16" s="17"/>
      <c r="V16" s="17"/>
      <c r="W16" s="17"/>
      <c r="X16" s="17"/>
      <c r="Y16" s="17"/>
    </row>
    <row r="17" spans="1:25">
      <c r="A17" s="17" t="s">
        <v>2740</v>
      </c>
      <c r="B17" s="17" t="s">
        <v>2740</v>
      </c>
      <c r="C17" s="17" t="s">
        <v>2741</v>
      </c>
      <c r="D17" s="17" t="s">
        <v>2669</v>
      </c>
      <c r="E17" s="17" t="s">
        <v>2670</v>
      </c>
      <c r="F17" s="17" t="s">
        <v>2740</v>
      </c>
      <c r="G17" s="17" t="s">
        <v>2671</v>
      </c>
      <c r="H17" s="17" t="s">
        <v>4312</v>
      </c>
      <c r="I17" s="17" t="s">
        <v>2672</v>
      </c>
      <c r="J17" s="17" t="s">
        <v>2673</v>
      </c>
      <c r="K17" s="17" t="s">
        <v>2742</v>
      </c>
      <c r="L17" s="17" t="s">
        <v>2675</v>
      </c>
      <c r="M17" s="17" t="s">
        <v>2669</v>
      </c>
      <c r="N17" s="17" t="s">
        <v>2743</v>
      </c>
      <c r="O17" s="17" t="s">
        <v>7635</v>
      </c>
      <c r="P17" s="17" t="s">
        <v>2744</v>
      </c>
      <c r="Q17" s="17" t="s">
        <v>2669</v>
      </c>
      <c r="R17" s="17" t="s">
        <v>2740</v>
      </c>
      <c r="S17" s="17" t="s">
        <v>7635</v>
      </c>
      <c r="T17" s="17" t="s">
        <v>2745</v>
      </c>
      <c r="U17" s="17"/>
      <c r="V17" s="17"/>
      <c r="W17" s="17"/>
      <c r="X17" s="17"/>
      <c r="Y17" s="17"/>
    </row>
    <row r="18" spans="1:25">
      <c r="A18" s="17" t="s">
        <v>2746</v>
      </c>
      <c r="B18" s="17" t="s">
        <v>2746</v>
      </c>
      <c r="C18" s="17" t="s">
        <v>2747</v>
      </c>
      <c r="D18" s="17" t="s">
        <v>2669</v>
      </c>
      <c r="E18" s="17" t="s">
        <v>2670</v>
      </c>
      <c r="F18" s="17" t="s">
        <v>2746</v>
      </c>
      <c r="G18" s="17" t="s">
        <v>2671</v>
      </c>
      <c r="H18" s="17" t="s">
        <v>6835</v>
      </c>
      <c r="I18" s="17" t="s">
        <v>2672</v>
      </c>
      <c r="J18" s="17" t="s">
        <v>2673</v>
      </c>
      <c r="K18" s="17" t="s">
        <v>2742</v>
      </c>
      <c r="L18" s="17" t="s">
        <v>2675</v>
      </c>
      <c r="M18" s="17" t="s">
        <v>2669</v>
      </c>
      <c r="N18" s="17" t="s">
        <v>2746</v>
      </c>
      <c r="O18" s="17" t="s">
        <v>7635</v>
      </c>
      <c r="P18" s="17" t="s">
        <v>2748</v>
      </c>
      <c r="Q18" s="17"/>
      <c r="R18" s="17"/>
      <c r="S18" s="17"/>
      <c r="T18" s="17"/>
      <c r="U18" s="17"/>
      <c r="V18" s="17"/>
      <c r="W18" s="17"/>
      <c r="X18" s="17"/>
      <c r="Y18" s="17"/>
    </row>
    <row r="19" spans="1:25">
      <c r="A19" s="17" t="s">
        <v>2749</v>
      </c>
      <c r="B19" s="17" t="s">
        <v>2749</v>
      </c>
      <c r="C19" s="17" t="s">
        <v>2750</v>
      </c>
      <c r="D19" s="17" t="s">
        <v>2669</v>
      </c>
      <c r="E19" s="17" t="s">
        <v>2670</v>
      </c>
      <c r="F19" s="17" t="s">
        <v>2749</v>
      </c>
      <c r="G19" s="17" t="s">
        <v>2671</v>
      </c>
      <c r="H19" s="17" t="s">
        <v>4312</v>
      </c>
      <c r="I19" s="17" t="s">
        <v>2672</v>
      </c>
      <c r="J19" s="17" t="s">
        <v>2673</v>
      </c>
      <c r="K19" s="17" t="s">
        <v>2751</v>
      </c>
      <c r="L19" s="17" t="s">
        <v>2675</v>
      </c>
      <c r="M19" s="17" t="s">
        <v>2669</v>
      </c>
      <c r="N19" s="17" t="s">
        <v>2752</v>
      </c>
      <c r="O19" s="17" t="s">
        <v>7635</v>
      </c>
      <c r="P19" s="17" t="s">
        <v>2753</v>
      </c>
      <c r="Q19" s="17" t="s">
        <v>2669</v>
      </c>
      <c r="R19" s="17" t="s">
        <v>2749</v>
      </c>
      <c r="S19" s="17" t="s">
        <v>7635</v>
      </c>
      <c r="T19" s="17" t="s">
        <v>2754</v>
      </c>
      <c r="U19" s="17"/>
      <c r="V19" s="17"/>
      <c r="W19" s="17"/>
      <c r="X19" s="17"/>
      <c r="Y19" s="17"/>
    </row>
    <row r="20" spans="1:25">
      <c r="A20" s="17" t="s">
        <v>2755</v>
      </c>
      <c r="B20" s="17" t="s">
        <v>2755</v>
      </c>
      <c r="C20" s="17" t="s">
        <v>2756</v>
      </c>
      <c r="D20" s="17" t="s">
        <v>2669</v>
      </c>
      <c r="E20" s="17" t="s">
        <v>2670</v>
      </c>
      <c r="F20" s="17" t="s">
        <v>2755</v>
      </c>
      <c r="G20" s="17" t="s">
        <v>2671</v>
      </c>
      <c r="H20" s="17" t="s">
        <v>6835</v>
      </c>
      <c r="I20" s="17" t="s">
        <v>2672</v>
      </c>
      <c r="J20" s="17" t="s">
        <v>2673</v>
      </c>
      <c r="K20" s="17" t="s">
        <v>2751</v>
      </c>
      <c r="L20" s="17" t="s">
        <v>2675</v>
      </c>
      <c r="M20" s="17" t="s">
        <v>2669</v>
      </c>
      <c r="N20" s="17" t="s">
        <v>2755</v>
      </c>
      <c r="O20" s="17" t="s">
        <v>7635</v>
      </c>
      <c r="P20" s="17" t="s">
        <v>2757</v>
      </c>
      <c r="Q20" s="17"/>
      <c r="R20" s="17"/>
      <c r="S20" s="17"/>
      <c r="T20" s="17"/>
      <c r="U20" s="17"/>
      <c r="V20" s="17"/>
      <c r="W20" s="17"/>
      <c r="X20" s="17"/>
      <c r="Y20" s="17"/>
    </row>
    <row r="21" spans="1:25">
      <c r="A21" s="17" t="s">
        <v>2758</v>
      </c>
      <c r="B21" s="17" t="s">
        <v>2758</v>
      </c>
      <c r="C21" s="17" t="s">
        <v>2759</v>
      </c>
      <c r="D21" s="17" t="s">
        <v>2669</v>
      </c>
      <c r="E21" s="17" t="s">
        <v>2670</v>
      </c>
      <c r="F21" s="17" t="s">
        <v>2758</v>
      </c>
      <c r="G21" s="17" t="s">
        <v>2671</v>
      </c>
      <c r="H21" s="17" t="s">
        <v>4312</v>
      </c>
      <c r="I21" s="17" t="s">
        <v>2672</v>
      </c>
      <c r="J21" s="17" t="s">
        <v>2673</v>
      </c>
      <c r="K21" s="17" t="s">
        <v>2760</v>
      </c>
      <c r="L21" s="17" t="s">
        <v>2675</v>
      </c>
      <c r="M21" s="17" t="s">
        <v>2669</v>
      </c>
      <c r="N21" s="17" t="s">
        <v>2761</v>
      </c>
      <c r="O21" s="17" t="s">
        <v>7635</v>
      </c>
      <c r="P21" s="17" t="s">
        <v>2762</v>
      </c>
      <c r="Q21" s="17" t="s">
        <v>2669</v>
      </c>
      <c r="R21" s="17" t="s">
        <v>2758</v>
      </c>
      <c r="S21" s="17" t="s">
        <v>7635</v>
      </c>
      <c r="T21" s="17" t="s">
        <v>2763</v>
      </c>
      <c r="U21" s="17"/>
      <c r="V21" s="17"/>
      <c r="W21" s="17"/>
      <c r="X21" s="17"/>
      <c r="Y21" s="17"/>
    </row>
    <row r="22" spans="1:25">
      <c r="A22" s="17" t="s">
        <v>2764</v>
      </c>
      <c r="B22" s="17" t="s">
        <v>2764</v>
      </c>
      <c r="C22" s="17" t="s">
        <v>2765</v>
      </c>
      <c r="D22" s="17" t="s">
        <v>2669</v>
      </c>
      <c r="E22" s="17" t="s">
        <v>2670</v>
      </c>
      <c r="F22" s="17" t="s">
        <v>2764</v>
      </c>
      <c r="G22" s="17" t="s">
        <v>2671</v>
      </c>
      <c r="H22" s="17" t="s">
        <v>6835</v>
      </c>
      <c r="I22" s="17" t="s">
        <v>2672</v>
      </c>
      <c r="J22" s="17" t="s">
        <v>2673</v>
      </c>
      <c r="K22" s="17" t="s">
        <v>2760</v>
      </c>
      <c r="L22" s="17" t="s">
        <v>2675</v>
      </c>
      <c r="M22" s="17" t="s">
        <v>2669</v>
      </c>
      <c r="N22" s="17" t="s">
        <v>2764</v>
      </c>
      <c r="O22" s="17" t="s">
        <v>7635</v>
      </c>
      <c r="P22" s="17" t="s">
        <v>2766</v>
      </c>
      <c r="Q22" s="17"/>
      <c r="R22" s="17"/>
      <c r="S22" s="17"/>
      <c r="T22" s="17"/>
      <c r="U22" s="17"/>
      <c r="V22" s="17"/>
      <c r="W22" s="17"/>
      <c r="X22" s="17"/>
      <c r="Y22" s="17"/>
    </row>
    <row r="23" spans="1:25">
      <c r="A23" s="17" t="s">
        <v>2767</v>
      </c>
      <c r="B23" s="17" t="s">
        <v>2767</v>
      </c>
      <c r="C23" s="17" t="s">
        <v>2768</v>
      </c>
      <c r="D23" s="17" t="s">
        <v>2669</v>
      </c>
      <c r="E23" s="17" t="s">
        <v>2670</v>
      </c>
      <c r="F23" s="17" t="s">
        <v>2767</v>
      </c>
      <c r="G23" s="17" t="s">
        <v>2671</v>
      </c>
      <c r="H23" s="17" t="s">
        <v>4312</v>
      </c>
      <c r="I23" s="17" t="s">
        <v>2672</v>
      </c>
      <c r="J23" s="17" t="s">
        <v>2673</v>
      </c>
      <c r="K23" s="17" t="s">
        <v>2769</v>
      </c>
      <c r="L23" s="17" t="s">
        <v>2675</v>
      </c>
      <c r="M23" s="17" t="s">
        <v>2669</v>
      </c>
      <c r="N23" s="17" t="s">
        <v>2770</v>
      </c>
      <c r="O23" s="17" t="s">
        <v>7635</v>
      </c>
      <c r="P23" s="17" t="s">
        <v>2771</v>
      </c>
      <c r="Q23" s="17" t="s">
        <v>2669</v>
      </c>
      <c r="R23" s="17" t="s">
        <v>2767</v>
      </c>
      <c r="S23" s="17" t="s">
        <v>7635</v>
      </c>
      <c r="T23" s="17" t="s">
        <v>2772</v>
      </c>
      <c r="U23" s="17"/>
      <c r="V23" s="17"/>
      <c r="W23" s="17"/>
      <c r="X23" s="17"/>
      <c r="Y23" s="17"/>
    </row>
    <row r="24" spans="1:25">
      <c r="A24" s="17" t="s">
        <v>2773</v>
      </c>
      <c r="B24" s="17" t="s">
        <v>2773</v>
      </c>
      <c r="C24" s="17" t="s">
        <v>2774</v>
      </c>
      <c r="D24" s="17" t="s">
        <v>2669</v>
      </c>
      <c r="E24" s="17" t="s">
        <v>2670</v>
      </c>
      <c r="F24" s="17" t="s">
        <v>2773</v>
      </c>
      <c r="G24" s="17" t="s">
        <v>2671</v>
      </c>
      <c r="H24" s="17" t="s">
        <v>6835</v>
      </c>
      <c r="I24" s="17" t="s">
        <v>2672</v>
      </c>
      <c r="J24" s="17" t="s">
        <v>2673</v>
      </c>
      <c r="K24" s="17" t="s">
        <v>2769</v>
      </c>
      <c r="L24" s="17" t="s">
        <v>2675</v>
      </c>
      <c r="M24" s="17" t="s">
        <v>2669</v>
      </c>
      <c r="N24" s="17" t="s">
        <v>2773</v>
      </c>
      <c r="O24" s="17" t="s">
        <v>7635</v>
      </c>
      <c r="P24" s="17" t="s">
        <v>2775</v>
      </c>
      <c r="Q24" s="17"/>
      <c r="R24" s="17"/>
      <c r="S24" s="17"/>
      <c r="T24" s="17"/>
      <c r="U24" s="17"/>
      <c r="V24" s="17"/>
      <c r="W24" s="17"/>
      <c r="X24" s="17"/>
      <c r="Y24" s="17"/>
    </row>
    <row r="25" spans="1:25">
      <c r="A25" s="17" t="s">
        <v>2776</v>
      </c>
      <c r="B25" s="17" t="s">
        <v>2776</v>
      </c>
      <c r="C25" s="17" t="s">
        <v>2777</v>
      </c>
      <c r="D25" s="17" t="s">
        <v>2669</v>
      </c>
      <c r="E25" s="17" t="s">
        <v>2670</v>
      </c>
      <c r="F25" s="17" t="s">
        <v>2776</v>
      </c>
      <c r="G25" s="17" t="s">
        <v>2671</v>
      </c>
      <c r="H25" s="17" t="s">
        <v>4312</v>
      </c>
      <c r="I25" s="17" t="s">
        <v>2672</v>
      </c>
      <c r="J25" s="17" t="s">
        <v>2673</v>
      </c>
      <c r="K25" s="17" t="s">
        <v>2778</v>
      </c>
      <c r="L25" s="17" t="s">
        <v>2675</v>
      </c>
      <c r="M25" s="17" t="s">
        <v>2669</v>
      </c>
      <c r="N25" s="17" t="s">
        <v>2779</v>
      </c>
      <c r="O25" s="17" t="s">
        <v>7635</v>
      </c>
      <c r="P25" s="17" t="s">
        <v>2780</v>
      </c>
      <c r="Q25" s="17" t="s">
        <v>2669</v>
      </c>
      <c r="R25" s="17" t="s">
        <v>2776</v>
      </c>
      <c r="S25" s="17" t="s">
        <v>7635</v>
      </c>
      <c r="T25" s="17" t="s">
        <v>2781</v>
      </c>
      <c r="U25" s="17"/>
      <c r="V25" s="17"/>
      <c r="W25" s="17"/>
      <c r="X25" s="17"/>
      <c r="Y25" s="17"/>
    </row>
    <row r="26" spans="1:25">
      <c r="A26" s="17" t="s">
        <v>2782</v>
      </c>
      <c r="B26" s="17" t="s">
        <v>2782</v>
      </c>
      <c r="C26" s="17" t="s">
        <v>2783</v>
      </c>
      <c r="D26" s="17" t="s">
        <v>2669</v>
      </c>
      <c r="E26" s="17" t="s">
        <v>2670</v>
      </c>
      <c r="F26" s="17" t="s">
        <v>2782</v>
      </c>
      <c r="G26" s="17" t="s">
        <v>2671</v>
      </c>
      <c r="H26" s="17" t="s">
        <v>6835</v>
      </c>
      <c r="I26" s="17" t="s">
        <v>2672</v>
      </c>
      <c r="J26" s="17" t="s">
        <v>2673</v>
      </c>
      <c r="K26" s="17" t="s">
        <v>2778</v>
      </c>
      <c r="L26" s="17" t="s">
        <v>2675</v>
      </c>
      <c r="M26" s="17" t="s">
        <v>2669</v>
      </c>
      <c r="N26" s="17" t="s">
        <v>2782</v>
      </c>
      <c r="O26" s="17" t="s">
        <v>7635</v>
      </c>
      <c r="P26" s="17" t="s">
        <v>2784</v>
      </c>
      <c r="Q26" s="17"/>
      <c r="R26" s="17"/>
      <c r="S26" s="17"/>
      <c r="T26" s="17"/>
      <c r="U26" s="17"/>
      <c r="V26" s="17"/>
      <c r="W26" s="17"/>
      <c r="X26" s="17"/>
      <c r="Y26" s="17"/>
    </row>
    <row r="27" spans="1:25">
      <c r="A27" s="17" t="s">
        <v>2785</v>
      </c>
      <c r="B27" s="17" t="s">
        <v>2785</v>
      </c>
      <c r="C27" s="17" t="s">
        <v>2786</v>
      </c>
      <c r="D27" s="17" t="s">
        <v>2669</v>
      </c>
      <c r="E27" s="17" t="s">
        <v>2670</v>
      </c>
      <c r="F27" s="17" t="s">
        <v>2785</v>
      </c>
      <c r="G27" s="17" t="s">
        <v>2671</v>
      </c>
      <c r="H27" s="17" t="s">
        <v>4312</v>
      </c>
      <c r="I27" s="17" t="s">
        <v>2672</v>
      </c>
      <c r="J27" s="17" t="s">
        <v>2673</v>
      </c>
      <c r="K27" s="17" t="s">
        <v>2787</v>
      </c>
      <c r="L27" s="17" t="s">
        <v>2675</v>
      </c>
      <c r="M27" s="17" t="s">
        <v>2669</v>
      </c>
      <c r="N27" s="17" t="s">
        <v>2785</v>
      </c>
      <c r="O27" s="17" t="s">
        <v>7635</v>
      </c>
      <c r="P27" s="17" t="s">
        <v>2788</v>
      </c>
      <c r="Q27" s="17"/>
      <c r="R27" s="17"/>
      <c r="S27" s="17"/>
      <c r="T27" s="17"/>
      <c r="U27" s="17"/>
      <c r="V27" s="17"/>
      <c r="W27" s="17"/>
      <c r="X27" s="17"/>
      <c r="Y27" s="17"/>
    </row>
    <row r="28" spans="1:25">
      <c r="A28" s="17" t="s">
        <v>2789</v>
      </c>
      <c r="B28" s="17" t="s">
        <v>2789</v>
      </c>
      <c r="C28" s="17" t="s">
        <v>2790</v>
      </c>
      <c r="D28" s="17" t="s">
        <v>2669</v>
      </c>
      <c r="E28" s="17" t="s">
        <v>2670</v>
      </c>
      <c r="F28" s="17" t="s">
        <v>2789</v>
      </c>
      <c r="G28" s="17" t="s">
        <v>2671</v>
      </c>
      <c r="H28" s="17" t="s">
        <v>4312</v>
      </c>
      <c r="I28" s="17" t="s">
        <v>2672</v>
      </c>
      <c r="J28" s="17" t="s">
        <v>2673</v>
      </c>
      <c r="K28" s="17" t="s">
        <v>2791</v>
      </c>
      <c r="L28" s="17" t="s">
        <v>2675</v>
      </c>
      <c r="M28" s="17" t="s">
        <v>2669</v>
      </c>
      <c r="N28" s="17" t="s">
        <v>2792</v>
      </c>
      <c r="O28" s="17" t="s">
        <v>7635</v>
      </c>
      <c r="P28" s="17" t="s">
        <v>2793</v>
      </c>
      <c r="Q28" s="17" t="s">
        <v>2669</v>
      </c>
      <c r="R28" s="17" t="s">
        <v>2789</v>
      </c>
      <c r="S28" s="17" t="s">
        <v>7635</v>
      </c>
      <c r="T28" s="17" t="s">
        <v>2794</v>
      </c>
      <c r="U28" s="17"/>
      <c r="V28" s="17"/>
      <c r="W28" s="17"/>
      <c r="X28" s="17"/>
      <c r="Y28" s="17"/>
    </row>
    <row r="29" spans="1:25">
      <c r="A29" s="17" t="s">
        <v>2795</v>
      </c>
      <c r="B29" s="17" t="s">
        <v>2795</v>
      </c>
      <c r="C29" s="17" t="s">
        <v>2796</v>
      </c>
      <c r="D29" s="17" t="s">
        <v>2669</v>
      </c>
      <c r="E29" s="17" t="s">
        <v>2670</v>
      </c>
      <c r="F29" s="17" t="s">
        <v>2795</v>
      </c>
      <c r="G29" s="17" t="s">
        <v>2671</v>
      </c>
      <c r="H29" s="17" t="s">
        <v>6835</v>
      </c>
      <c r="I29" s="17" t="s">
        <v>2672</v>
      </c>
      <c r="J29" s="17" t="s">
        <v>2673</v>
      </c>
      <c r="K29" s="17" t="s">
        <v>2791</v>
      </c>
      <c r="L29" s="17" t="s">
        <v>2675</v>
      </c>
      <c r="M29" s="17" t="s">
        <v>2669</v>
      </c>
      <c r="N29" s="17" t="s">
        <v>2795</v>
      </c>
      <c r="O29" s="17" t="s">
        <v>7635</v>
      </c>
      <c r="P29" s="17" t="s">
        <v>2797</v>
      </c>
      <c r="Q29" s="17"/>
      <c r="R29" s="17"/>
      <c r="S29" s="17"/>
      <c r="T29" s="17"/>
      <c r="U29" s="17"/>
      <c r="V29" s="17"/>
      <c r="W29" s="17"/>
      <c r="X29" s="17"/>
      <c r="Y29" s="17"/>
    </row>
    <row r="30" spans="1:25">
      <c r="A30" s="17" t="s">
        <v>2798</v>
      </c>
      <c r="B30" s="17" t="s">
        <v>2798</v>
      </c>
      <c r="C30" s="17" t="s">
        <v>2799</v>
      </c>
      <c r="D30" s="17" t="s">
        <v>2669</v>
      </c>
      <c r="E30" s="17" t="s">
        <v>2670</v>
      </c>
      <c r="F30" s="17" t="s">
        <v>2798</v>
      </c>
      <c r="G30" s="17" t="s">
        <v>2671</v>
      </c>
      <c r="H30" s="17" t="s">
        <v>4312</v>
      </c>
      <c r="I30" s="17" t="s">
        <v>2672</v>
      </c>
      <c r="J30" s="17" t="s">
        <v>2673</v>
      </c>
      <c r="K30" s="17" t="s">
        <v>2800</v>
      </c>
      <c r="L30" s="17" t="s">
        <v>2675</v>
      </c>
      <c r="M30" s="17" t="s">
        <v>2669</v>
      </c>
      <c r="N30" s="17" t="s">
        <v>2801</v>
      </c>
      <c r="O30" s="17" t="s">
        <v>7635</v>
      </c>
      <c r="P30" s="17" t="s">
        <v>2802</v>
      </c>
      <c r="Q30" s="17" t="s">
        <v>2669</v>
      </c>
      <c r="R30" s="17" t="s">
        <v>2798</v>
      </c>
      <c r="S30" s="17" t="s">
        <v>7635</v>
      </c>
      <c r="T30" s="17" t="s">
        <v>2803</v>
      </c>
      <c r="U30" s="17"/>
      <c r="V30" s="17"/>
      <c r="W30" s="17"/>
      <c r="X30" s="17"/>
      <c r="Y30" s="17"/>
    </row>
    <row r="31" spans="1:25">
      <c r="A31" s="17" t="s">
        <v>2804</v>
      </c>
      <c r="B31" s="17" t="s">
        <v>2804</v>
      </c>
      <c r="C31" s="17" t="s">
        <v>2805</v>
      </c>
      <c r="D31" s="17" t="s">
        <v>2669</v>
      </c>
      <c r="E31" s="17" t="s">
        <v>2670</v>
      </c>
      <c r="F31" s="17" t="s">
        <v>2804</v>
      </c>
      <c r="G31" s="17" t="s">
        <v>2671</v>
      </c>
      <c r="H31" s="17" t="s">
        <v>6835</v>
      </c>
      <c r="I31" s="17" t="s">
        <v>2672</v>
      </c>
      <c r="J31" s="17" t="s">
        <v>2673</v>
      </c>
      <c r="K31" s="17" t="s">
        <v>2800</v>
      </c>
      <c r="L31" s="17" t="s">
        <v>2675</v>
      </c>
      <c r="M31" s="17" t="s">
        <v>2669</v>
      </c>
      <c r="N31" s="17" t="s">
        <v>2804</v>
      </c>
      <c r="O31" s="17" t="s">
        <v>7635</v>
      </c>
      <c r="P31" s="17" t="s">
        <v>2806</v>
      </c>
      <c r="Q31" s="17"/>
      <c r="R31" s="17"/>
      <c r="S31" s="17"/>
      <c r="T31" s="17"/>
      <c r="U31" s="17"/>
      <c r="V31" s="17"/>
      <c r="W31" s="17"/>
      <c r="X31" s="17"/>
      <c r="Y31" s="17"/>
    </row>
    <row r="32" spans="1:25">
      <c r="A32" s="17" t="s">
        <v>2807</v>
      </c>
      <c r="B32" s="17" t="s">
        <v>2807</v>
      </c>
      <c r="C32" s="17" t="s">
        <v>2808</v>
      </c>
      <c r="D32" s="17" t="s">
        <v>2669</v>
      </c>
      <c r="E32" s="17" t="s">
        <v>2670</v>
      </c>
      <c r="F32" s="17" t="s">
        <v>2807</v>
      </c>
      <c r="G32" s="17" t="s">
        <v>2671</v>
      </c>
      <c r="H32" s="17" t="s">
        <v>4312</v>
      </c>
      <c r="I32" s="17" t="s">
        <v>2672</v>
      </c>
      <c r="J32" s="17" t="s">
        <v>2673</v>
      </c>
      <c r="K32" s="17" t="s">
        <v>2809</v>
      </c>
      <c r="L32" s="17" t="s">
        <v>2675</v>
      </c>
      <c r="M32" s="17" t="s">
        <v>2669</v>
      </c>
      <c r="N32" s="17" t="s">
        <v>2807</v>
      </c>
      <c r="O32" s="17" t="s">
        <v>7635</v>
      </c>
      <c r="P32" s="17" t="s">
        <v>2810</v>
      </c>
      <c r="Q32" s="17" t="s">
        <v>2669</v>
      </c>
      <c r="R32" s="17" t="s">
        <v>2811</v>
      </c>
      <c r="S32" s="17" t="s">
        <v>7635</v>
      </c>
      <c r="T32" s="17" t="s">
        <v>2812</v>
      </c>
      <c r="U32" s="17"/>
      <c r="V32" s="17"/>
      <c r="W32" s="17"/>
      <c r="X32" s="17"/>
      <c r="Y32" s="17"/>
    </row>
    <row r="33" spans="1:25">
      <c r="A33" s="17" t="s">
        <v>2813</v>
      </c>
      <c r="B33" s="17" t="s">
        <v>2813</v>
      </c>
      <c r="C33" s="17" t="s">
        <v>2814</v>
      </c>
      <c r="D33" s="17" t="s">
        <v>2669</v>
      </c>
      <c r="E33" s="17" t="s">
        <v>2670</v>
      </c>
      <c r="F33" s="17" t="s">
        <v>2813</v>
      </c>
      <c r="G33" s="17" t="s">
        <v>2671</v>
      </c>
      <c r="H33" s="17" t="s">
        <v>6835</v>
      </c>
      <c r="I33" s="17" t="s">
        <v>2672</v>
      </c>
      <c r="J33" s="17" t="s">
        <v>2673</v>
      </c>
      <c r="K33" s="17" t="s">
        <v>2809</v>
      </c>
      <c r="L33" s="17" t="s">
        <v>2675</v>
      </c>
      <c r="M33" s="17" t="s">
        <v>2669</v>
      </c>
      <c r="N33" s="17" t="s">
        <v>2813</v>
      </c>
      <c r="O33" s="17" t="s">
        <v>7635</v>
      </c>
      <c r="P33" s="17" t="s">
        <v>2815</v>
      </c>
      <c r="Q33" s="17"/>
      <c r="R33" s="17"/>
      <c r="S33" s="17"/>
      <c r="T33" s="17"/>
      <c r="U33" s="17"/>
      <c r="V33" s="17"/>
      <c r="W33" s="17"/>
      <c r="X33" s="17"/>
      <c r="Y33" s="17"/>
    </row>
    <row r="34" spans="1:25">
      <c r="A34" s="17" t="s">
        <v>2816</v>
      </c>
      <c r="B34" s="17" t="s">
        <v>2816</v>
      </c>
      <c r="C34" s="17" t="s">
        <v>2817</v>
      </c>
      <c r="D34" s="17" t="s">
        <v>2669</v>
      </c>
      <c r="E34" s="17" t="s">
        <v>2670</v>
      </c>
      <c r="F34" s="17" t="s">
        <v>2816</v>
      </c>
      <c r="G34" s="17" t="s">
        <v>2671</v>
      </c>
      <c r="H34" s="17" t="s">
        <v>4312</v>
      </c>
      <c r="I34" s="17" t="s">
        <v>2672</v>
      </c>
      <c r="J34" s="17" t="s">
        <v>2673</v>
      </c>
      <c r="K34" s="17" t="s">
        <v>2818</v>
      </c>
      <c r="L34" s="17" t="s">
        <v>2675</v>
      </c>
      <c r="M34" s="17" t="s">
        <v>2669</v>
      </c>
      <c r="N34" s="17" t="s">
        <v>2819</v>
      </c>
      <c r="O34" s="17" t="s">
        <v>7635</v>
      </c>
      <c r="P34" s="17" t="s">
        <v>2820</v>
      </c>
      <c r="Q34" s="17" t="s">
        <v>2669</v>
      </c>
      <c r="R34" s="17" t="s">
        <v>2816</v>
      </c>
      <c r="S34" s="17" t="s">
        <v>7635</v>
      </c>
      <c r="T34" s="17" t="s">
        <v>2821</v>
      </c>
      <c r="U34" s="17"/>
      <c r="V34" s="17"/>
      <c r="W34" s="17"/>
      <c r="X34" s="17"/>
      <c r="Y34" s="17"/>
    </row>
    <row r="35" spans="1:25">
      <c r="A35" s="17" t="s">
        <v>2822</v>
      </c>
      <c r="B35" s="17" t="s">
        <v>2822</v>
      </c>
      <c r="C35" s="17" t="s">
        <v>2823</v>
      </c>
      <c r="D35" s="17" t="s">
        <v>2669</v>
      </c>
      <c r="E35" s="17" t="s">
        <v>2670</v>
      </c>
      <c r="F35" s="17" t="s">
        <v>2822</v>
      </c>
      <c r="G35" s="17" t="s">
        <v>2671</v>
      </c>
      <c r="H35" s="17" t="s">
        <v>6835</v>
      </c>
      <c r="I35" s="17" t="s">
        <v>2672</v>
      </c>
      <c r="J35" s="17" t="s">
        <v>2673</v>
      </c>
      <c r="K35" s="17" t="s">
        <v>2818</v>
      </c>
      <c r="L35" s="17" t="s">
        <v>2675</v>
      </c>
      <c r="M35" s="17" t="s">
        <v>2669</v>
      </c>
      <c r="N35" s="17" t="s">
        <v>2822</v>
      </c>
      <c r="O35" s="17" t="s">
        <v>7635</v>
      </c>
      <c r="P35" s="17" t="s">
        <v>2824</v>
      </c>
      <c r="Q35" s="17"/>
      <c r="R35" s="17"/>
      <c r="S35" s="17"/>
      <c r="T35" s="17"/>
      <c r="U35" s="17"/>
      <c r="V35" s="17"/>
      <c r="W35" s="17"/>
      <c r="X35" s="17"/>
      <c r="Y35" s="17"/>
    </row>
    <row r="36" spans="1:25">
      <c r="A36" s="17" t="s">
        <v>2825</v>
      </c>
      <c r="B36" s="17" t="s">
        <v>2825</v>
      </c>
      <c r="C36" s="17" t="s">
        <v>2826</v>
      </c>
      <c r="D36" s="17" t="s">
        <v>2669</v>
      </c>
      <c r="E36" s="17" t="s">
        <v>2670</v>
      </c>
      <c r="F36" s="17" t="s">
        <v>2825</v>
      </c>
      <c r="G36" s="17" t="s">
        <v>2671</v>
      </c>
      <c r="H36" s="17" t="s">
        <v>4312</v>
      </c>
      <c r="I36" s="17" t="s">
        <v>2672</v>
      </c>
      <c r="J36" s="17" t="s">
        <v>2673</v>
      </c>
      <c r="K36" s="17" t="s">
        <v>2827</v>
      </c>
      <c r="L36" s="17" t="s">
        <v>2675</v>
      </c>
      <c r="M36" s="17" t="s">
        <v>2669</v>
      </c>
      <c r="N36" s="17" t="s">
        <v>2828</v>
      </c>
      <c r="O36" s="17" t="s">
        <v>7635</v>
      </c>
      <c r="P36" s="17" t="s">
        <v>2829</v>
      </c>
      <c r="Q36" s="17" t="s">
        <v>2669</v>
      </c>
      <c r="R36" s="17" t="s">
        <v>2825</v>
      </c>
      <c r="S36" s="17" t="s">
        <v>7635</v>
      </c>
      <c r="T36" s="17" t="s">
        <v>2830</v>
      </c>
      <c r="U36" s="17"/>
      <c r="V36" s="17"/>
      <c r="W36" s="17"/>
      <c r="X36" s="17"/>
      <c r="Y36" s="17"/>
    </row>
    <row r="37" spans="1:25">
      <c r="A37" s="17" t="s">
        <v>2831</v>
      </c>
      <c r="B37" s="17" t="s">
        <v>2831</v>
      </c>
      <c r="C37" s="17" t="s">
        <v>2832</v>
      </c>
      <c r="D37" s="17" t="s">
        <v>2669</v>
      </c>
      <c r="E37" s="17" t="s">
        <v>2670</v>
      </c>
      <c r="F37" s="17" t="s">
        <v>2831</v>
      </c>
      <c r="G37" s="17" t="s">
        <v>2671</v>
      </c>
      <c r="H37" s="17" t="s">
        <v>6835</v>
      </c>
      <c r="I37" s="17" t="s">
        <v>2672</v>
      </c>
      <c r="J37" s="17" t="s">
        <v>2673</v>
      </c>
      <c r="K37" s="17" t="s">
        <v>2827</v>
      </c>
      <c r="L37" s="17" t="s">
        <v>2675</v>
      </c>
      <c r="M37" s="17" t="s">
        <v>2669</v>
      </c>
      <c r="N37" s="17" t="s">
        <v>2831</v>
      </c>
      <c r="O37" s="17" t="s">
        <v>7635</v>
      </c>
      <c r="P37" s="17" t="s">
        <v>2833</v>
      </c>
      <c r="Q37" s="17"/>
      <c r="R37" s="17"/>
      <c r="S37" s="17"/>
      <c r="T37" s="17"/>
      <c r="U37" s="17"/>
      <c r="V37" s="17"/>
      <c r="W37" s="17"/>
      <c r="X37" s="17"/>
      <c r="Y37" s="17"/>
    </row>
    <row r="38" spans="1:25">
      <c r="A38" s="17" t="s">
        <v>2834</v>
      </c>
      <c r="B38" s="17" t="s">
        <v>2834</v>
      </c>
      <c r="C38" s="17" t="s">
        <v>2835</v>
      </c>
      <c r="D38" s="17" t="s">
        <v>2669</v>
      </c>
      <c r="E38" s="17" t="s">
        <v>2670</v>
      </c>
      <c r="F38" s="17" t="s">
        <v>2834</v>
      </c>
      <c r="G38" s="17" t="s">
        <v>2671</v>
      </c>
      <c r="H38" s="17" t="s">
        <v>4312</v>
      </c>
      <c r="I38" s="17" t="s">
        <v>2672</v>
      </c>
      <c r="J38" s="17" t="s">
        <v>2673</v>
      </c>
      <c r="K38" s="17" t="s">
        <v>2836</v>
      </c>
      <c r="L38" s="17" t="s">
        <v>2675</v>
      </c>
      <c r="M38" s="17" t="s">
        <v>2669</v>
      </c>
      <c r="N38" s="17" t="s">
        <v>2837</v>
      </c>
      <c r="O38" s="17" t="s">
        <v>7635</v>
      </c>
      <c r="P38" s="17" t="s">
        <v>2838</v>
      </c>
      <c r="Q38" s="17" t="s">
        <v>2669</v>
      </c>
      <c r="R38" s="17" t="s">
        <v>2834</v>
      </c>
      <c r="S38" s="17" t="s">
        <v>7635</v>
      </c>
      <c r="T38" s="17" t="s">
        <v>2839</v>
      </c>
      <c r="U38" s="17"/>
      <c r="V38" s="17"/>
      <c r="W38" s="17"/>
      <c r="X38" s="17"/>
      <c r="Y38" s="17"/>
    </row>
    <row r="39" spans="1:25">
      <c r="A39" s="17" t="s">
        <v>2840</v>
      </c>
      <c r="B39" s="17" t="s">
        <v>2840</v>
      </c>
      <c r="C39" s="17" t="s">
        <v>2841</v>
      </c>
      <c r="D39" s="17" t="s">
        <v>2669</v>
      </c>
      <c r="E39" s="17" t="s">
        <v>2670</v>
      </c>
      <c r="F39" s="17" t="s">
        <v>2840</v>
      </c>
      <c r="G39" s="17" t="s">
        <v>2671</v>
      </c>
      <c r="H39" s="17" t="s">
        <v>6835</v>
      </c>
      <c r="I39" s="17" t="s">
        <v>2672</v>
      </c>
      <c r="J39" s="17" t="s">
        <v>2673</v>
      </c>
      <c r="K39" s="17" t="s">
        <v>2836</v>
      </c>
      <c r="L39" s="17" t="s">
        <v>2675</v>
      </c>
      <c r="M39" s="17" t="s">
        <v>2669</v>
      </c>
      <c r="N39" s="17" t="s">
        <v>2840</v>
      </c>
      <c r="O39" s="17" t="s">
        <v>7635</v>
      </c>
      <c r="P39" s="17" t="s">
        <v>2842</v>
      </c>
      <c r="Q39" s="17"/>
      <c r="R39" s="17"/>
      <c r="S39" s="17"/>
      <c r="T39" s="17"/>
      <c r="U39" s="17"/>
      <c r="V39" s="17"/>
      <c r="W39" s="17"/>
      <c r="X39" s="17"/>
      <c r="Y39" s="17"/>
    </row>
    <row r="40" spans="1:25">
      <c r="A40" s="17" t="s">
        <v>2843</v>
      </c>
      <c r="B40" s="17" t="s">
        <v>2843</v>
      </c>
      <c r="C40" s="17" t="s">
        <v>2844</v>
      </c>
      <c r="D40" s="17" t="s">
        <v>2669</v>
      </c>
      <c r="E40" s="17" t="s">
        <v>2670</v>
      </c>
      <c r="F40" s="17" t="s">
        <v>2843</v>
      </c>
      <c r="G40" s="17" t="s">
        <v>2671</v>
      </c>
      <c r="H40" s="17" t="s">
        <v>4312</v>
      </c>
      <c r="I40" s="17" t="s">
        <v>2672</v>
      </c>
      <c r="J40" s="17" t="s">
        <v>2673</v>
      </c>
      <c r="K40" s="17" t="s">
        <v>2845</v>
      </c>
      <c r="L40" s="17" t="s">
        <v>2675</v>
      </c>
      <c r="M40" s="17" t="s">
        <v>2669</v>
      </c>
      <c r="N40" s="17" t="s">
        <v>2846</v>
      </c>
      <c r="O40" s="17" t="s">
        <v>7635</v>
      </c>
      <c r="P40" s="17" t="s">
        <v>2847</v>
      </c>
      <c r="Q40" s="17" t="s">
        <v>2669</v>
      </c>
      <c r="R40" s="17" t="s">
        <v>2843</v>
      </c>
      <c r="S40" s="17" t="s">
        <v>7635</v>
      </c>
      <c r="T40" s="17" t="s">
        <v>2848</v>
      </c>
      <c r="U40" s="17"/>
      <c r="V40" s="17"/>
      <c r="W40" s="17"/>
      <c r="X40" s="17"/>
      <c r="Y40" s="17"/>
    </row>
    <row r="41" spans="1:25">
      <c r="A41" s="17" t="s">
        <v>2849</v>
      </c>
      <c r="B41" s="17" t="s">
        <v>2849</v>
      </c>
      <c r="C41" s="17" t="s">
        <v>2850</v>
      </c>
      <c r="D41" s="17" t="s">
        <v>2669</v>
      </c>
      <c r="E41" s="17" t="s">
        <v>2670</v>
      </c>
      <c r="F41" s="17" t="s">
        <v>2849</v>
      </c>
      <c r="G41" s="17" t="s">
        <v>2671</v>
      </c>
      <c r="H41" s="17" t="s">
        <v>6835</v>
      </c>
      <c r="I41" s="17" t="s">
        <v>2672</v>
      </c>
      <c r="J41" s="17" t="s">
        <v>2673</v>
      </c>
      <c r="K41" s="17" t="s">
        <v>2845</v>
      </c>
      <c r="L41" s="17" t="s">
        <v>2675</v>
      </c>
      <c r="M41" s="17" t="s">
        <v>2669</v>
      </c>
      <c r="N41" s="17" t="s">
        <v>2849</v>
      </c>
      <c r="O41" s="17" t="s">
        <v>7635</v>
      </c>
      <c r="P41" s="17" t="s">
        <v>2851</v>
      </c>
      <c r="Q41" s="17"/>
      <c r="R41" s="17"/>
      <c r="S41" s="17"/>
      <c r="T41" s="17"/>
      <c r="U41" s="17"/>
      <c r="V41" s="17"/>
      <c r="W41" s="17"/>
      <c r="X41" s="17"/>
      <c r="Y41" s="17"/>
    </row>
    <row r="42" spans="1:25">
      <c r="A42" s="17" t="s">
        <v>2852</v>
      </c>
      <c r="B42" s="17" t="s">
        <v>2852</v>
      </c>
      <c r="C42" s="17" t="s">
        <v>2853</v>
      </c>
      <c r="D42" s="17" t="s">
        <v>2669</v>
      </c>
      <c r="E42" s="17" t="s">
        <v>2670</v>
      </c>
      <c r="F42" s="17" t="s">
        <v>2852</v>
      </c>
      <c r="G42" s="17" t="s">
        <v>2671</v>
      </c>
      <c r="H42" s="17" t="s">
        <v>4312</v>
      </c>
      <c r="I42" s="17" t="s">
        <v>2672</v>
      </c>
      <c r="J42" s="17" t="s">
        <v>2673</v>
      </c>
      <c r="K42" s="17" t="s">
        <v>2854</v>
      </c>
      <c r="L42" s="17" t="s">
        <v>2675</v>
      </c>
      <c r="M42" s="17" t="s">
        <v>2669</v>
      </c>
      <c r="N42" s="17" t="s">
        <v>2855</v>
      </c>
      <c r="O42" s="17" t="s">
        <v>7635</v>
      </c>
      <c r="P42" s="17" t="s">
        <v>2856</v>
      </c>
      <c r="Q42" s="17" t="s">
        <v>2669</v>
      </c>
      <c r="R42" s="17" t="s">
        <v>2852</v>
      </c>
      <c r="S42" s="17" t="s">
        <v>7635</v>
      </c>
      <c r="T42" s="17" t="s">
        <v>2857</v>
      </c>
      <c r="U42" s="17"/>
      <c r="V42" s="17"/>
      <c r="W42" s="17"/>
      <c r="X42" s="17"/>
      <c r="Y42" s="17"/>
    </row>
    <row r="43" spans="1:25">
      <c r="A43" s="17" t="s">
        <v>2858</v>
      </c>
      <c r="B43" s="17" t="s">
        <v>2858</v>
      </c>
      <c r="C43" s="17" t="s">
        <v>2859</v>
      </c>
      <c r="D43" s="17" t="s">
        <v>2669</v>
      </c>
      <c r="E43" s="17" t="s">
        <v>2670</v>
      </c>
      <c r="F43" s="17" t="s">
        <v>2858</v>
      </c>
      <c r="G43" s="17" t="s">
        <v>2671</v>
      </c>
      <c r="H43" s="17" t="s">
        <v>6835</v>
      </c>
      <c r="I43" s="17" t="s">
        <v>2672</v>
      </c>
      <c r="J43" s="17" t="s">
        <v>2673</v>
      </c>
      <c r="K43" s="17" t="s">
        <v>2854</v>
      </c>
      <c r="L43" s="17" t="s">
        <v>2675</v>
      </c>
      <c r="M43" s="17" t="s">
        <v>2669</v>
      </c>
      <c r="N43" s="17" t="s">
        <v>2858</v>
      </c>
      <c r="O43" s="17" t="s">
        <v>7635</v>
      </c>
      <c r="P43" s="17" t="s">
        <v>2860</v>
      </c>
      <c r="Q43" s="17"/>
      <c r="R43" s="17"/>
      <c r="S43" s="17"/>
      <c r="T43" s="17"/>
      <c r="U43" s="17"/>
      <c r="V43" s="17"/>
      <c r="W43" s="17"/>
      <c r="X43" s="17"/>
      <c r="Y43" s="17"/>
    </row>
    <row r="44" spans="1:25">
      <c r="A44" s="17" t="s">
        <v>2861</v>
      </c>
      <c r="B44" s="17" t="s">
        <v>2861</v>
      </c>
      <c r="C44" s="17" t="s">
        <v>2862</v>
      </c>
      <c r="D44" s="17" t="s">
        <v>2669</v>
      </c>
      <c r="E44" s="17" t="s">
        <v>2863</v>
      </c>
      <c r="F44" s="17" t="s">
        <v>2861</v>
      </c>
      <c r="G44" s="17" t="s">
        <v>2671</v>
      </c>
      <c r="H44" s="17" t="s">
        <v>4312</v>
      </c>
      <c r="I44" s="17" t="s">
        <v>2672</v>
      </c>
      <c r="J44" s="17" t="s">
        <v>2673</v>
      </c>
      <c r="K44" s="17" t="s">
        <v>2864</v>
      </c>
      <c r="L44" s="17" t="s">
        <v>2675</v>
      </c>
      <c r="M44" s="17" t="s">
        <v>2669</v>
      </c>
      <c r="N44" s="17" t="s">
        <v>2861</v>
      </c>
      <c r="O44" s="17" t="s">
        <v>7635</v>
      </c>
      <c r="P44" s="17" t="s">
        <v>2865</v>
      </c>
      <c r="Q44" s="17" t="s">
        <v>2669</v>
      </c>
      <c r="R44" s="17" t="s">
        <v>2866</v>
      </c>
      <c r="S44" s="17" t="s">
        <v>7635</v>
      </c>
      <c r="T44" s="17" t="s">
        <v>2867</v>
      </c>
      <c r="U44" s="17"/>
      <c r="V44" s="17"/>
      <c r="W44" s="17"/>
      <c r="X44" s="17"/>
      <c r="Y44" s="17"/>
    </row>
    <row r="45" spans="1:25">
      <c r="A45" s="17" t="s">
        <v>2868</v>
      </c>
      <c r="B45" s="17" t="s">
        <v>2868</v>
      </c>
      <c r="C45" s="17" t="s">
        <v>2869</v>
      </c>
      <c r="D45" s="17" t="s">
        <v>2669</v>
      </c>
      <c r="E45" s="17" t="s">
        <v>2670</v>
      </c>
      <c r="F45" s="17" t="s">
        <v>2868</v>
      </c>
      <c r="G45" s="17" t="s">
        <v>2671</v>
      </c>
      <c r="H45" s="17" t="s">
        <v>6835</v>
      </c>
      <c r="I45" s="17" t="s">
        <v>2672</v>
      </c>
      <c r="J45" s="17" t="s">
        <v>2673</v>
      </c>
      <c r="K45" s="17" t="s">
        <v>2864</v>
      </c>
      <c r="L45" s="17" t="s">
        <v>2675</v>
      </c>
      <c r="M45" s="17" t="s">
        <v>2669</v>
      </c>
      <c r="N45" s="17" t="s">
        <v>2868</v>
      </c>
      <c r="O45" s="17" t="s">
        <v>7635</v>
      </c>
      <c r="P45" s="17" t="s">
        <v>2870</v>
      </c>
      <c r="Q45" s="17"/>
      <c r="R45" s="17"/>
      <c r="S45" s="17"/>
      <c r="T45" s="17"/>
      <c r="U45" s="17"/>
      <c r="V45" s="17"/>
      <c r="W45" s="17"/>
      <c r="X45" s="17"/>
      <c r="Y45" s="17"/>
    </row>
    <row r="46" spans="1:25">
      <c r="A46" s="17" t="s">
        <v>2871</v>
      </c>
      <c r="B46" s="17" t="s">
        <v>2871</v>
      </c>
      <c r="C46" s="17" t="s">
        <v>2872</v>
      </c>
      <c r="D46" s="17" t="s">
        <v>2669</v>
      </c>
      <c r="E46" s="17" t="s">
        <v>2670</v>
      </c>
      <c r="F46" s="17" t="s">
        <v>2871</v>
      </c>
      <c r="G46" s="17" t="s">
        <v>2671</v>
      </c>
      <c r="H46" s="17" t="s">
        <v>4312</v>
      </c>
      <c r="I46" s="17" t="s">
        <v>2672</v>
      </c>
      <c r="J46" s="17" t="s">
        <v>2673</v>
      </c>
      <c r="K46" s="17" t="s">
        <v>2873</v>
      </c>
      <c r="L46" s="17" t="s">
        <v>2675</v>
      </c>
      <c r="M46" s="17" t="s">
        <v>2669</v>
      </c>
      <c r="N46" s="17" t="s">
        <v>2874</v>
      </c>
      <c r="O46" s="17" t="s">
        <v>7635</v>
      </c>
      <c r="P46" s="17" t="s">
        <v>2875</v>
      </c>
      <c r="Q46" s="17" t="s">
        <v>2669</v>
      </c>
      <c r="R46" s="17" t="s">
        <v>2871</v>
      </c>
      <c r="S46" s="17" t="s">
        <v>7635</v>
      </c>
      <c r="T46" s="17" t="s">
        <v>2876</v>
      </c>
      <c r="U46" s="17"/>
      <c r="V46" s="17"/>
      <c r="W46" s="17"/>
      <c r="X46" s="17"/>
      <c r="Y46" s="17"/>
    </row>
    <row r="47" spans="1:25">
      <c r="A47" s="17" t="s">
        <v>2877</v>
      </c>
      <c r="B47" s="17" t="s">
        <v>2877</v>
      </c>
      <c r="C47" s="17" t="s">
        <v>2878</v>
      </c>
      <c r="D47" s="17" t="s">
        <v>2669</v>
      </c>
      <c r="E47" s="17" t="s">
        <v>2670</v>
      </c>
      <c r="F47" s="17" t="s">
        <v>2877</v>
      </c>
      <c r="G47" s="17" t="s">
        <v>2671</v>
      </c>
      <c r="H47" s="17" t="s">
        <v>6835</v>
      </c>
      <c r="I47" s="17" t="s">
        <v>2672</v>
      </c>
      <c r="J47" s="17" t="s">
        <v>2673</v>
      </c>
      <c r="K47" s="17" t="s">
        <v>2873</v>
      </c>
      <c r="L47" s="17" t="s">
        <v>2675</v>
      </c>
      <c r="M47" s="17" t="s">
        <v>2669</v>
      </c>
      <c r="N47" s="17" t="s">
        <v>2877</v>
      </c>
      <c r="O47" s="17" t="s">
        <v>7635</v>
      </c>
      <c r="P47" s="17" t="s">
        <v>2879</v>
      </c>
      <c r="Q47" s="17"/>
      <c r="R47" s="17"/>
      <c r="S47" s="17"/>
      <c r="T47" s="17"/>
      <c r="U47" s="17"/>
      <c r="V47" s="17"/>
      <c r="W47" s="17"/>
      <c r="X47" s="17"/>
      <c r="Y47" s="17"/>
    </row>
    <row r="48" spans="1:25">
      <c r="A48" s="17" t="s">
        <v>2880</v>
      </c>
      <c r="B48" s="17" t="s">
        <v>2880</v>
      </c>
      <c r="C48" s="17" t="s">
        <v>2881</v>
      </c>
      <c r="D48" s="17" t="s">
        <v>2669</v>
      </c>
      <c r="E48" s="17" t="s">
        <v>2670</v>
      </c>
      <c r="F48" s="17" t="s">
        <v>2880</v>
      </c>
      <c r="G48" s="17" t="s">
        <v>2671</v>
      </c>
      <c r="H48" s="17" t="s">
        <v>4312</v>
      </c>
      <c r="I48" s="17" t="s">
        <v>2672</v>
      </c>
      <c r="J48" s="17" t="s">
        <v>2673</v>
      </c>
      <c r="K48" s="17" t="s">
        <v>2882</v>
      </c>
      <c r="L48" s="17" t="s">
        <v>2675</v>
      </c>
      <c r="M48" s="17" t="s">
        <v>2669</v>
      </c>
      <c r="N48" s="17" t="s">
        <v>2880</v>
      </c>
      <c r="O48" s="17" t="s">
        <v>7635</v>
      </c>
      <c r="P48" s="17" t="s">
        <v>2883</v>
      </c>
      <c r="Q48" s="17"/>
      <c r="R48" s="17"/>
      <c r="S48" s="17"/>
      <c r="T48" s="17"/>
      <c r="U48" s="17"/>
      <c r="V48" s="17"/>
      <c r="W48" s="17"/>
      <c r="X48" s="17"/>
      <c r="Y48" s="17"/>
    </row>
    <row r="49" spans="1:25">
      <c r="A49" s="17" t="s">
        <v>2884</v>
      </c>
      <c r="B49" s="17" t="s">
        <v>2884</v>
      </c>
      <c r="C49" s="17" t="s">
        <v>2885</v>
      </c>
      <c r="D49" s="17" t="s">
        <v>2669</v>
      </c>
      <c r="E49" s="17" t="s">
        <v>2670</v>
      </c>
      <c r="F49" s="17" t="s">
        <v>2884</v>
      </c>
      <c r="G49" s="17" t="s">
        <v>2671</v>
      </c>
      <c r="H49" s="17" t="s">
        <v>6835</v>
      </c>
      <c r="I49" s="17" t="s">
        <v>2672</v>
      </c>
      <c r="J49" s="17" t="s">
        <v>2673</v>
      </c>
      <c r="K49" s="17" t="s">
        <v>2882</v>
      </c>
      <c r="L49" s="17" t="s">
        <v>2675</v>
      </c>
      <c r="M49" s="17" t="s">
        <v>2669</v>
      </c>
      <c r="N49" s="17" t="s">
        <v>2884</v>
      </c>
      <c r="O49" s="17" t="s">
        <v>7635</v>
      </c>
      <c r="P49" s="17" t="s">
        <v>2886</v>
      </c>
      <c r="Q49" s="17"/>
      <c r="R49" s="17"/>
      <c r="S49" s="17"/>
      <c r="T49" s="17"/>
      <c r="U49" s="17"/>
      <c r="V49" s="17"/>
      <c r="W49" s="17"/>
      <c r="X49" s="17"/>
      <c r="Y49" s="17"/>
    </row>
    <row r="50" spans="1:25">
      <c r="A50" s="17" t="s">
        <v>2887</v>
      </c>
      <c r="B50" s="17" t="s">
        <v>2887</v>
      </c>
      <c r="C50" s="17" t="s">
        <v>2888</v>
      </c>
      <c r="D50" s="17" t="s">
        <v>2669</v>
      </c>
      <c r="E50" s="17" t="s">
        <v>2670</v>
      </c>
      <c r="F50" s="17" t="s">
        <v>2887</v>
      </c>
      <c r="G50" s="17" t="s">
        <v>2671</v>
      </c>
      <c r="H50" s="17" t="s">
        <v>4312</v>
      </c>
      <c r="I50" s="17" t="s">
        <v>2672</v>
      </c>
      <c r="J50" s="17" t="s">
        <v>2673</v>
      </c>
      <c r="K50" s="17" t="s">
        <v>2889</v>
      </c>
      <c r="L50" s="17" t="s">
        <v>2675</v>
      </c>
      <c r="M50" s="17" t="s">
        <v>2669</v>
      </c>
      <c r="N50" s="17" t="s">
        <v>2887</v>
      </c>
      <c r="O50" s="17" t="s">
        <v>7635</v>
      </c>
      <c r="P50" s="17" t="s">
        <v>2890</v>
      </c>
      <c r="Q50" s="17"/>
      <c r="R50" s="17"/>
      <c r="S50" s="17"/>
      <c r="T50" s="17"/>
      <c r="U50" s="17"/>
      <c r="V50" s="17"/>
      <c r="W50" s="17"/>
      <c r="X50" s="17"/>
      <c r="Y50" s="17"/>
    </row>
    <row r="51" spans="1:25">
      <c r="A51" s="17" t="s">
        <v>2891</v>
      </c>
      <c r="B51" s="17" t="s">
        <v>2891</v>
      </c>
      <c r="C51" s="17" t="s">
        <v>2892</v>
      </c>
      <c r="D51" s="17" t="s">
        <v>2669</v>
      </c>
      <c r="E51" s="17" t="s">
        <v>2670</v>
      </c>
      <c r="F51" s="17" t="s">
        <v>2891</v>
      </c>
      <c r="G51" s="17" t="s">
        <v>2671</v>
      </c>
      <c r="H51" s="17" t="s">
        <v>4312</v>
      </c>
      <c r="I51" s="17" t="s">
        <v>2672</v>
      </c>
      <c r="J51" s="17" t="s">
        <v>2673</v>
      </c>
      <c r="K51" s="17" t="s">
        <v>2893</v>
      </c>
      <c r="L51" s="17" t="s">
        <v>2675</v>
      </c>
      <c r="M51" s="17" t="s">
        <v>2669</v>
      </c>
      <c r="N51" s="17" t="s">
        <v>2894</v>
      </c>
      <c r="O51" s="17" t="s">
        <v>7635</v>
      </c>
      <c r="P51" s="17" t="s">
        <v>2895</v>
      </c>
      <c r="Q51" s="17" t="s">
        <v>2669</v>
      </c>
      <c r="R51" s="17" t="s">
        <v>2891</v>
      </c>
      <c r="S51" s="17" t="s">
        <v>7635</v>
      </c>
      <c r="T51" s="17" t="s">
        <v>2896</v>
      </c>
      <c r="U51" s="17"/>
      <c r="V51" s="17"/>
      <c r="W51" s="17"/>
      <c r="X51" s="17"/>
      <c r="Y51" s="17"/>
    </row>
    <row r="52" spans="1:25">
      <c r="A52" s="17" t="s">
        <v>2897</v>
      </c>
      <c r="B52" s="17" t="s">
        <v>2897</v>
      </c>
      <c r="C52" s="17" t="s">
        <v>2898</v>
      </c>
      <c r="D52" s="17" t="s">
        <v>2669</v>
      </c>
      <c r="E52" s="17" t="s">
        <v>2670</v>
      </c>
      <c r="F52" s="17" t="s">
        <v>2897</v>
      </c>
      <c r="G52" s="17" t="s">
        <v>2671</v>
      </c>
      <c r="H52" s="17" t="s">
        <v>6835</v>
      </c>
      <c r="I52" s="17" t="s">
        <v>2672</v>
      </c>
      <c r="J52" s="17" t="s">
        <v>2673</v>
      </c>
      <c r="K52" s="17" t="s">
        <v>2893</v>
      </c>
      <c r="L52" s="17" t="s">
        <v>2675</v>
      </c>
      <c r="M52" s="17" t="s">
        <v>2669</v>
      </c>
      <c r="N52" s="17" t="s">
        <v>2897</v>
      </c>
      <c r="O52" s="17" t="s">
        <v>7635</v>
      </c>
      <c r="P52" s="17" t="s">
        <v>2899</v>
      </c>
      <c r="Q52" s="17"/>
      <c r="R52" s="17"/>
      <c r="S52" s="17"/>
      <c r="T52" s="17"/>
      <c r="U52" s="17"/>
      <c r="V52" s="17"/>
      <c r="W52" s="17"/>
      <c r="X52" s="17"/>
      <c r="Y52" s="17"/>
    </row>
    <row r="53" spans="1:25">
      <c r="A53" s="17" t="s">
        <v>2900</v>
      </c>
      <c r="B53" s="17" t="s">
        <v>2900</v>
      </c>
      <c r="C53" s="17" t="s">
        <v>2901</v>
      </c>
      <c r="D53" s="17" t="s">
        <v>2669</v>
      </c>
      <c r="E53" s="17" t="s">
        <v>2670</v>
      </c>
      <c r="F53" s="17" t="s">
        <v>2900</v>
      </c>
      <c r="G53" s="17" t="s">
        <v>2671</v>
      </c>
      <c r="H53" s="17" t="s">
        <v>4312</v>
      </c>
      <c r="I53" s="17" t="s">
        <v>2672</v>
      </c>
      <c r="J53" s="17" t="s">
        <v>2673</v>
      </c>
      <c r="K53" s="17" t="s">
        <v>2902</v>
      </c>
      <c r="L53" s="17" t="s">
        <v>2675</v>
      </c>
      <c r="M53" s="17" t="s">
        <v>2669</v>
      </c>
      <c r="N53" s="17" t="s">
        <v>2900</v>
      </c>
      <c r="O53" s="17" t="s">
        <v>7635</v>
      </c>
      <c r="P53" s="17" t="s">
        <v>2903</v>
      </c>
      <c r="Q53" s="17"/>
      <c r="R53" s="17"/>
      <c r="S53" s="17"/>
      <c r="T53" s="17"/>
      <c r="U53" s="17"/>
      <c r="V53" s="17"/>
      <c r="W53" s="17"/>
      <c r="X53" s="17"/>
      <c r="Y53" s="17"/>
    </row>
    <row r="54" spans="1:25">
      <c r="A54" s="17" t="s">
        <v>2904</v>
      </c>
      <c r="B54" s="17" t="s">
        <v>2904</v>
      </c>
      <c r="C54" s="17" t="s">
        <v>2905</v>
      </c>
      <c r="D54" s="17" t="s">
        <v>2669</v>
      </c>
      <c r="E54" s="17" t="s">
        <v>2670</v>
      </c>
      <c r="F54" s="17" t="s">
        <v>2904</v>
      </c>
      <c r="G54" s="17" t="s">
        <v>2671</v>
      </c>
      <c r="H54" s="17" t="s">
        <v>6835</v>
      </c>
      <c r="I54" s="17" t="s">
        <v>2672</v>
      </c>
      <c r="J54" s="17" t="s">
        <v>2673</v>
      </c>
      <c r="K54" s="17" t="s">
        <v>2902</v>
      </c>
      <c r="L54" s="17" t="s">
        <v>2675</v>
      </c>
      <c r="M54" s="17" t="s">
        <v>2669</v>
      </c>
      <c r="N54" s="17" t="s">
        <v>2904</v>
      </c>
      <c r="O54" s="17" t="s">
        <v>7635</v>
      </c>
      <c r="P54" s="17" t="s">
        <v>2906</v>
      </c>
      <c r="Q54" s="17"/>
      <c r="R54" s="17"/>
      <c r="S54" s="17"/>
      <c r="T54" s="17"/>
      <c r="U54" s="17"/>
      <c r="V54" s="17"/>
      <c r="W54" s="17"/>
      <c r="X54" s="17"/>
      <c r="Y54" s="17"/>
    </row>
    <row r="55" spans="1:25">
      <c r="A55" s="17" t="s">
        <v>2907</v>
      </c>
      <c r="B55" s="17" t="s">
        <v>2907</v>
      </c>
      <c r="C55" s="17" t="s">
        <v>2908</v>
      </c>
      <c r="D55" s="17" t="s">
        <v>2669</v>
      </c>
      <c r="E55" s="17" t="s">
        <v>2670</v>
      </c>
      <c r="F55" s="17" t="s">
        <v>2907</v>
      </c>
      <c r="G55" s="17" t="s">
        <v>2671</v>
      </c>
      <c r="H55" s="17" t="s">
        <v>4312</v>
      </c>
      <c r="I55" s="17" t="s">
        <v>2672</v>
      </c>
      <c r="J55" s="17" t="s">
        <v>2673</v>
      </c>
      <c r="K55" s="17" t="s">
        <v>2909</v>
      </c>
      <c r="L55" s="17" t="s">
        <v>2675</v>
      </c>
      <c r="M55" s="17" t="s">
        <v>2669</v>
      </c>
      <c r="N55" s="17" t="s">
        <v>2907</v>
      </c>
      <c r="O55" s="17" t="s">
        <v>7635</v>
      </c>
      <c r="P55" s="17" t="s">
        <v>2910</v>
      </c>
      <c r="Q55" s="17"/>
      <c r="R55" s="17"/>
      <c r="S55" s="17"/>
      <c r="T55" s="17"/>
      <c r="U55" s="17"/>
      <c r="V55" s="17"/>
      <c r="W55" s="17"/>
      <c r="X55" s="17"/>
      <c r="Y55" s="17"/>
    </row>
    <row r="56" spans="1:25">
      <c r="A56" s="17" t="s">
        <v>2911</v>
      </c>
      <c r="B56" s="17" t="s">
        <v>2911</v>
      </c>
      <c r="C56" s="17" t="s">
        <v>2912</v>
      </c>
      <c r="D56" s="17" t="s">
        <v>2669</v>
      </c>
      <c r="E56" s="17" t="s">
        <v>2670</v>
      </c>
      <c r="F56" s="17" t="s">
        <v>2911</v>
      </c>
      <c r="G56" s="17" t="s">
        <v>2671</v>
      </c>
      <c r="H56" s="17" t="s">
        <v>6835</v>
      </c>
      <c r="I56" s="17" t="s">
        <v>2672</v>
      </c>
      <c r="J56" s="17" t="s">
        <v>2673</v>
      </c>
      <c r="K56" s="17" t="s">
        <v>2909</v>
      </c>
      <c r="L56" s="17" t="s">
        <v>2675</v>
      </c>
      <c r="M56" s="17" t="s">
        <v>2669</v>
      </c>
      <c r="N56" s="17" t="s">
        <v>2911</v>
      </c>
      <c r="O56" s="17" t="s">
        <v>7635</v>
      </c>
      <c r="P56" s="17" t="s">
        <v>2913</v>
      </c>
      <c r="Q56" s="17"/>
      <c r="R56" s="17"/>
      <c r="S56" s="17"/>
      <c r="T56" s="17"/>
      <c r="U56" s="17"/>
      <c r="V56" s="17"/>
      <c r="W56" s="17"/>
      <c r="X56" s="17"/>
      <c r="Y56" s="17"/>
    </row>
    <row r="57" spans="1:25">
      <c r="A57" s="17" t="s">
        <v>2914</v>
      </c>
      <c r="B57" s="17" t="s">
        <v>2914</v>
      </c>
      <c r="C57" s="17" t="s">
        <v>2915</v>
      </c>
      <c r="D57" s="17" t="s">
        <v>2669</v>
      </c>
      <c r="E57" s="17" t="s">
        <v>2670</v>
      </c>
      <c r="F57" s="17" t="s">
        <v>2914</v>
      </c>
      <c r="G57" s="17" t="s">
        <v>2671</v>
      </c>
      <c r="H57" s="17" t="s">
        <v>4312</v>
      </c>
      <c r="I57" s="17" t="s">
        <v>2672</v>
      </c>
      <c r="J57" s="17" t="s">
        <v>2673</v>
      </c>
      <c r="K57" s="17" t="s">
        <v>2916</v>
      </c>
      <c r="L57" s="17" t="s">
        <v>2675</v>
      </c>
      <c r="M57" s="17" t="s">
        <v>2669</v>
      </c>
      <c r="N57" s="17" t="s">
        <v>2914</v>
      </c>
      <c r="O57" s="17" t="s">
        <v>7635</v>
      </c>
      <c r="P57" s="17" t="s">
        <v>2917</v>
      </c>
      <c r="Q57" s="17"/>
      <c r="R57" s="17"/>
      <c r="S57" s="17"/>
      <c r="T57" s="17"/>
      <c r="U57" s="17"/>
      <c r="V57" s="17"/>
      <c r="W57" s="17"/>
      <c r="X57" s="17"/>
      <c r="Y57" s="17"/>
    </row>
    <row r="58" spans="1:25">
      <c r="A58" s="17" t="s">
        <v>2918</v>
      </c>
      <c r="B58" s="17" t="s">
        <v>2918</v>
      </c>
      <c r="C58" s="17" t="s">
        <v>2919</v>
      </c>
      <c r="D58" s="17" t="s">
        <v>2669</v>
      </c>
      <c r="E58" s="17" t="s">
        <v>2670</v>
      </c>
      <c r="F58" s="17" t="s">
        <v>2918</v>
      </c>
      <c r="G58" s="17" t="s">
        <v>2671</v>
      </c>
      <c r="H58" s="17" t="s">
        <v>6835</v>
      </c>
      <c r="I58" s="17" t="s">
        <v>2672</v>
      </c>
      <c r="J58" s="17" t="s">
        <v>2673</v>
      </c>
      <c r="K58" s="17" t="s">
        <v>2916</v>
      </c>
      <c r="L58" s="17" t="s">
        <v>2675</v>
      </c>
      <c r="M58" s="17" t="s">
        <v>2669</v>
      </c>
      <c r="N58" s="17" t="s">
        <v>2918</v>
      </c>
      <c r="O58" s="17" t="s">
        <v>7635</v>
      </c>
      <c r="P58" s="17" t="s">
        <v>2920</v>
      </c>
      <c r="Q58" s="17"/>
      <c r="R58" s="17"/>
      <c r="S58" s="17"/>
      <c r="T58" s="17"/>
      <c r="U58" s="17"/>
      <c r="V58" s="17"/>
      <c r="W58" s="17"/>
      <c r="X58" s="17"/>
      <c r="Y58" s="17"/>
    </row>
    <row r="59" spans="1:25">
      <c r="A59" s="17" t="s">
        <v>2921</v>
      </c>
      <c r="B59" s="17" t="s">
        <v>2921</v>
      </c>
      <c r="C59" s="17" t="s">
        <v>2922</v>
      </c>
      <c r="D59" s="17" t="s">
        <v>2669</v>
      </c>
      <c r="E59" s="17" t="s">
        <v>2670</v>
      </c>
      <c r="F59" s="17" t="s">
        <v>2921</v>
      </c>
      <c r="G59" s="17" t="s">
        <v>2671</v>
      </c>
      <c r="H59" s="17" t="s">
        <v>4312</v>
      </c>
      <c r="I59" s="17" t="s">
        <v>2672</v>
      </c>
      <c r="J59" s="17" t="s">
        <v>2673</v>
      </c>
      <c r="K59" s="17" t="s">
        <v>2923</v>
      </c>
      <c r="L59" s="17" t="s">
        <v>2675</v>
      </c>
      <c r="M59" s="17" t="s">
        <v>2669</v>
      </c>
      <c r="N59" s="17" t="s">
        <v>2921</v>
      </c>
      <c r="O59" s="17" t="s">
        <v>7635</v>
      </c>
      <c r="P59" s="17" t="s">
        <v>2924</v>
      </c>
      <c r="Q59" s="17"/>
      <c r="R59" s="17"/>
      <c r="S59" s="17"/>
      <c r="T59" s="17"/>
      <c r="U59" s="17"/>
      <c r="V59" s="17"/>
      <c r="W59" s="17"/>
      <c r="X59" s="17"/>
      <c r="Y59" s="17"/>
    </row>
    <row r="60" spans="1:25">
      <c r="A60" s="17" t="s">
        <v>2925</v>
      </c>
      <c r="B60" s="17" t="s">
        <v>2925</v>
      </c>
      <c r="C60" s="17" t="s">
        <v>2926</v>
      </c>
      <c r="D60" s="17" t="s">
        <v>2669</v>
      </c>
      <c r="E60" s="17" t="s">
        <v>2670</v>
      </c>
      <c r="F60" s="17" t="s">
        <v>2925</v>
      </c>
      <c r="G60" s="17" t="s">
        <v>2671</v>
      </c>
      <c r="H60" s="17" t="s">
        <v>6835</v>
      </c>
      <c r="I60" s="17" t="s">
        <v>2672</v>
      </c>
      <c r="J60" s="17" t="s">
        <v>2673</v>
      </c>
      <c r="K60" s="17" t="s">
        <v>2923</v>
      </c>
      <c r="L60" s="17" t="s">
        <v>2675</v>
      </c>
      <c r="M60" s="17" t="s">
        <v>2669</v>
      </c>
      <c r="N60" s="17" t="s">
        <v>2925</v>
      </c>
      <c r="O60" s="17" t="s">
        <v>7635</v>
      </c>
      <c r="P60" s="17" t="s">
        <v>2927</v>
      </c>
      <c r="Q60" s="17"/>
      <c r="R60" s="17"/>
      <c r="S60" s="17"/>
      <c r="T60" s="17"/>
      <c r="U60" s="17"/>
      <c r="V60" s="17"/>
      <c r="W60" s="17"/>
      <c r="X60" s="17"/>
      <c r="Y60" s="17"/>
    </row>
    <row r="61" spans="1:25">
      <c r="A61" s="17" t="s">
        <v>2928</v>
      </c>
      <c r="B61" s="17" t="s">
        <v>2928</v>
      </c>
      <c r="C61" s="17" t="s">
        <v>2929</v>
      </c>
      <c r="D61" s="17" t="s">
        <v>2669</v>
      </c>
      <c r="E61" s="17" t="s">
        <v>2670</v>
      </c>
      <c r="F61" s="17" t="s">
        <v>2928</v>
      </c>
      <c r="G61" s="17" t="s">
        <v>2671</v>
      </c>
      <c r="H61" s="17" t="s">
        <v>4312</v>
      </c>
      <c r="I61" s="17" t="s">
        <v>2672</v>
      </c>
      <c r="J61" s="17" t="s">
        <v>2673</v>
      </c>
      <c r="K61" s="17" t="s">
        <v>2930</v>
      </c>
      <c r="L61" s="17" t="s">
        <v>2675</v>
      </c>
      <c r="M61" s="17" t="s">
        <v>2669</v>
      </c>
      <c r="N61" s="17" t="s">
        <v>2928</v>
      </c>
      <c r="O61" s="17" t="s">
        <v>7635</v>
      </c>
      <c r="P61" s="17" t="s">
        <v>2931</v>
      </c>
      <c r="Q61" s="17"/>
      <c r="R61" s="17"/>
      <c r="S61" s="17"/>
      <c r="T61" s="17"/>
      <c r="U61" s="17"/>
      <c r="V61" s="17"/>
      <c r="W61" s="17"/>
      <c r="X61" s="17"/>
      <c r="Y61" s="17"/>
    </row>
    <row r="62" spans="1:25">
      <c r="A62" s="17" t="s">
        <v>2932</v>
      </c>
      <c r="B62" s="17" t="s">
        <v>2932</v>
      </c>
      <c r="C62" s="17" t="s">
        <v>2933</v>
      </c>
      <c r="D62" s="17" t="s">
        <v>2669</v>
      </c>
      <c r="E62" s="17" t="s">
        <v>2670</v>
      </c>
      <c r="F62" s="17" t="s">
        <v>2932</v>
      </c>
      <c r="G62" s="17" t="s">
        <v>2671</v>
      </c>
      <c r="H62" s="17" t="s">
        <v>4312</v>
      </c>
      <c r="I62" s="17" t="s">
        <v>2672</v>
      </c>
      <c r="J62" s="17" t="s">
        <v>2673</v>
      </c>
      <c r="K62" s="17" t="s">
        <v>2934</v>
      </c>
      <c r="L62" s="17" t="s">
        <v>2675</v>
      </c>
      <c r="M62" s="17" t="s">
        <v>2669</v>
      </c>
      <c r="N62" s="17" t="s">
        <v>2932</v>
      </c>
      <c r="O62" s="17" t="s">
        <v>7635</v>
      </c>
      <c r="P62" s="17" t="s">
        <v>2935</v>
      </c>
      <c r="Q62" s="17"/>
      <c r="R62" s="17"/>
      <c r="S62" s="17"/>
      <c r="T62" s="17"/>
      <c r="U62" s="17"/>
      <c r="V62" s="17"/>
      <c r="W62" s="17"/>
      <c r="X62" s="17"/>
      <c r="Y62" s="17"/>
    </row>
    <row r="63" spans="1:25">
      <c r="A63" s="17" t="s">
        <v>2936</v>
      </c>
      <c r="B63" s="17" t="s">
        <v>2936</v>
      </c>
      <c r="C63" s="17" t="s">
        <v>2937</v>
      </c>
      <c r="D63" s="17" t="s">
        <v>2669</v>
      </c>
      <c r="E63" s="17" t="s">
        <v>2670</v>
      </c>
      <c r="F63" s="17" t="s">
        <v>2936</v>
      </c>
      <c r="G63" s="17" t="s">
        <v>2671</v>
      </c>
      <c r="H63" s="17" t="s">
        <v>4312</v>
      </c>
      <c r="I63" s="17" t="s">
        <v>2672</v>
      </c>
      <c r="J63" s="17" t="s">
        <v>2673</v>
      </c>
      <c r="K63" s="17" t="s">
        <v>2938</v>
      </c>
      <c r="L63" s="17" t="s">
        <v>2675</v>
      </c>
      <c r="M63" s="17" t="s">
        <v>2669</v>
      </c>
      <c r="N63" s="17" t="s">
        <v>2936</v>
      </c>
      <c r="O63" s="17" t="s">
        <v>7635</v>
      </c>
      <c r="P63" s="17" t="s">
        <v>2939</v>
      </c>
      <c r="Q63" s="17"/>
      <c r="R63" s="17"/>
      <c r="S63" s="17"/>
      <c r="T63" s="17"/>
      <c r="U63" s="17"/>
      <c r="V63" s="17"/>
      <c r="W63" s="17"/>
      <c r="X63" s="17"/>
      <c r="Y63" s="17"/>
    </row>
    <row r="64" spans="1:25">
      <c r="A64" s="17" t="s">
        <v>2940</v>
      </c>
      <c r="B64" s="17" t="s">
        <v>2940</v>
      </c>
      <c r="C64" s="17" t="s">
        <v>2941</v>
      </c>
      <c r="D64" s="17" t="s">
        <v>2669</v>
      </c>
      <c r="E64" s="17" t="s">
        <v>2670</v>
      </c>
      <c r="F64" s="17" t="s">
        <v>2940</v>
      </c>
      <c r="G64" s="17" t="s">
        <v>2671</v>
      </c>
      <c r="H64" s="17" t="s">
        <v>6835</v>
      </c>
      <c r="I64" s="17" t="s">
        <v>2672</v>
      </c>
      <c r="J64" s="17" t="s">
        <v>2673</v>
      </c>
      <c r="K64" s="17" t="s">
        <v>2938</v>
      </c>
      <c r="L64" s="17" t="s">
        <v>2675</v>
      </c>
      <c r="M64" s="17" t="s">
        <v>2669</v>
      </c>
      <c r="N64" s="17" t="s">
        <v>2940</v>
      </c>
      <c r="O64" s="17" t="s">
        <v>7635</v>
      </c>
      <c r="P64" s="17" t="s">
        <v>2942</v>
      </c>
      <c r="Q64" s="17"/>
      <c r="R64" s="17"/>
      <c r="S64" s="17"/>
      <c r="T64" s="17"/>
      <c r="U64" s="17"/>
      <c r="V64" s="17"/>
      <c r="W64" s="17"/>
      <c r="X64" s="17"/>
      <c r="Y64" s="17"/>
    </row>
    <row r="65" spans="1:25">
      <c r="A65" s="17" t="s">
        <v>2943</v>
      </c>
      <c r="B65" s="17" t="s">
        <v>2943</v>
      </c>
      <c r="C65" s="17" t="s">
        <v>2944</v>
      </c>
      <c r="D65" s="17" t="s">
        <v>2669</v>
      </c>
      <c r="E65" s="17" t="s">
        <v>2670</v>
      </c>
      <c r="F65" s="17" t="s">
        <v>2943</v>
      </c>
      <c r="G65" s="17" t="s">
        <v>2671</v>
      </c>
      <c r="H65" s="17" t="s">
        <v>4312</v>
      </c>
      <c r="I65" s="17" t="s">
        <v>2672</v>
      </c>
      <c r="J65" s="17" t="s">
        <v>2673</v>
      </c>
      <c r="K65" s="17" t="s">
        <v>2945</v>
      </c>
      <c r="L65" s="17" t="s">
        <v>2675</v>
      </c>
      <c r="M65" s="17" t="s">
        <v>2669</v>
      </c>
      <c r="N65" s="17" t="s">
        <v>2943</v>
      </c>
      <c r="O65" s="17" t="s">
        <v>7635</v>
      </c>
      <c r="P65" s="17" t="s">
        <v>2946</v>
      </c>
      <c r="Q65" s="17"/>
      <c r="R65" s="17"/>
      <c r="S65" s="17"/>
      <c r="T65" s="17"/>
      <c r="U65" s="17"/>
      <c r="V65" s="17"/>
      <c r="W65" s="17"/>
      <c r="X65" s="17"/>
      <c r="Y65" s="17"/>
    </row>
    <row r="66" spans="1:25">
      <c r="A66" s="17" t="s">
        <v>2947</v>
      </c>
      <c r="B66" s="17" t="s">
        <v>2947</v>
      </c>
      <c r="C66" s="17" t="s">
        <v>2948</v>
      </c>
      <c r="D66" s="17" t="s">
        <v>2669</v>
      </c>
      <c r="E66" s="17" t="s">
        <v>2670</v>
      </c>
      <c r="F66" s="17" t="s">
        <v>2947</v>
      </c>
      <c r="G66" s="17" t="s">
        <v>2671</v>
      </c>
      <c r="H66" s="17" t="s">
        <v>6835</v>
      </c>
      <c r="I66" s="17" t="s">
        <v>2672</v>
      </c>
      <c r="J66" s="17" t="s">
        <v>2673</v>
      </c>
      <c r="K66" s="17" t="s">
        <v>2945</v>
      </c>
      <c r="L66" s="17" t="s">
        <v>2675</v>
      </c>
      <c r="M66" s="17" t="s">
        <v>2669</v>
      </c>
      <c r="N66" s="17" t="s">
        <v>2947</v>
      </c>
      <c r="O66" s="17" t="s">
        <v>7635</v>
      </c>
      <c r="P66" s="17" t="s">
        <v>2949</v>
      </c>
      <c r="Q66" s="17"/>
      <c r="R66" s="17"/>
      <c r="S66" s="17"/>
      <c r="T66" s="17"/>
      <c r="U66" s="17"/>
      <c r="V66" s="17"/>
      <c r="W66" s="17"/>
      <c r="X66" s="17"/>
      <c r="Y66" s="17"/>
    </row>
    <row r="67" spans="1:25">
      <c r="A67" s="17" t="s">
        <v>2950</v>
      </c>
      <c r="B67" s="17" t="s">
        <v>2950</v>
      </c>
      <c r="C67" s="17" t="s">
        <v>2951</v>
      </c>
      <c r="D67" s="17" t="s">
        <v>2669</v>
      </c>
      <c r="E67" s="17" t="s">
        <v>2670</v>
      </c>
      <c r="F67" s="17" t="s">
        <v>2950</v>
      </c>
      <c r="G67" s="17" t="s">
        <v>2671</v>
      </c>
      <c r="H67" s="17" t="s">
        <v>4312</v>
      </c>
      <c r="I67" s="17" t="s">
        <v>2672</v>
      </c>
      <c r="J67" s="17" t="s">
        <v>2673</v>
      </c>
      <c r="K67" s="17" t="s">
        <v>2952</v>
      </c>
      <c r="L67" s="17" t="s">
        <v>2675</v>
      </c>
      <c r="M67" s="17" t="s">
        <v>2669</v>
      </c>
      <c r="N67" s="17" t="s">
        <v>2950</v>
      </c>
      <c r="O67" s="17" t="s">
        <v>7635</v>
      </c>
      <c r="P67" s="17" t="s">
        <v>2953</v>
      </c>
      <c r="Q67" s="17"/>
      <c r="R67" s="17"/>
      <c r="S67" s="17"/>
      <c r="T67" s="17"/>
      <c r="U67" s="17"/>
      <c r="V67" s="17"/>
      <c r="W67" s="17"/>
      <c r="X67" s="17"/>
      <c r="Y67" s="17"/>
    </row>
    <row r="68" spans="1:25">
      <c r="A68" s="17" t="s">
        <v>2954</v>
      </c>
      <c r="B68" s="17" t="s">
        <v>2954</v>
      </c>
      <c r="C68" s="17" t="s">
        <v>2955</v>
      </c>
      <c r="D68" s="17" t="s">
        <v>2669</v>
      </c>
      <c r="E68" s="17" t="s">
        <v>2670</v>
      </c>
      <c r="F68" s="17" t="s">
        <v>2954</v>
      </c>
      <c r="G68" s="17" t="s">
        <v>2671</v>
      </c>
      <c r="H68" s="17" t="s">
        <v>4312</v>
      </c>
      <c r="I68" s="17" t="s">
        <v>2672</v>
      </c>
      <c r="J68" s="17" t="s">
        <v>2673</v>
      </c>
      <c r="K68" s="17" t="s">
        <v>2956</v>
      </c>
      <c r="L68" s="17" t="s">
        <v>2675</v>
      </c>
      <c r="M68" s="17" t="s">
        <v>2669</v>
      </c>
      <c r="N68" s="17" t="s">
        <v>2954</v>
      </c>
      <c r="O68" s="17" t="s">
        <v>7635</v>
      </c>
      <c r="P68" s="17" t="s">
        <v>2957</v>
      </c>
      <c r="Q68" s="17"/>
      <c r="R68" s="17"/>
      <c r="S68" s="17"/>
      <c r="T68" s="17"/>
      <c r="U68" s="17"/>
      <c r="V68" s="17"/>
      <c r="W68" s="17"/>
      <c r="X68" s="17"/>
      <c r="Y68" s="17"/>
    </row>
    <row r="69" spans="1:25">
      <c r="A69" s="17" t="s">
        <v>2958</v>
      </c>
      <c r="B69" s="17" t="s">
        <v>2958</v>
      </c>
      <c r="C69" s="17" t="s">
        <v>2959</v>
      </c>
      <c r="D69" s="17" t="s">
        <v>2669</v>
      </c>
      <c r="E69" s="17" t="s">
        <v>2670</v>
      </c>
      <c r="F69" s="17" t="s">
        <v>2958</v>
      </c>
      <c r="G69" s="17" t="s">
        <v>2671</v>
      </c>
      <c r="H69" s="17" t="s">
        <v>4312</v>
      </c>
      <c r="I69" s="17" t="s">
        <v>2672</v>
      </c>
      <c r="J69" s="17" t="s">
        <v>2673</v>
      </c>
      <c r="K69" s="17" t="s">
        <v>2960</v>
      </c>
      <c r="L69" s="17" t="s">
        <v>2675</v>
      </c>
      <c r="M69" s="17" t="s">
        <v>2669</v>
      </c>
      <c r="N69" s="17" t="s">
        <v>2958</v>
      </c>
      <c r="O69" s="17" t="s">
        <v>7635</v>
      </c>
      <c r="P69" s="17" t="s">
        <v>2961</v>
      </c>
      <c r="Q69" s="17"/>
      <c r="R69" s="17"/>
      <c r="S69" s="17"/>
      <c r="T69" s="17"/>
      <c r="U69" s="17"/>
      <c r="V69" s="17"/>
      <c r="W69" s="17"/>
      <c r="X69" s="17"/>
      <c r="Y69" s="17"/>
    </row>
    <row r="70" spans="1:25">
      <c r="A70" s="17" t="s">
        <v>2962</v>
      </c>
      <c r="B70" s="17" t="s">
        <v>2962</v>
      </c>
      <c r="C70" s="17" t="s">
        <v>2963</v>
      </c>
      <c r="D70" s="17" t="s">
        <v>2669</v>
      </c>
      <c r="E70" s="17" t="s">
        <v>2670</v>
      </c>
      <c r="F70" s="17" t="s">
        <v>2962</v>
      </c>
      <c r="G70" s="17" t="s">
        <v>2671</v>
      </c>
      <c r="H70" s="17" t="s">
        <v>4312</v>
      </c>
      <c r="I70" s="17" t="s">
        <v>2672</v>
      </c>
      <c r="J70" s="17" t="s">
        <v>2673</v>
      </c>
      <c r="K70" s="17" t="s">
        <v>2964</v>
      </c>
      <c r="L70" s="17" t="s">
        <v>2675</v>
      </c>
      <c r="M70" s="17" t="s">
        <v>2669</v>
      </c>
      <c r="N70" s="17" t="s">
        <v>2962</v>
      </c>
      <c r="O70" s="17" t="s">
        <v>7635</v>
      </c>
      <c r="P70" s="17" t="s">
        <v>2965</v>
      </c>
      <c r="Q70" s="17"/>
      <c r="R70" s="17"/>
      <c r="S70" s="17"/>
      <c r="T70" s="17"/>
      <c r="U70" s="17"/>
      <c r="V70" s="17"/>
      <c r="W70" s="17"/>
      <c r="X70" s="17"/>
      <c r="Y70" s="17"/>
    </row>
    <row r="71" spans="1:25">
      <c r="A71" s="17" t="s">
        <v>2966</v>
      </c>
      <c r="B71" s="17" t="s">
        <v>2966</v>
      </c>
      <c r="C71" s="17" t="s">
        <v>2967</v>
      </c>
      <c r="D71" s="17" t="s">
        <v>2669</v>
      </c>
      <c r="E71" s="17" t="s">
        <v>2968</v>
      </c>
      <c r="F71" s="17" t="s">
        <v>2966</v>
      </c>
      <c r="G71" s="17" t="s">
        <v>2671</v>
      </c>
      <c r="H71" s="17" t="s">
        <v>4312</v>
      </c>
      <c r="I71" s="17" t="s">
        <v>4237</v>
      </c>
      <c r="J71" s="17" t="s">
        <v>2969</v>
      </c>
      <c r="K71" s="17" t="s">
        <v>2674</v>
      </c>
      <c r="L71" s="17" t="s">
        <v>2970</v>
      </c>
      <c r="M71" s="17" t="s">
        <v>2669</v>
      </c>
      <c r="N71" s="17" t="s">
        <v>2966</v>
      </c>
      <c r="O71" s="17" t="s">
        <v>7635</v>
      </c>
      <c r="P71" s="17" t="s">
        <v>2971</v>
      </c>
      <c r="Q71" s="17"/>
      <c r="R71" s="17"/>
      <c r="S71" s="17"/>
      <c r="T71" s="17"/>
      <c r="U71" s="17"/>
      <c r="V71" s="17"/>
      <c r="W71" s="17"/>
      <c r="X71" s="17"/>
      <c r="Y71" s="17"/>
    </row>
    <row r="72" spans="1:25">
      <c r="A72" s="17" t="s">
        <v>2972</v>
      </c>
      <c r="B72" s="17" t="s">
        <v>2972</v>
      </c>
      <c r="C72" s="17" t="s">
        <v>2967</v>
      </c>
      <c r="D72" s="17" t="s">
        <v>2669</v>
      </c>
      <c r="E72" s="17" t="s">
        <v>2968</v>
      </c>
      <c r="F72" s="17" t="s">
        <v>2972</v>
      </c>
      <c r="G72" s="17" t="s">
        <v>2671</v>
      </c>
      <c r="H72" s="17" t="s">
        <v>6835</v>
      </c>
      <c r="I72" s="17" t="s">
        <v>4237</v>
      </c>
      <c r="J72" s="17" t="s">
        <v>2969</v>
      </c>
      <c r="K72" s="17" t="s">
        <v>2674</v>
      </c>
      <c r="L72" s="17" t="s">
        <v>2970</v>
      </c>
      <c r="M72" s="17" t="s">
        <v>2669</v>
      </c>
      <c r="N72" s="17" t="s">
        <v>2972</v>
      </c>
      <c r="O72" s="17" t="s">
        <v>7635</v>
      </c>
      <c r="P72" s="17" t="s">
        <v>2973</v>
      </c>
      <c r="Q72" s="17"/>
      <c r="R72" s="17"/>
      <c r="S72" s="17"/>
      <c r="T72" s="17"/>
      <c r="U72" s="17"/>
      <c r="V72" s="17"/>
      <c r="W72" s="17"/>
      <c r="X72" s="17"/>
      <c r="Y72" s="17"/>
    </row>
    <row r="73" spans="1:25">
      <c r="A73" s="17" t="s">
        <v>2974</v>
      </c>
      <c r="B73" s="17" t="s">
        <v>2974</v>
      </c>
      <c r="C73" s="17" t="s">
        <v>2975</v>
      </c>
      <c r="D73" s="17" t="s">
        <v>2669</v>
      </c>
      <c r="E73" s="17" t="s">
        <v>2968</v>
      </c>
      <c r="F73" s="17" t="s">
        <v>2974</v>
      </c>
      <c r="G73" s="17" t="s">
        <v>2671</v>
      </c>
      <c r="H73" s="17" t="s">
        <v>4312</v>
      </c>
      <c r="I73" s="17" t="s">
        <v>4237</v>
      </c>
      <c r="J73" s="17" t="s">
        <v>2969</v>
      </c>
      <c r="K73" s="17" t="s">
        <v>2684</v>
      </c>
      <c r="L73" s="17" t="s">
        <v>2970</v>
      </c>
      <c r="M73" s="17" t="s">
        <v>2669</v>
      </c>
      <c r="N73" s="17" t="s">
        <v>2974</v>
      </c>
      <c r="O73" s="17" t="s">
        <v>7635</v>
      </c>
      <c r="P73" s="17" t="s">
        <v>2976</v>
      </c>
      <c r="Q73" s="17"/>
      <c r="R73" s="17"/>
      <c r="S73" s="17"/>
      <c r="T73" s="17"/>
      <c r="U73" s="17"/>
      <c r="V73" s="17"/>
      <c r="W73" s="17"/>
      <c r="X73" s="17"/>
      <c r="Y73" s="17"/>
    </row>
    <row r="74" spans="1:25">
      <c r="A74" s="17" t="s">
        <v>2977</v>
      </c>
      <c r="B74" s="17" t="s">
        <v>2977</v>
      </c>
      <c r="C74" s="17" t="s">
        <v>2975</v>
      </c>
      <c r="D74" s="17" t="s">
        <v>2669</v>
      </c>
      <c r="E74" s="17" t="s">
        <v>2968</v>
      </c>
      <c r="F74" s="17" t="s">
        <v>2977</v>
      </c>
      <c r="G74" s="17" t="s">
        <v>2671</v>
      </c>
      <c r="H74" s="17" t="s">
        <v>6835</v>
      </c>
      <c r="I74" s="17" t="s">
        <v>4237</v>
      </c>
      <c r="J74" s="17" t="s">
        <v>2969</v>
      </c>
      <c r="K74" s="17" t="s">
        <v>2684</v>
      </c>
      <c r="L74" s="17" t="s">
        <v>2970</v>
      </c>
      <c r="M74" s="17" t="s">
        <v>2669</v>
      </c>
      <c r="N74" s="17" t="s">
        <v>2977</v>
      </c>
      <c r="O74" s="17" t="s">
        <v>7635</v>
      </c>
      <c r="P74" s="17" t="s">
        <v>2978</v>
      </c>
      <c r="Q74" s="17"/>
      <c r="R74" s="17"/>
      <c r="S74" s="17"/>
      <c r="T74" s="17"/>
      <c r="U74" s="17"/>
      <c r="V74" s="17"/>
      <c r="W74" s="17"/>
      <c r="X74" s="17"/>
      <c r="Y74" s="17"/>
    </row>
    <row r="75" spans="1:25">
      <c r="A75" s="17" t="s">
        <v>2979</v>
      </c>
      <c r="B75" s="17" t="s">
        <v>2979</v>
      </c>
      <c r="C75" s="17" t="s">
        <v>2980</v>
      </c>
      <c r="D75" s="17" t="s">
        <v>2669</v>
      </c>
      <c r="E75" s="17" t="s">
        <v>2968</v>
      </c>
      <c r="F75" s="17" t="s">
        <v>2979</v>
      </c>
      <c r="G75" s="17" t="s">
        <v>2671</v>
      </c>
      <c r="H75" s="17" t="s">
        <v>4312</v>
      </c>
      <c r="I75" s="17" t="s">
        <v>4237</v>
      </c>
      <c r="J75" s="17" t="s">
        <v>2969</v>
      </c>
      <c r="K75" s="17" t="s">
        <v>2693</v>
      </c>
      <c r="L75" s="17" t="s">
        <v>2970</v>
      </c>
      <c r="M75" s="17" t="s">
        <v>2669</v>
      </c>
      <c r="N75" s="17" t="s">
        <v>2979</v>
      </c>
      <c r="O75" s="17" t="s">
        <v>7635</v>
      </c>
      <c r="P75" s="17" t="s">
        <v>2981</v>
      </c>
      <c r="Q75" s="17"/>
      <c r="R75" s="17"/>
      <c r="S75" s="17"/>
      <c r="T75" s="17"/>
      <c r="U75" s="17"/>
      <c r="V75" s="17"/>
      <c r="W75" s="17"/>
      <c r="X75" s="17"/>
      <c r="Y75" s="17"/>
    </row>
    <row r="76" spans="1:25">
      <c r="A76" s="17" t="s">
        <v>2982</v>
      </c>
      <c r="B76" s="17" t="s">
        <v>2982</v>
      </c>
      <c r="C76" s="17" t="s">
        <v>2980</v>
      </c>
      <c r="D76" s="17" t="s">
        <v>2669</v>
      </c>
      <c r="E76" s="17" t="s">
        <v>2968</v>
      </c>
      <c r="F76" s="17" t="s">
        <v>2982</v>
      </c>
      <c r="G76" s="17" t="s">
        <v>2671</v>
      </c>
      <c r="H76" s="17" t="s">
        <v>6835</v>
      </c>
      <c r="I76" s="17" t="s">
        <v>4237</v>
      </c>
      <c r="J76" s="17" t="s">
        <v>2969</v>
      </c>
      <c r="K76" s="17" t="s">
        <v>2693</v>
      </c>
      <c r="L76" s="17" t="s">
        <v>2970</v>
      </c>
      <c r="M76" s="17" t="s">
        <v>2669</v>
      </c>
      <c r="N76" s="17" t="s">
        <v>2982</v>
      </c>
      <c r="O76" s="17" t="s">
        <v>7635</v>
      </c>
      <c r="P76" s="17" t="s">
        <v>2983</v>
      </c>
      <c r="Q76" s="17"/>
      <c r="R76" s="17"/>
      <c r="S76" s="17"/>
      <c r="T76" s="17"/>
      <c r="U76" s="17"/>
      <c r="V76" s="17"/>
      <c r="W76" s="17"/>
      <c r="X76" s="17"/>
      <c r="Y76" s="17"/>
    </row>
    <row r="77" spans="1:25">
      <c r="A77" s="17" t="s">
        <v>2984</v>
      </c>
      <c r="B77" s="17" t="s">
        <v>2984</v>
      </c>
      <c r="C77" s="17" t="s">
        <v>2985</v>
      </c>
      <c r="D77" s="17" t="s">
        <v>2669</v>
      </c>
      <c r="E77" s="17" t="s">
        <v>2968</v>
      </c>
      <c r="F77" s="17" t="s">
        <v>2984</v>
      </c>
      <c r="G77" s="17" t="s">
        <v>2671</v>
      </c>
      <c r="H77" s="17" t="s">
        <v>4312</v>
      </c>
      <c r="I77" s="17" t="s">
        <v>4237</v>
      </c>
      <c r="J77" s="17" t="s">
        <v>2969</v>
      </c>
      <c r="K77" s="17" t="s">
        <v>2699</v>
      </c>
      <c r="L77" s="17" t="s">
        <v>2970</v>
      </c>
      <c r="M77" s="17" t="s">
        <v>2669</v>
      </c>
      <c r="N77" s="17" t="s">
        <v>2984</v>
      </c>
      <c r="O77" s="17" t="s">
        <v>7635</v>
      </c>
      <c r="P77" s="17" t="s">
        <v>2986</v>
      </c>
      <c r="Q77" s="17"/>
      <c r="R77" s="17"/>
      <c r="S77" s="17"/>
      <c r="T77" s="17"/>
      <c r="U77" s="17"/>
      <c r="V77" s="17"/>
      <c r="W77" s="17"/>
      <c r="X77" s="17"/>
      <c r="Y77" s="17"/>
    </row>
    <row r="78" spans="1:25">
      <c r="A78" s="17" t="s">
        <v>2987</v>
      </c>
      <c r="B78" s="17" t="s">
        <v>2987</v>
      </c>
      <c r="C78" s="17" t="s">
        <v>2985</v>
      </c>
      <c r="D78" s="17" t="s">
        <v>2669</v>
      </c>
      <c r="E78" s="17" t="s">
        <v>2968</v>
      </c>
      <c r="F78" s="17" t="s">
        <v>2987</v>
      </c>
      <c r="G78" s="17" t="s">
        <v>2671</v>
      </c>
      <c r="H78" s="17" t="s">
        <v>6835</v>
      </c>
      <c r="I78" s="17" t="s">
        <v>4237</v>
      </c>
      <c r="J78" s="17" t="s">
        <v>2969</v>
      </c>
      <c r="K78" s="17" t="s">
        <v>2699</v>
      </c>
      <c r="L78" s="17" t="s">
        <v>2970</v>
      </c>
      <c r="M78" s="17" t="s">
        <v>2669</v>
      </c>
      <c r="N78" s="17" t="s">
        <v>2987</v>
      </c>
      <c r="O78" s="17" t="s">
        <v>7635</v>
      </c>
      <c r="P78" s="17" t="s">
        <v>2988</v>
      </c>
      <c r="Q78" s="17"/>
      <c r="R78" s="17"/>
      <c r="S78" s="17"/>
      <c r="T78" s="17"/>
      <c r="U78" s="17"/>
      <c r="V78" s="17"/>
      <c r="W78" s="17"/>
      <c r="X78" s="17"/>
      <c r="Y78" s="17"/>
    </row>
    <row r="79" spans="1:25">
      <c r="A79" s="17" t="s">
        <v>2989</v>
      </c>
      <c r="B79" s="17" t="s">
        <v>2989</v>
      </c>
      <c r="C79" s="17" t="s">
        <v>2990</v>
      </c>
      <c r="D79" s="17" t="s">
        <v>2669</v>
      </c>
      <c r="E79" s="17" t="s">
        <v>2968</v>
      </c>
      <c r="F79" s="17" t="s">
        <v>2989</v>
      </c>
      <c r="G79" s="17" t="s">
        <v>2671</v>
      </c>
      <c r="H79" s="17" t="s">
        <v>4312</v>
      </c>
      <c r="I79" s="17" t="s">
        <v>4237</v>
      </c>
      <c r="J79" s="17" t="s">
        <v>2969</v>
      </c>
      <c r="K79" s="17" t="s">
        <v>2703</v>
      </c>
      <c r="L79" s="17" t="s">
        <v>2970</v>
      </c>
      <c r="M79" s="17" t="s">
        <v>2669</v>
      </c>
      <c r="N79" s="17" t="s">
        <v>2989</v>
      </c>
      <c r="O79" s="17" t="s">
        <v>7635</v>
      </c>
      <c r="P79" s="17" t="s">
        <v>2991</v>
      </c>
      <c r="Q79" s="17"/>
      <c r="R79" s="17"/>
      <c r="S79" s="17"/>
      <c r="T79" s="17"/>
      <c r="U79" s="17"/>
      <c r="V79" s="17"/>
      <c r="W79" s="17"/>
      <c r="X79" s="17"/>
      <c r="Y79" s="17"/>
    </row>
    <row r="80" spans="1:25">
      <c r="A80" s="17" t="s">
        <v>2992</v>
      </c>
      <c r="B80" s="17" t="s">
        <v>2992</v>
      </c>
      <c r="C80" s="17" t="s">
        <v>2990</v>
      </c>
      <c r="D80" s="17" t="s">
        <v>2669</v>
      </c>
      <c r="E80" s="17" t="s">
        <v>2968</v>
      </c>
      <c r="F80" s="17" t="s">
        <v>2992</v>
      </c>
      <c r="G80" s="17" t="s">
        <v>2671</v>
      </c>
      <c r="H80" s="17" t="s">
        <v>6835</v>
      </c>
      <c r="I80" s="17" t="s">
        <v>4237</v>
      </c>
      <c r="J80" s="17" t="s">
        <v>2969</v>
      </c>
      <c r="K80" s="17" t="s">
        <v>2703</v>
      </c>
      <c r="L80" s="17" t="s">
        <v>2970</v>
      </c>
      <c r="M80" s="17" t="s">
        <v>2669</v>
      </c>
      <c r="N80" s="17" t="s">
        <v>2992</v>
      </c>
      <c r="O80" s="17" t="s">
        <v>7635</v>
      </c>
      <c r="P80" s="17" t="s">
        <v>2993</v>
      </c>
      <c r="Q80" s="17"/>
      <c r="R80" s="17"/>
      <c r="S80" s="17"/>
      <c r="T80" s="17"/>
      <c r="U80" s="17"/>
      <c r="V80" s="17"/>
      <c r="W80" s="17"/>
      <c r="X80" s="17"/>
      <c r="Y80" s="17"/>
    </row>
    <row r="81" spans="1:25">
      <c r="A81" s="17" t="s">
        <v>2994</v>
      </c>
      <c r="B81" s="17" t="s">
        <v>2994</v>
      </c>
      <c r="C81" s="17" t="s">
        <v>2995</v>
      </c>
      <c r="D81" s="17" t="s">
        <v>2669</v>
      </c>
      <c r="E81" s="17" t="s">
        <v>2968</v>
      </c>
      <c r="F81" s="17" t="s">
        <v>2994</v>
      </c>
      <c r="G81" s="17" t="s">
        <v>2671</v>
      </c>
      <c r="H81" s="17" t="s">
        <v>4312</v>
      </c>
      <c r="I81" s="17" t="s">
        <v>4237</v>
      </c>
      <c r="J81" s="17" t="s">
        <v>2969</v>
      </c>
      <c r="K81" s="17" t="s">
        <v>2707</v>
      </c>
      <c r="L81" s="17" t="s">
        <v>2970</v>
      </c>
      <c r="M81" s="17" t="s">
        <v>2669</v>
      </c>
      <c r="N81" s="17" t="s">
        <v>2994</v>
      </c>
      <c r="O81" s="17" t="s">
        <v>7635</v>
      </c>
      <c r="P81" s="17" t="s">
        <v>2996</v>
      </c>
      <c r="Q81" s="17"/>
      <c r="R81" s="17"/>
      <c r="S81" s="17"/>
      <c r="T81" s="17"/>
      <c r="U81" s="17"/>
      <c r="V81" s="17"/>
      <c r="W81" s="17"/>
      <c r="X81" s="17"/>
      <c r="Y81" s="17"/>
    </row>
    <row r="82" spans="1:25">
      <c r="A82" s="17" t="s">
        <v>2997</v>
      </c>
      <c r="B82" s="17" t="s">
        <v>2997</v>
      </c>
      <c r="C82" s="17" t="s">
        <v>2995</v>
      </c>
      <c r="D82" s="17" t="s">
        <v>2669</v>
      </c>
      <c r="E82" s="17" t="s">
        <v>2968</v>
      </c>
      <c r="F82" s="17" t="s">
        <v>2997</v>
      </c>
      <c r="G82" s="17" t="s">
        <v>2671</v>
      </c>
      <c r="H82" s="17" t="s">
        <v>6835</v>
      </c>
      <c r="I82" s="17" t="s">
        <v>4237</v>
      </c>
      <c r="J82" s="17" t="s">
        <v>2969</v>
      </c>
      <c r="K82" s="17" t="s">
        <v>2707</v>
      </c>
      <c r="L82" s="17" t="s">
        <v>2970</v>
      </c>
      <c r="M82" s="17" t="s">
        <v>2669</v>
      </c>
      <c r="N82" s="17" t="s">
        <v>2997</v>
      </c>
      <c r="O82" s="17" t="s">
        <v>7635</v>
      </c>
      <c r="P82" s="17" t="s">
        <v>2998</v>
      </c>
      <c r="Q82" s="17"/>
      <c r="R82" s="17"/>
      <c r="S82" s="17"/>
      <c r="T82" s="17"/>
      <c r="U82" s="17"/>
      <c r="V82" s="17"/>
      <c r="W82" s="17"/>
      <c r="X82" s="17"/>
      <c r="Y82" s="17"/>
    </row>
    <row r="83" spans="1:25">
      <c r="A83" s="17" t="s">
        <v>2999</v>
      </c>
      <c r="B83" s="17" t="s">
        <v>2999</v>
      </c>
      <c r="C83" s="17" t="s">
        <v>3000</v>
      </c>
      <c r="D83" s="17" t="s">
        <v>2669</v>
      </c>
      <c r="E83" s="17" t="s">
        <v>2968</v>
      </c>
      <c r="F83" s="17" t="s">
        <v>2999</v>
      </c>
      <c r="G83" s="17" t="s">
        <v>2671</v>
      </c>
      <c r="H83" s="17" t="s">
        <v>4312</v>
      </c>
      <c r="I83" s="17" t="s">
        <v>4237</v>
      </c>
      <c r="J83" s="17" t="s">
        <v>2969</v>
      </c>
      <c r="K83" s="17" t="s">
        <v>2713</v>
      </c>
      <c r="L83" s="17" t="s">
        <v>2970</v>
      </c>
      <c r="M83" s="17" t="s">
        <v>2669</v>
      </c>
      <c r="N83" s="17" t="s">
        <v>2999</v>
      </c>
      <c r="O83" s="17" t="s">
        <v>7635</v>
      </c>
      <c r="P83" s="17" t="s">
        <v>3001</v>
      </c>
      <c r="Q83" s="17"/>
      <c r="R83" s="17"/>
      <c r="S83" s="17"/>
      <c r="T83" s="17"/>
      <c r="U83" s="17"/>
      <c r="V83" s="17"/>
      <c r="W83" s="17"/>
      <c r="X83" s="17"/>
      <c r="Y83" s="17"/>
    </row>
    <row r="84" spans="1:25">
      <c r="A84" s="17" t="s">
        <v>3002</v>
      </c>
      <c r="B84" s="17" t="s">
        <v>3002</v>
      </c>
      <c r="C84" s="17" t="s">
        <v>3000</v>
      </c>
      <c r="D84" s="17" t="s">
        <v>2669</v>
      </c>
      <c r="E84" s="17" t="s">
        <v>2968</v>
      </c>
      <c r="F84" s="17" t="s">
        <v>3002</v>
      </c>
      <c r="G84" s="17" t="s">
        <v>2671</v>
      </c>
      <c r="H84" s="17" t="s">
        <v>6835</v>
      </c>
      <c r="I84" s="17" t="s">
        <v>4237</v>
      </c>
      <c r="J84" s="17" t="s">
        <v>2969</v>
      </c>
      <c r="K84" s="17" t="s">
        <v>2713</v>
      </c>
      <c r="L84" s="17" t="s">
        <v>2970</v>
      </c>
      <c r="M84" s="17" t="s">
        <v>2669</v>
      </c>
      <c r="N84" s="17" t="s">
        <v>3002</v>
      </c>
      <c r="O84" s="17" t="s">
        <v>7635</v>
      </c>
      <c r="P84" s="17" t="s">
        <v>3003</v>
      </c>
      <c r="Q84" s="17"/>
      <c r="R84" s="17"/>
      <c r="S84" s="17"/>
      <c r="T84" s="17"/>
      <c r="U84" s="17"/>
      <c r="V84" s="17"/>
      <c r="W84" s="17"/>
      <c r="X84" s="17"/>
      <c r="Y84" s="17"/>
    </row>
    <row r="85" spans="1:25">
      <c r="A85" s="17" t="s">
        <v>3004</v>
      </c>
      <c r="B85" s="17" t="s">
        <v>3004</v>
      </c>
      <c r="C85" s="17" t="s">
        <v>3005</v>
      </c>
      <c r="D85" s="17" t="s">
        <v>2669</v>
      </c>
      <c r="E85" s="17" t="s">
        <v>2968</v>
      </c>
      <c r="F85" s="17" t="s">
        <v>3004</v>
      </c>
      <c r="G85" s="17" t="s">
        <v>2671</v>
      </c>
      <c r="H85" s="17" t="s">
        <v>4312</v>
      </c>
      <c r="I85" s="17" t="s">
        <v>4237</v>
      </c>
      <c r="J85" s="17" t="s">
        <v>2969</v>
      </c>
      <c r="K85" s="17" t="s">
        <v>2720</v>
      </c>
      <c r="L85" s="17" t="s">
        <v>2970</v>
      </c>
      <c r="M85" s="17" t="s">
        <v>2669</v>
      </c>
      <c r="N85" s="17" t="s">
        <v>3004</v>
      </c>
      <c r="O85" s="17" t="s">
        <v>7635</v>
      </c>
      <c r="P85" s="17" t="s">
        <v>3006</v>
      </c>
      <c r="Q85" s="17"/>
      <c r="R85" s="17"/>
      <c r="S85" s="17"/>
      <c r="T85" s="17"/>
      <c r="U85" s="17"/>
      <c r="V85" s="17"/>
      <c r="W85" s="17"/>
      <c r="X85" s="17"/>
      <c r="Y85" s="17"/>
    </row>
    <row r="86" spans="1:25">
      <c r="A86" s="17" t="s">
        <v>3007</v>
      </c>
      <c r="B86" s="17" t="s">
        <v>3007</v>
      </c>
      <c r="C86" s="17" t="s">
        <v>3005</v>
      </c>
      <c r="D86" s="17" t="s">
        <v>2669</v>
      </c>
      <c r="E86" s="17" t="s">
        <v>2968</v>
      </c>
      <c r="F86" s="17" t="s">
        <v>3007</v>
      </c>
      <c r="G86" s="17" t="s">
        <v>2671</v>
      </c>
      <c r="H86" s="17" t="s">
        <v>6835</v>
      </c>
      <c r="I86" s="17" t="s">
        <v>4237</v>
      </c>
      <c r="J86" s="17" t="s">
        <v>2969</v>
      </c>
      <c r="K86" s="17" t="s">
        <v>2720</v>
      </c>
      <c r="L86" s="17" t="s">
        <v>2970</v>
      </c>
      <c r="M86" s="17" t="s">
        <v>2669</v>
      </c>
      <c r="N86" s="17" t="s">
        <v>3007</v>
      </c>
      <c r="O86" s="17" t="s">
        <v>7635</v>
      </c>
      <c r="P86" s="17" t="s">
        <v>3008</v>
      </c>
      <c r="Q86" s="17"/>
      <c r="R86" s="17"/>
      <c r="S86" s="17"/>
      <c r="T86" s="17"/>
      <c r="U86" s="17"/>
      <c r="V86" s="17"/>
      <c r="W86" s="17"/>
      <c r="X86" s="17"/>
      <c r="Y86" s="17"/>
    </row>
    <row r="87" spans="1:25">
      <c r="A87" s="17" t="s">
        <v>3009</v>
      </c>
      <c r="B87" s="17" t="s">
        <v>3009</v>
      </c>
      <c r="C87" s="17" t="s">
        <v>3010</v>
      </c>
      <c r="D87" s="17" t="s">
        <v>2669</v>
      </c>
      <c r="E87" s="17" t="s">
        <v>2968</v>
      </c>
      <c r="F87" s="17" t="s">
        <v>3009</v>
      </c>
      <c r="G87" s="17" t="s">
        <v>2671</v>
      </c>
      <c r="H87" s="17" t="s">
        <v>4312</v>
      </c>
      <c r="I87" s="17" t="s">
        <v>4237</v>
      </c>
      <c r="J87" s="17" t="s">
        <v>2969</v>
      </c>
      <c r="K87" s="17" t="s">
        <v>2729</v>
      </c>
      <c r="L87" s="17" t="s">
        <v>2970</v>
      </c>
      <c r="M87" s="17" t="s">
        <v>2669</v>
      </c>
      <c r="N87" s="17" t="s">
        <v>3009</v>
      </c>
      <c r="O87" s="17" t="s">
        <v>7635</v>
      </c>
      <c r="P87" s="17" t="s">
        <v>3011</v>
      </c>
      <c r="Q87" s="17"/>
      <c r="R87" s="17"/>
      <c r="S87" s="17"/>
      <c r="T87" s="17"/>
      <c r="U87" s="17"/>
      <c r="V87" s="17"/>
      <c r="W87" s="17"/>
      <c r="X87" s="17"/>
      <c r="Y87" s="17"/>
    </row>
    <row r="88" spans="1:25">
      <c r="A88" s="17" t="s">
        <v>3012</v>
      </c>
      <c r="B88" s="17" t="s">
        <v>3012</v>
      </c>
      <c r="C88" s="17" t="s">
        <v>3010</v>
      </c>
      <c r="D88" s="17" t="s">
        <v>2669</v>
      </c>
      <c r="E88" s="17" t="s">
        <v>2968</v>
      </c>
      <c r="F88" s="17" t="s">
        <v>3012</v>
      </c>
      <c r="G88" s="17" t="s">
        <v>2671</v>
      </c>
      <c r="H88" s="17" t="s">
        <v>6835</v>
      </c>
      <c r="I88" s="17" t="s">
        <v>4237</v>
      </c>
      <c r="J88" s="17" t="s">
        <v>2969</v>
      </c>
      <c r="K88" s="17" t="s">
        <v>2729</v>
      </c>
      <c r="L88" s="17" t="s">
        <v>2970</v>
      </c>
      <c r="M88" s="17" t="s">
        <v>2669</v>
      </c>
      <c r="N88" s="17" t="s">
        <v>3012</v>
      </c>
      <c r="O88" s="17" t="s">
        <v>7635</v>
      </c>
      <c r="P88" s="17" t="s">
        <v>3013</v>
      </c>
      <c r="Q88" s="17"/>
      <c r="R88" s="17"/>
      <c r="S88" s="17"/>
      <c r="T88" s="17"/>
      <c r="U88" s="17"/>
      <c r="V88" s="17"/>
      <c r="W88" s="17"/>
      <c r="X88" s="17"/>
      <c r="Y88" s="17"/>
    </row>
    <row r="89" spans="1:25">
      <c r="A89" s="17" t="s">
        <v>3014</v>
      </c>
      <c r="B89" s="17" t="s">
        <v>3014</v>
      </c>
      <c r="C89" s="17" t="s">
        <v>3015</v>
      </c>
      <c r="D89" s="17" t="s">
        <v>2669</v>
      </c>
      <c r="E89" s="17" t="s">
        <v>2968</v>
      </c>
      <c r="F89" s="17" t="s">
        <v>3014</v>
      </c>
      <c r="G89" s="17" t="s">
        <v>2671</v>
      </c>
      <c r="H89" s="17" t="s">
        <v>4312</v>
      </c>
      <c r="I89" s="17" t="s">
        <v>4237</v>
      </c>
      <c r="J89" s="17" t="s">
        <v>2969</v>
      </c>
      <c r="K89" s="17" t="s">
        <v>2738</v>
      </c>
      <c r="L89" s="17" t="s">
        <v>2970</v>
      </c>
      <c r="M89" s="17" t="s">
        <v>2669</v>
      </c>
      <c r="N89" s="17" t="s">
        <v>3014</v>
      </c>
      <c r="O89" s="17" t="s">
        <v>7635</v>
      </c>
      <c r="P89" s="17" t="s">
        <v>3016</v>
      </c>
      <c r="Q89" s="17"/>
      <c r="R89" s="17"/>
      <c r="S89" s="17"/>
      <c r="T89" s="17"/>
      <c r="U89" s="17"/>
      <c r="V89" s="17"/>
      <c r="W89" s="17"/>
      <c r="X89" s="17"/>
      <c r="Y89" s="17"/>
    </row>
    <row r="90" spans="1:25">
      <c r="A90" s="17" t="s">
        <v>3017</v>
      </c>
      <c r="B90" s="17" t="s">
        <v>3017</v>
      </c>
      <c r="C90" s="17" t="s">
        <v>3015</v>
      </c>
      <c r="D90" s="17" t="s">
        <v>2669</v>
      </c>
      <c r="E90" s="17" t="s">
        <v>2968</v>
      </c>
      <c r="F90" s="17" t="s">
        <v>3017</v>
      </c>
      <c r="G90" s="17" t="s">
        <v>2671</v>
      </c>
      <c r="H90" s="17" t="s">
        <v>6835</v>
      </c>
      <c r="I90" s="17" t="s">
        <v>4237</v>
      </c>
      <c r="J90" s="17" t="s">
        <v>2969</v>
      </c>
      <c r="K90" s="17" t="s">
        <v>2738</v>
      </c>
      <c r="L90" s="17" t="s">
        <v>2970</v>
      </c>
      <c r="M90" s="17" t="s">
        <v>2669</v>
      </c>
      <c r="N90" s="17" t="s">
        <v>3017</v>
      </c>
      <c r="O90" s="17" t="s">
        <v>7635</v>
      </c>
      <c r="P90" s="17" t="s">
        <v>3018</v>
      </c>
      <c r="Q90" s="17"/>
      <c r="R90" s="17"/>
      <c r="S90" s="17"/>
      <c r="T90" s="17"/>
      <c r="U90" s="17"/>
      <c r="V90" s="17"/>
      <c r="W90" s="17"/>
      <c r="X90" s="17"/>
      <c r="Y90" s="17"/>
    </row>
    <row r="91" spans="1:25">
      <c r="A91" s="17" t="s">
        <v>3019</v>
      </c>
      <c r="B91" s="17" t="s">
        <v>3019</v>
      </c>
      <c r="C91" s="17" t="s">
        <v>3020</v>
      </c>
      <c r="D91" s="17" t="s">
        <v>2669</v>
      </c>
      <c r="E91" s="17" t="s">
        <v>2968</v>
      </c>
      <c r="F91" s="17" t="s">
        <v>3019</v>
      </c>
      <c r="G91" s="17" t="s">
        <v>2671</v>
      </c>
      <c r="H91" s="17" t="s">
        <v>4312</v>
      </c>
      <c r="I91" s="17" t="s">
        <v>4237</v>
      </c>
      <c r="J91" s="17" t="s">
        <v>2969</v>
      </c>
      <c r="K91" s="17" t="s">
        <v>2742</v>
      </c>
      <c r="L91" s="17" t="s">
        <v>2970</v>
      </c>
      <c r="M91" s="17" t="s">
        <v>2669</v>
      </c>
      <c r="N91" s="17" t="s">
        <v>3019</v>
      </c>
      <c r="O91" s="17" t="s">
        <v>7635</v>
      </c>
      <c r="P91" s="17" t="s">
        <v>3021</v>
      </c>
      <c r="Q91" s="17"/>
      <c r="R91" s="17"/>
      <c r="S91" s="17"/>
      <c r="T91" s="17"/>
      <c r="U91" s="17"/>
      <c r="V91" s="17"/>
      <c r="W91" s="17"/>
      <c r="X91" s="17"/>
      <c r="Y91" s="17"/>
    </row>
    <row r="92" spans="1:25">
      <c r="A92" s="17" t="s">
        <v>3022</v>
      </c>
      <c r="B92" s="17" t="s">
        <v>3022</v>
      </c>
      <c r="C92" s="17" t="s">
        <v>3020</v>
      </c>
      <c r="D92" s="17" t="s">
        <v>2669</v>
      </c>
      <c r="E92" s="17" t="s">
        <v>2968</v>
      </c>
      <c r="F92" s="17" t="s">
        <v>3022</v>
      </c>
      <c r="G92" s="17" t="s">
        <v>2671</v>
      </c>
      <c r="H92" s="17" t="s">
        <v>6835</v>
      </c>
      <c r="I92" s="17" t="s">
        <v>4237</v>
      </c>
      <c r="J92" s="17" t="s">
        <v>2969</v>
      </c>
      <c r="K92" s="17" t="s">
        <v>2742</v>
      </c>
      <c r="L92" s="17" t="s">
        <v>2970</v>
      </c>
      <c r="M92" s="17" t="s">
        <v>2669</v>
      </c>
      <c r="N92" s="17" t="s">
        <v>3022</v>
      </c>
      <c r="O92" s="17" t="s">
        <v>7635</v>
      </c>
      <c r="P92" s="17" t="s">
        <v>3023</v>
      </c>
      <c r="Q92" s="17"/>
      <c r="R92" s="17"/>
      <c r="S92" s="17"/>
      <c r="T92" s="17"/>
      <c r="U92" s="17"/>
      <c r="V92" s="17"/>
      <c r="W92" s="17"/>
      <c r="X92" s="17"/>
      <c r="Y92" s="17"/>
    </row>
    <row r="93" spans="1:25">
      <c r="A93" s="17" t="s">
        <v>3024</v>
      </c>
      <c r="B93" s="17" t="s">
        <v>3024</v>
      </c>
      <c r="C93" s="17" t="s">
        <v>3025</v>
      </c>
      <c r="D93" s="17" t="s">
        <v>2669</v>
      </c>
      <c r="E93" s="17" t="s">
        <v>2968</v>
      </c>
      <c r="F93" s="17" t="s">
        <v>3024</v>
      </c>
      <c r="G93" s="17" t="s">
        <v>2671</v>
      </c>
      <c r="H93" s="17" t="s">
        <v>4312</v>
      </c>
      <c r="I93" s="17" t="s">
        <v>4237</v>
      </c>
      <c r="J93" s="17" t="s">
        <v>2969</v>
      </c>
      <c r="K93" s="17" t="s">
        <v>2751</v>
      </c>
      <c r="L93" s="17" t="s">
        <v>2970</v>
      </c>
      <c r="M93" s="17" t="s">
        <v>2669</v>
      </c>
      <c r="N93" s="17" t="s">
        <v>3024</v>
      </c>
      <c r="O93" s="17" t="s">
        <v>7635</v>
      </c>
      <c r="P93" s="17" t="s">
        <v>3026</v>
      </c>
      <c r="Q93" s="17"/>
      <c r="R93" s="17"/>
      <c r="S93" s="17"/>
      <c r="T93" s="17"/>
      <c r="U93" s="17"/>
      <c r="V93" s="17"/>
      <c r="W93" s="17"/>
      <c r="X93" s="17"/>
      <c r="Y93" s="17"/>
    </row>
    <row r="94" spans="1:25">
      <c r="A94" s="17" t="s">
        <v>3027</v>
      </c>
      <c r="B94" s="17" t="s">
        <v>3027</v>
      </c>
      <c r="C94" s="17" t="s">
        <v>3025</v>
      </c>
      <c r="D94" s="17" t="s">
        <v>2669</v>
      </c>
      <c r="E94" s="17" t="s">
        <v>2968</v>
      </c>
      <c r="F94" s="17" t="s">
        <v>3027</v>
      </c>
      <c r="G94" s="17" t="s">
        <v>2671</v>
      </c>
      <c r="H94" s="17" t="s">
        <v>6835</v>
      </c>
      <c r="I94" s="17" t="s">
        <v>4237</v>
      </c>
      <c r="J94" s="17" t="s">
        <v>2969</v>
      </c>
      <c r="K94" s="17" t="s">
        <v>2751</v>
      </c>
      <c r="L94" s="17" t="s">
        <v>2970</v>
      </c>
      <c r="M94" s="17" t="s">
        <v>2669</v>
      </c>
      <c r="N94" s="17" t="s">
        <v>3027</v>
      </c>
      <c r="O94" s="17" t="s">
        <v>7635</v>
      </c>
      <c r="P94" s="17" t="s">
        <v>3028</v>
      </c>
      <c r="Q94" s="17"/>
      <c r="R94" s="17"/>
      <c r="S94" s="17"/>
      <c r="T94" s="17"/>
      <c r="U94" s="17"/>
      <c r="V94" s="17"/>
      <c r="W94" s="17"/>
      <c r="X94" s="17"/>
      <c r="Y94" s="17"/>
    </row>
    <row r="95" spans="1:25">
      <c r="A95" s="17" t="s">
        <v>3029</v>
      </c>
      <c r="B95" s="17" t="s">
        <v>3029</v>
      </c>
      <c r="C95" s="17" t="s">
        <v>3030</v>
      </c>
      <c r="D95" s="17" t="s">
        <v>2669</v>
      </c>
      <c r="E95" s="17" t="s">
        <v>2968</v>
      </c>
      <c r="F95" s="17" t="s">
        <v>3029</v>
      </c>
      <c r="G95" s="17" t="s">
        <v>2671</v>
      </c>
      <c r="H95" s="17" t="s">
        <v>4312</v>
      </c>
      <c r="I95" s="17" t="s">
        <v>4237</v>
      </c>
      <c r="J95" s="17" t="s">
        <v>2969</v>
      </c>
      <c r="K95" s="17" t="s">
        <v>2760</v>
      </c>
      <c r="L95" s="17" t="s">
        <v>2970</v>
      </c>
      <c r="M95" s="17" t="s">
        <v>2669</v>
      </c>
      <c r="N95" s="17" t="s">
        <v>3029</v>
      </c>
      <c r="O95" s="17" t="s">
        <v>7635</v>
      </c>
      <c r="P95" s="17" t="s">
        <v>3031</v>
      </c>
      <c r="Q95" s="17"/>
      <c r="R95" s="17"/>
      <c r="S95" s="17"/>
      <c r="T95" s="17"/>
      <c r="U95" s="17"/>
      <c r="V95" s="17"/>
      <c r="W95" s="17"/>
      <c r="X95" s="17"/>
      <c r="Y95" s="17"/>
    </row>
    <row r="96" spans="1:25">
      <c r="A96" s="17" t="s">
        <v>3032</v>
      </c>
      <c r="B96" s="17" t="s">
        <v>3032</v>
      </c>
      <c r="C96" s="17" t="s">
        <v>3030</v>
      </c>
      <c r="D96" s="17" t="s">
        <v>2669</v>
      </c>
      <c r="E96" s="17" t="s">
        <v>2968</v>
      </c>
      <c r="F96" s="17" t="s">
        <v>3032</v>
      </c>
      <c r="G96" s="17" t="s">
        <v>2671</v>
      </c>
      <c r="H96" s="17" t="s">
        <v>6835</v>
      </c>
      <c r="I96" s="17" t="s">
        <v>4237</v>
      </c>
      <c r="J96" s="17" t="s">
        <v>2969</v>
      </c>
      <c r="K96" s="17" t="s">
        <v>2760</v>
      </c>
      <c r="L96" s="17" t="s">
        <v>2970</v>
      </c>
      <c r="M96" s="17" t="s">
        <v>2669</v>
      </c>
      <c r="N96" s="17" t="s">
        <v>3032</v>
      </c>
      <c r="O96" s="17" t="s">
        <v>7635</v>
      </c>
      <c r="P96" s="17" t="s">
        <v>3033</v>
      </c>
      <c r="Q96" s="17"/>
      <c r="R96" s="17"/>
      <c r="S96" s="17"/>
      <c r="T96" s="17"/>
      <c r="U96" s="17"/>
      <c r="V96" s="17"/>
      <c r="W96" s="17"/>
      <c r="X96" s="17"/>
      <c r="Y96" s="17"/>
    </row>
    <row r="97" spans="1:25">
      <c r="A97" s="17" t="s">
        <v>3034</v>
      </c>
      <c r="B97" s="17" t="s">
        <v>3034</v>
      </c>
      <c r="C97" s="17" t="s">
        <v>3035</v>
      </c>
      <c r="D97" s="17" t="s">
        <v>2669</v>
      </c>
      <c r="E97" s="17" t="s">
        <v>2968</v>
      </c>
      <c r="F97" s="17" t="s">
        <v>3034</v>
      </c>
      <c r="G97" s="17" t="s">
        <v>2671</v>
      </c>
      <c r="H97" s="17" t="s">
        <v>4312</v>
      </c>
      <c r="I97" s="17" t="s">
        <v>4237</v>
      </c>
      <c r="J97" s="17" t="s">
        <v>2969</v>
      </c>
      <c r="K97" s="17" t="s">
        <v>2769</v>
      </c>
      <c r="L97" s="17" t="s">
        <v>2970</v>
      </c>
      <c r="M97" s="17" t="s">
        <v>2669</v>
      </c>
      <c r="N97" s="17" t="s">
        <v>3034</v>
      </c>
      <c r="O97" s="17" t="s">
        <v>7635</v>
      </c>
      <c r="P97" s="17" t="s">
        <v>3036</v>
      </c>
      <c r="Q97" s="17"/>
      <c r="R97" s="17"/>
      <c r="S97" s="17"/>
      <c r="T97" s="17"/>
      <c r="U97" s="17"/>
      <c r="V97" s="17"/>
      <c r="W97" s="17"/>
      <c r="X97" s="17"/>
      <c r="Y97" s="17"/>
    </row>
    <row r="98" spans="1:25">
      <c r="A98" s="17" t="s">
        <v>3037</v>
      </c>
      <c r="B98" s="17" t="s">
        <v>3037</v>
      </c>
      <c r="C98" s="17" t="s">
        <v>3035</v>
      </c>
      <c r="D98" s="17" t="s">
        <v>2669</v>
      </c>
      <c r="E98" s="17" t="s">
        <v>2968</v>
      </c>
      <c r="F98" s="17" t="s">
        <v>3037</v>
      </c>
      <c r="G98" s="17" t="s">
        <v>2671</v>
      </c>
      <c r="H98" s="17" t="s">
        <v>6835</v>
      </c>
      <c r="I98" s="17" t="s">
        <v>4237</v>
      </c>
      <c r="J98" s="17" t="s">
        <v>2969</v>
      </c>
      <c r="K98" s="17" t="s">
        <v>2769</v>
      </c>
      <c r="L98" s="17" t="s">
        <v>2970</v>
      </c>
      <c r="M98" s="17" t="s">
        <v>2669</v>
      </c>
      <c r="N98" s="17" t="s">
        <v>3037</v>
      </c>
      <c r="O98" s="17" t="s">
        <v>7635</v>
      </c>
      <c r="P98" s="17" t="s">
        <v>3038</v>
      </c>
      <c r="Q98" s="17"/>
      <c r="R98" s="17"/>
      <c r="S98" s="17"/>
      <c r="T98" s="17"/>
      <c r="U98" s="17"/>
      <c r="V98" s="17"/>
      <c r="W98" s="17"/>
      <c r="X98" s="17"/>
      <c r="Y98" s="17"/>
    </row>
    <row r="99" spans="1:25">
      <c r="A99" s="17" t="s">
        <v>3039</v>
      </c>
      <c r="B99" s="17" t="s">
        <v>3039</v>
      </c>
      <c r="C99" s="17" t="s">
        <v>3040</v>
      </c>
      <c r="D99" s="17" t="s">
        <v>2669</v>
      </c>
      <c r="E99" s="17" t="s">
        <v>2968</v>
      </c>
      <c r="F99" s="17" t="s">
        <v>3039</v>
      </c>
      <c r="G99" s="17" t="s">
        <v>2671</v>
      </c>
      <c r="H99" s="17" t="s">
        <v>4312</v>
      </c>
      <c r="I99" s="17" t="s">
        <v>4237</v>
      </c>
      <c r="J99" s="17" t="s">
        <v>2969</v>
      </c>
      <c r="K99" s="17" t="s">
        <v>2778</v>
      </c>
      <c r="L99" s="17" t="s">
        <v>2970</v>
      </c>
      <c r="M99" s="17" t="s">
        <v>2669</v>
      </c>
      <c r="N99" s="17" t="s">
        <v>3039</v>
      </c>
      <c r="O99" s="17" t="s">
        <v>7635</v>
      </c>
      <c r="P99" s="17" t="s">
        <v>3041</v>
      </c>
      <c r="Q99" s="17"/>
      <c r="R99" s="17"/>
      <c r="S99" s="17"/>
      <c r="T99" s="17"/>
      <c r="U99" s="17"/>
      <c r="V99" s="17"/>
      <c r="W99" s="17"/>
      <c r="X99" s="17"/>
      <c r="Y99" s="17"/>
    </row>
    <row r="100" spans="1:25">
      <c r="A100" s="17" t="s">
        <v>3042</v>
      </c>
      <c r="B100" s="17" t="s">
        <v>3042</v>
      </c>
      <c r="C100" s="17" t="s">
        <v>3040</v>
      </c>
      <c r="D100" s="17" t="s">
        <v>2669</v>
      </c>
      <c r="E100" s="17" t="s">
        <v>2968</v>
      </c>
      <c r="F100" s="17" t="s">
        <v>3042</v>
      </c>
      <c r="G100" s="17" t="s">
        <v>2671</v>
      </c>
      <c r="H100" s="17" t="s">
        <v>6835</v>
      </c>
      <c r="I100" s="17" t="s">
        <v>4237</v>
      </c>
      <c r="J100" s="17" t="s">
        <v>2969</v>
      </c>
      <c r="K100" s="17" t="s">
        <v>2778</v>
      </c>
      <c r="L100" s="17" t="s">
        <v>2970</v>
      </c>
      <c r="M100" s="17" t="s">
        <v>2669</v>
      </c>
      <c r="N100" s="17" t="s">
        <v>3042</v>
      </c>
      <c r="O100" s="17" t="s">
        <v>7635</v>
      </c>
      <c r="P100" s="17" t="s">
        <v>3043</v>
      </c>
      <c r="Q100" s="17"/>
      <c r="R100" s="17"/>
      <c r="S100" s="17"/>
      <c r="T100" s="17"/>
      <c r="U100" s="17"/>
      <c r="V100" s="17"/>
      <c r="W100" s="17"/>
      <c r="X100" s="17"/>
      <c r="Y100" s="17"/>
    </row>
    <row r="101" spans="1:25">
      <c r="A101" s="17" t="s">
        <v>3044</v>
      </c>
      <c r="B101" s="17" t="s">
        <v>3044</v>
      </c>
      <c r="C101" s="17" t="s">
        <v>3045</v>
      </c>
      <c r="D101" s="17" t="s">
        <v>2669</v>
      </c>
      <c r="E101" s="17" t="s">
        <v>2968</v>
      </c>
      <c r="F101" s="17" t="s">
        <v>3044</v>
      </c>
      <c r="G101" s="17" t="s">
        <v>2671</v>
      </c>
      <c r="H101" s="17" t="s">
        <v>4312</v>
      </c>
      <c r="I101" s="17" t="s">
        <v>4237</v>
      </c>
      <c r="J101" s="17" t="s">
        <v>2969</v>
      </c>
      <c r="K101" s="17" t="s">
        <v>2787</v>
      </c>
      <c r="L101" s="17" t="s">
        <v>2970</v>
      </c>
      <c r="M101" s="17" t="s">
        <v>2669</v>
      </c>
      <c r="N101" s="17" t="s">
        <v>3044</v>
      </c>
      <c r="O101" s="17" t="s">
        <v>7635</v>
      </c>
      <c r="P101" s="17" t="s">
        <v>3046</v>
      </c>
      <c r="Q101" s="17"/>
      <c r="R101" s="17"/>
      <c r="S101" s="17"/>
      <c r="T101" s="17"/>
      <c r="U101" s="17"/>
      <c r="V101" s="17"/>
      <c r="W101" s="17"/>
      <c r="X101" s="17"/>
      <c r="Y101" s="17"/>
    </row>
    <row r="102" spans="1:25">
      <c r="A102" s="17" t="s">
        <v>3047</v>
      </c>
      <c r="B102" s="17" t="s">
        <v>3047</v>
      </c>
      <c r="C102" s="17" t="s">
        <v>3045</v>
      </c>
      <c r="D102" s="17" t="s">
        <v>2669</v>
      </c>
      <c r="E102" s="17" t="s">
        <v>2968</v>
      </c>
      <c r="F102" s="17" t="s">
        <v>3047</v>
      </c>
      <c r="G102" s="17" t="s">
        <v>2671</v>
      </c>
      <c r="H102" s="17" t="s">
        <v>6835</v>
      </c>
      <c r="I102" s="17" t="s">
        <v>4237</v>
      </c>
      <c r="J102" s="17" t="s">
        <v>2969</v>
      </c>
      <c r="K102" s="17" t="s">
        <v>2787</v>
      </c>
      <c r="L102" s="17" t="s">
        <v>2970</v>
      </c>
      <c r="M102" s="17" t="s">
        <v>2669</v>
      </c>
      <c r="N102" s="17" t="s">
        <v>3047</v>
      </c>
      <c r="O102" s="17" t="s">
        <v>7635</v>
      </c>
      <c r="P102" s="17" t="s">
        <v>3048</v>
      </c>
      <c r="Q102" s="17"/>
      <c r="R102" s="17"/>
      <c r="S102" s="17"/>
      <c r="T102" s="17"/>
      <c r="U102" s="17"/>
      <c r="V102" s="17"/>
      <c r="W102" s="17"/>
      <c r="X102" s="17"/>
      <c r="Y102" s="17"/>
    </row>
    <row r="103" spans="1:25">
      <c r="A103" s="17" t="s">
        <v>3049</v>
      </c>
      <c r="B103" s="17" t="s">
        <v>3049</v>
      </c>
      <c r="C103" s="17" t="s">
        <v>3050</v>
      </c>
      <c r="D103" s="17" t="s">
        <v>2669</v>
      </c>
      <c r="E103" s="17" t="s">
        <v>2968</v>
      </c>
      <c r="F103" s="17" t="s">
        <v>3049</v>
      </c>
      <c r="G103" s="17" t="s">
        <v>2671</v>
      </c>
      <c r="H103" s="17" t="s">
        <v>4312</v>
      </c>
      <c r="I103" s="17" t="s">
        <v>4237</v>
      </c>
      <c r="J103" s="17" t="s">
        <v>2969</v>
      </c>
      <c r="K103" s="17" t="s">
        <v>2791</v>
      </c>
      <c r="L103" s="17" t="s">
        <v>2970</v>
      </c>
      <c r="M103" s="17" t="s">
        <v>2669</v>
      </c>
      <c r="N103" s="17" t="s">
        <v>3049</v>
      </c>
      <c r="O103" s="17" t="s">
        <v>7635</v>
      </c>
      <c r="P103" s="17" t="s">
        <v>3051</v>
      </c>
      <c r="Q103" s="17"/>
      <c r="R103" s="17"/>
      <c r="S103" s="17"/>
      <c r="T103" s="17"/>
      <c r="U103" s="17"/>
      <c r="V103" s="17"/>
      <c r="W103" s="17"/>
      <c r="X103" s="17"/>
      <c r="Y103" s="17"/>
    </row>
    <row r="104" spans="1:25">
      <c r="A104" s="17" t="s">
        <v>3052</v>
      </c>
      <c r="B104" s="17" t="s">
        <v>3052</v>
      </c>
      <c r="C104" s="17" t="s">
        <v>3050</v>
      </c>
      <c r="D104" s="17" t="s">
        <v>2669</v>
      </c>
      <c r="E104" s="17" t="s">
        <v>2968</v>
      </c>
      <c r="F104" s="17" t="s">
        <v>3052</v>
      </c>
      <c r="G104" s="17" t="s">
        <v>2671</v>
      </c>
      <c r="H104" s="17" t="s">
        <v>6835</v>
      </c>
      <c r="I104" s="17" t="s">
        <v>4237</v>
      </c>
      <c r="J104" s="17" t="s">
        <v>2969</v>
      </c>
      <c r="K104" s="17" t="s">
        <v>2791</v>
      </c>
      <c r="L104" s="17" t="s">
        <v>2970</v>
      </c>
      <c r="M104" s="17" t="s">
        <v>2669</v>
      </c>
      <c r="N104" s="17" t="s">
        <v>3052</v>
      </c>
      <c r="O104" s="17" t="s">
        <v>7635</v>
      </c>
      <c r="P104" s="17" t="s">
        <v>3053</v>
      </c>
      <c r="Q104" s="17"/>
      <c r="R104" s="17"/>
      <c r="S104" s="17"/>
      <c r="T104" s="17"/>
      <c r="U104" s="17"/>
      <c r="V104" s="17"/>
      <c r="W104" s="17"/>
      <c r="X104" s="17"/>
      <c r="Y104" s="17"/>
    </row>
    <row r="105" spans="1:25">
      <c r="A105" s="17" t="s">
        <v>3054</v>
      </c>
      <c r="B105" s="17" t="s">
        <v>3054</v>
      </c>
      <c r="C105" s="17" t="s">
        <v>3055</v>
      </c>
      <c r="D105" s="17" t="s">
        <v>2669</v>
      </c>
      <c r="E105" s="17" t="s">
        <v>2968</v>
      </c>
      <c r="F105" s="17" t="s">
        <v>3054</v>
      </c>
      <c r="G105" s="17" t="s">
        <v>2671</v>
      </c>
      <c r="H105" s="17" t="s">
        <v>4312</v>
      </c>
      <c r="I105" s="17" t="s">
        <v>4237</v>
      </c>
      <c r="J105" s="17" t="s">
        <v>2969</v>
      </c>
      <c r="K105" s="17" t="s">
        <v>2800</v>
      </c>
      <c r="L105" s="17" t="s">
        <v>2970</v>
      </c>
      <c r="M105" s="17" t="s">
        <v>2669</v>
      </c>
      <c r="N105" s="17" t="s">
        <v>3054</v>
      </c>
      <c r="O105" s="17" t="s">
        <v>7635</v>
      </c>
      <c r="P105" s="17" t="s">
        <v>3056</v>
      </c>
      <c r="Q105" s="17"/>
      <c r="R105" s="17"/>
      <c r="S105" s="17"/>
      <c r="T105" s="17"/>
      <c r="U105" s="17"/>
      <c r="V105" s="17"/>
      <c r="W105" s="17"/>
      <c r="X105" s="17"/>
      <c r="Y105" s="17"/>
    </row>
    <row r="106" spans="1:25">
      <c r="A106" s="17" t="s">
        <v>3057</v>
      </c>
      <c r="B106" s="17" t="s">
        <v>3057</v>
      </c>
      <c r="C106" s="17" t="s">
        <v>3055</v>
      </c>
      <c r="D106" s="17" t="s">
        <v>2669</v>
      </c>
      <c r="E106" s="17" t="s">
        <v>2968</v>
      </c>
      <c r="F106" s="17" t="s">
        <v>3057</v>
      </c>
      <c r="G106" s="17" t="s">
        <v>2671</v>
      </c>
      <c r="H106" s="17" t="s">
        <v>6835</v>
      </c>
      <c r="I106" s="17" t="s">
        <v>4237</v>
      </c>
      <c r="J106" s="17" t="s">
        <v>2969</v>
      </c>
      <c r="K106" s="17" t="s">
        <v>2800</v>
      </c>
      <c r="L106" s="17" t="s">
        <v>2970</v>
      </c>
      <c r="M106" s="17" t="s">
        <v>2669</v>
      </c>
      <c r="N106" s="17" t="s">
        <v>3057</v>
      </c>
      <c r="O106" s="17" t="s">
        <v>7635</v>
      </c>
      <c r="P106" s="17" t="s">
        <v>3058</v>
      </c>
      <c r="Q106" s="17"/>
      <c r="R106" s="17"/>
      <c r="S106" s="17"/>
      <c r="T106" s="17"/>
      <c r="U106" s="17"/>
      <c r="V106" s="17"/>
      <c r="W106" s="17"/>
      <c r="X106" s="17"/>
      <c r="Y106" s="17"/>
    </row>
    <row r="107" spans="1:25">
      <c r="A107" s="17" t="s">
        <v>3059</v>
      </c>
      <c r="B107" s="17" t="s">
        <v>3059</v>
      </c>
      <c r="C107" s="17" t="s">
        <v>3060</v>
      </c>
      <c r="D107" s="17" t="s">
        <v>2669</v>
      </c>
      <c r="E107" s="17" t="s">
        <v>2968</v>
      </c>
      <c r="F107" s="17" t="s">
        <v>3059</v>
      </c>
      <c r="G107" s="17" t="s">
        <v>2671</v>
      </c>
      <c r="H107" s="17" t="s">
        <v>4312</v>
      </c>
      <c r="I107" s="17" t="s">
        <v>4237</v>
      </c>
      <c r="J107" s="17" t="s">
        <v>2969</v>
      </c>
      <c r="K107" s="17" t="s">
        <v>2809</v>
      </c>
      <c r="L107" s="17" t="s">
        <v>2970</v>
      </c>
      <c r="M107" s="17" t="s">
        <v>2669</v>
      </c>
      <c r="N107" s="17" t="s">
        <v>3059</v>
      </c>
      <c r="O107" s="17" t="s">
        <v>7635</v>
      </c>
      <c r="P107" s="17" t="s">
        <v>3061</v>
      </c>
      <c r="Q107" s="17"/>
      <c r="R107" s="17"/>
      <c r="S107" s="17"/>
      <c r="T107" s="17"/>
      <c r="U107" s="17"/>
      <c r="V107" s="17"/>
      <c r="W107" s="17"/>
      <c r="X107" s="17"/>
      <c r="Y107" s="17"/>
    </row>
    <row r="108" spans="1:25">
      <c r="A108" s="17" t="s">
        <v>3062</v>
      </c>
      <c r="B108" s="17" t="s">
        <v>3062</v>
      </c>
      <c r="C108" s="17" t="s">
        <v>3060</v>
      </c>
      <c r="D108" s="17" t="s">
        <v>2669</v>
      </c>
      <c r="E108" s="17" t="s">
        <v>2968</v>
      </c>
      <c r="F108" s="17" t="s">
        <v>3062</v>
      </c>
      <c r="G108" s="17" t="s">
        <v>2671</v>
      </c>
      <c r="H108" s="17" t="s">
        <v>6835</v>
      </c>
      <c r="I108" s="17" t="s">
        <v>4237</v>
      </c>
      <c r="J108" s="17" t="s">
        <v>2969</v>
      </c>
      <c r="K108" s="17" t="s">
        <v>2809</v>
      </c>
      <c r="L108" s="17" t="s">
        <v>2970</v>
      </c>
      <c r="M108" s="17" t="s">
        <v>2669</v>
      </c>
      <c r="N108" s="17" t="s">
        <v>3062</v>
      </c>
      <c r="O108" s="17" t="s">
        <v>7635</v>
      </c>
      <c r="P108" s="17" t="s">
        <v>3063</v>
      </c>
      <c r="Q108" s="17"/>
      <c r="R108" s="17"/>
      <c r="S108" s="17"/>
      <c r="T108" s="17"/>
      <c r="U108" s="17"/>
      <c r="V108" s="17"/>
      <c r="W108" s="17"/>
      <c r="X108" s="17"/>
      <c r="Y108" s="17"/>
    </row>
    <row r="109" spans="1:25">
      <c r="A109" s="17" t="s">
        <v>3064</v>
      </c>
      <c r="B109" s="17" t="s">
        <v>3064</v>
      </c>
      <c r="C109" s="17" t="s">
        <v>3065</v>
      </c>
      <c r="D109" s="17" t="s">
        <v>2669</v>
      </c>
      <c r="E109" s="17" t="s">
        <v>2968</v>
      </c>
      <c r="F109" s="17" t="s">
        <v>3064</v>
      </c>
      <c r="G109" s="17" t="s">
        <v>2671</v>
      </c>
      <c r="H109" s="17" t="s">
        <v>4312</v>
      </c>
      <c r="I109" s="17" t="s">
        <v>4237</v>
      </c>
      <c r="J109" s="17" t="s">
        <v>2969</v>
      </c>
      <c r="K109" s="17" t="s">
        <v>2818</v>
      </c>
      <c r="L109" s="17" t="s">
        <v>2970</v>
      </c>
      <c r="M109" s="17" t="s">
        <v>2669</v>
      </c>
      <c r="N109" s="17" t="s">
        <v>3064</v>
      </c>
      <c r="O109" s="17" t="s">
        <v>7635</v>
      </c>
      <c r="P109" s="17" t="s">
        <v>3066</v>
      </c>
      <c r="Q109" s="17"/>
      <c r="R109" s="17"/>
      <c r="S109" s="17"/>
      <c r="T109" s="17"/>
      <c r="U109" s="17"/>
      <c r="V109" s="17"/>
      <c r="W109" s="17"/>
      <c r="X109" s="17"/>
      <c r="Y109" s="17"/>
    </row>
    <row r="110" spans="1:25">
      <c r="A110" s="17" t="s">
        <v>3067</v>
      </c>
      <c r="B110" s="17" t="s">
        <v>3067</v>
      </c>
      <c r="C110" s="17" t="s">
        <v>3065</v>
      </c>
      <c r="D110" s="17" t="s">
        <v>2669</v>
      </c>
      <c r="E110" s="17" t="s">
        <v>2968</v>
      </c>
      <c r="F110" s="17" t="s">
        <v>3067</v>
      </c>
      <c r="G110" s="17" t="s">
        <v>2671</v>
      </c>
      <c r="H110" s="17" t="s">
        <v>6835</v>
      </c>
      <c r="I110" s="17" t="s">
        <v>4237</v>
      </c>
      <c r="J110" s="17" t="s">
        <v>2969</v>
      </c>
      <c r="K110" s="17" t="s">
        <v>2818</v>
      </c>
      <c r="L110" s="17" t="s">
        <v>2970</v>
      </c>
      <c r="M110" s="17" t="s">
        <v>2669</v>
      </c>
      <c r="N110" s="17" t="s">
        <v>3067</v>
      </c>
      <c r="O110" s="17" t="s">
        <v>7635</v>
      </c>
      <c r="P110" s="17" t="s">
        <v>3068</v>
      </c>
      <c r="Q110" s="17"/>
      <c r="R110" s="17"/>
      <c r="S110" s="17"/>
      <c r="T110" s="17"/>
      <c r="U110" s="17"/>
      <c r="V110" s="17"/>
      <c r="W110" s="17"/>
      <c r="X110" s="17"/>
      <c r="Y110" s="17"/>
    </row>
    <row r="111" spans="1:25">
      <c r="A111" s="17" t="s">
        <v>3069</v>
      </c>
      <c r="B111" s="17" t="s">
        <v>3069</v>
      </c>
      <c r="C111" s="17" t="s">
        <v>3070</v>
      </c>
      <c r="D111" s="17" t="s">
        <v>2669</v>
      </c>
      <c r="E111" s="17" t="s">
        <v>2968</v>
      </c>
      <c r="F111" s="17" t="s">
        <v>3069</v>
      </c>
      <c r="G111" s="17" t="s">
        <v>2671</v>
      </c>
      <c r="H111" s="17" t="s">
        <v>4312</v>
      </c>
      <c r="I111" s="17" t="s">
        <v>4237</v>
      </c>
      <c r="J111" s="17" t="s">
        <v>2969</v>
      </c>
      <c r="K111" s="17" t="s">
        <v>2827</v>
      </c>
      <c r="L111" s="17" t="s">
        <v>2970</v>
      </c>
      <c r="M111" s="17" t="s">
        <v>2669</v>
      </c>
      <c r="N111" s="17" t="s">
        <v>3069</v>
      </c>
      <c r="O111" s="17" t="s">
        <v>7635</v>
      </c>
      <c r="P111" s="17" t="s">
        <v>3071</v>
      </c>
      <c r="Q111" s="17"/>
      <c r="R111" s="17"/>
      <c r="S111" s="17"/>
      <c r="T111" s="17"/>
      <c r="U111" s="17"/>
      <c r="V111" s="17"/>
      <c r="W111" s="17"/>
      <c r="X111" s="17"/>
      <c r="Y111" s="17"/>
    </row>
    <row r="112" spans="1:25">
      <c r="A112" s="17" t="s">
        <v>3072</v>
      </c>
      <c r="B112" s="17" t="s">
        <v>3072</v>
      </c>
      <c r="C112" s="17" t="s">
        <v>3070</v>
      </c>
      <c r="D112" s="17" t="s">
        <v>2669</v>
      </c>
      <c r="E112" s="17" t="s">
        <v>2968</v>
      </c>
      <c r="F112" s="17" t="s">
        <v>3072</v>
      </c>
      <c r="G112" s="17" t="s">
        <v>2671</v>
      </c>
      <c r="H112" s="17" t="s">
        <v>6835</v>
      </c>
      <c r="I112" s="17" t="s">
        <v>4237</v>
      </c>
      <c r="J112" s="17" t="s">
        <v>2969</v>
      </c>
      <c r="K112" s="17" t="s">
        <v>2827</v>
      </c>
      <c r="L112" s="17" t="s">
        <v>2970</v>
      </c>
      <c r="M112" s="17" t="s">
        <v>2669</v>
      </c>
      <c r="N112" s="17" t="s">
        <v>3072</v>
      </c>
      <c r="O112" s="17" t="s">
        <v>7635</v>
      </c>
      <c r="P112" s="17" t="s">
        <v>3073</v>
      </c>
      <c r="Q112" s="17"/>
      <c r="R112" s="17"/>
      <c r="S112" s="17"/>
      <c r="T112" s="17"/>
      <c r="U112" s="17"/>
      <c r="V112" s="17"/>
      <c r="W112" s="17"/>
      <c r="X112" s="17"/>
      <c r="Y112" s="17"/>
    </row>
    <row r="113" spans="1:25">
      <c r="A113" s="17" t="s">
        <v>3074</v>
      </c>
      <c r="B113" s="17" t="s">
        <v>3074</v>
      </c>
      <c r="C113" s="17" t="s">
        <v>3075</v>
      </c>
      <c r="D113" s="17" t="s">
        <v>2669</v>
      </c>
      <c r="E113" s="17" t="s">
        <v>2968</v>
      </c>
      <c r="F113" s="17" t="s">
        <v>3074</v>
      </c>
      <c r="G113" s="17" t="s">
        <v>2671</v>
      </c>
      <c r="H113" s="17" t="s">
        <v>4312</v>
      </c>
      <c r="I113" s="17" t="s">
        <v>4237</v>
      </c>
      <c r="J113" s="17" t="s">
        <v>2969</v>
      </c>
      <c r="K113" s="17" t="s">
        <v>2836</v>
      </c>
      <c r="L113" s="17" t="s">
        <v>2970</v>
      </c>
      <c r="M113" s="17" t="s">
        <v>2669</v>
      </c>
      <c r="N113" s="17" t="s">
        <v>3074</v>
      </c>
      <c r="O113" s="17" t="s">
        <v>7635</v>
      </c>
      <c r="P113" s="17" t="s">
        <v>3076</v>
      </c>
      <c r="Q113" s="17"/>
      <c r="R113" s="17"/>
      <c r="S113" s="17"/>
      <c r="T113" s="17"/>
      <c r="U113" s="17"/>
      <c r="V113" s="17"/>
      <c r="W113" s="17"/>
      <c r="X113" s="17"/>
      <c r="Y113" s="17"/>
    </row>
    <row r="114" spans="1:25">
      <c r="A114" s="17" t="s">
        <v>3077</v>
      </c>
      <c r="B114" s="17" t="s">
        <v>3077</v>
      </c>
      <c r="C114" s="17" t="s">
        <v>3075</v>
      </c>
      <c r="D114" s="17" t="s">
        <v>2669</v>
      </c>
      <c r="E114" s="17" t="s">
        <v>2968</v>
      </c>
      <c r="F114" s="17" t="s">
        <v>3077</v>
      </c>
      <c r="G114" s="17" t="s">
        <v>2671</v>
      </c>
      <c r="H114" s="17" t="s">
        <v>6835</v>
      </c>
      <c r="I114" s="17" t="s">
        <v>4237</v>
      </c>
      <c r="J114" s="17" t="s">
        <v>2969</v>
      </c>
      <c r="K114" s="17" t="s">
        <v>2836</v>
      </c>
      <c r="L114" s="17" t="s">
        <v>2970</v>
      </c>
      <c r="M114" s="17" t="s">
        <v>2669</v>
      </c>
      <c r="N114" s="17" t="s">
        <v>3077</v>
      </c>
      <c r="O114" s="17" t="s">
        <v>7635</v>
      </c>
      <c r="P114" s="17" t="s">
        <v>3078</v>
      </c>
      <c r="Q114" s="17"/>
      <c r="R114" s="17"/>
      <c r="S114" s="17"/>
      <c r="T114" s="17"/>
      <c r="U114" s="17"/>
      <c r="V114" s="17"/>
      <c r="W114" s="17"/>
      <c r="X114" s="17"/>
      <c r="Y114" s="17"/>
    </row>
    <row r="115" spans="1:25">
      <c r="A115" s="17" t="s">
        <v>3079</v>
      </c>
      <c r="B115" s="17" t="s">
        <v>3079</v>
      </c>
      <c r="C115" s="17" t="s">
        <v>3080</v>
      </c>
      <c r="D115" s="17" t="s">
        <v>2669</v>
      </c>
      <c r="E115" s="17" t="s">
        <v>2968</v>
      </c>
      <c r="F115" s="17" t="s">
        <v>3079</v>
      </c>
      <c r="G115" s="17" t="s">
        <v>2671</v>
      </c>
      <c r="H115" s="17" t="s">
        <v>4312</v>
      </c>
      <c r="I115" s="17" t="s">
        <v>4237</v>
      </c>
      <c r="J115" s="17" t="s">
        <v>2969</v>
      </c>
      <c r="K115" s="17" t="s">
        <v>2845</v>
      </c>
      <c r="L115" s="17" t="s">
        <v>2970</v>
      </c>
      <c r="M115" s="17" t="s">
        <v>2669</v>
      </c>
      <c r="N115" s="17" t="s">
        <v>3079</v>
      </c>
      <c r="O115" s="17" t="s">
        <v>7635</v>
      </c>
      <c r="P115" s="17" t="s">
        <v>3081</v>
      </c>
      <c r="Q115" s="17"/>
      <c r="R115" s="17"/>
      <c r="S115" s="17"/>
      <c r="T115" s="17"/>
      <c r="U115" s="17"/>
      <c r="V115" s="17"/>
      <c r="W115" s="17"/>
      <c r="X115" s="17"/>
      <c r="Y115" s="17"/>
    </row>
    <row r="116" spans="1:25">
      <c r="A116" s="17" t="s">
        <v>3082</v>
      </c>
      <c r="B116" s="17" t="s">
        <v>3082</v>
      </c>
      <c r="C116" s="17" t="s">
        <v>3080</v>
      </c>
      <c r="D116" s="17" t="s">
        <v>2669</v>
      </c>
      <c r="E116" s="17" t="s">
        <v>2968</v>
      </c>
      <c r="F116" s="17" t="s">
        <v>3082</v>
      </c>
      <c r="G116" s="17" t="s">
        <v>2671</v>
      </c>
      <c r="H116" s="17" t="s">
        <v>6835</v>
      </c>
      <c r="I116" s="17" t="s">
        <v>4237</v>
      </c>
      <c r="J116" s="17" t="s">
        <v>2969</v>
      </c>
      <c r="K116" s="17" t="s">
        <v>2845</v>
      </c>
      <c r="L116" s="17" t="s">
        <v>2970</v>
      </c>
      <c r="M116" s="17" t="s">
        <v>2669</v>
      </c>
      <c r="N116" s="17" t="s">
        <v>3082</v>
      </c>
      <c r="O116" s="17" t="s">
        <v>7635</v>
      </c>
      <c r="P116" s="17" t="s">
        <v>3083</v>
      </c>
      <c r="Q116" s="17"/>
      <c r="R116" s="17"/>
      <c r="S116" s="17"/>
      <c r="T116" s="17"/>
      <c r="U116" s="17"/>
      <c r="V116" s="17"/>
      <c r="W116" s="17"/>
      <c r="X116" s="17"/>
      <c r="Y116" s="17"/>
    </row>
    <row r="117" spans="1:25">
      <c r="A117" s="17" t="s">
        <v>3084</v>
      </c>
      <c r="B117" s="17" t="s">
        <v>3084</v>
      </c>
      <c r="C117" s="17" t="s">
        <v>3085</v>
      </c>
      <c r="D117" s="17" t="s">
        <v>2669</v>
      </c>
      <c r="E117" s="17" t="s">
        <v>2968</v>
      </c>
      <c r="F117" s="17" t="s">
        <v>3084</v>
      </c>
      <c r="G117" s="17" t="s">
        <v>2671</v>
      </c>
      <c r="H117" s="17" t="s">
        <v>4312</v>
      </c>
      <c r="I117" s="17" t="s">
        <v>4237</v>
      </c>
      <c r="J117" s="17" t="s">
        <v>2969</v>
      </c>
      <c r="K117" s="17" t="s">
        <v>2854</v>
      </c>
      <c r="L117" s="17" t="s">
        <v>2970</v>
      </c>
      <c r="M117" s="17" t="s">
        <v>2669</v>
      </c>
      <c r="N117" s="17" t="s">
        <v>3084</v>
      </c>
      <c r="O117" s="17" t="s">
        <v>7635</v>
      </c>
      <c r="P117" s="17" t="s">
        <v>3086</v>
      </c>
      <c r="Q117" s="17"/>
      <c r="R117" s="17"/>
      <c r="S117" s="17"/>
      <c r="T117" s="17"/>
      <c r="U117" s="17"/>
      <c r="V117" s="17"/>
      <c r="W117" s="17"/>
      <c r="X117" s="17"/>
      <c r="Y117" s="17"/>
    </row>
    <row r="118" spans="1:25">
      <c r="A118" s="17" t="s">
        <v>3087</v>
      </c>
      <c r="B118" s="17" t="s">
        <v>3087</v>
      </c>
      <c r="C118" s="17" t="s">
        <v>3085</v>
      </c>
      <c r="D118" s="17" t="s">
        <v>2669</v>
      </c>
      <c r="E118" s="17" t="s">
        <v>2968</v>
      </c>
      <c r="F118" s="17" t="s">
        <v>3087</v>
      </c>
      <c r="G118" s="17" t="s">
        <v>2671</v>
      </c>
      <c r="H118" s="17" t="s">
        <v>6835</v>
      </c>
      <c r="I118" s="17" t="s">
        <v>4237</v>
      </c>
      <c r="J118" s="17" t="s">
        <v>2969</v>
      </c>
      <c r="K118" s="17" t="s">
        <v>2854</v>
      </c>
      <c r="L118" s="17" t="s">
        <v>2970</v>
      </c>
      <c r="M118" s="17" t="s">
        <v>2669</v>
      </c>
      <c r="N118" s="17" t="s">
        <v>3087</v>
      </c>
      <c r="O118" s="17" t="s">
        <v>7635</v>
      </c>
      <c r="P118" s="17" t="s">
        <v>3088</v>
      </c>
      <c r="Q118" s="17"/>
      <c r="R118" s="17"/>
      <c r="S118" s="17"/>
      <c r="T118" s="17"/>
      <c r="U118" s="17"/>
      <c r="V118" s="17"/>
      <c r="W118" s="17"/>
      <c r="X118" s="17"/>
      <c r="Y118" s="17"/>
    </row>
    <row r="119" spans="1:25">
      <c r="A119" s="17" t="s">
        <v>3089</v>
      </c>
      <c r="B119" s="17" t="s">
        <v>3089</v>
      </c>
      <c r="C119" s="17" t="s">
        <v>3090</v>
      </c>
      <c r="D119" s="17" t="s">
        <v>2669</v>
      </c>
      <c r="E119" s="17" t="s">
        <v>2968</v>
      </c>
      <c r="F119" s="17" t="s">
        <v>3089</v>
      </c>
      <c r="G119" s="17" t="s">
        <v>2671</v>
      </c>
      <c r="H119" s="17" t="s">
        <v>4312</v>
      </c>
      <c r="I119" s="17" t="s">
        <v>4237</v>
      </c>
      <c r="J119" s="17" t="s">
        <v>2969</v>
      </c>
      <c r="K119" s="17" t="s">
        <v>2864</v>
      </c>
      <c r="L119" s="17" t="s">
        <v>2970</v>
      </c>
      <c r="M119" s="17" t="s">
        <v>2669</v>
      </c>
      <c r="N119" s="17" t="s">
        <v>3089</v>
      </c>
      <c r="O119" s="17" t="s">
        <v>7635</v>
      </c>
      <c r="P119" s="17" t="s">
        <v>3091</v>
      </c>
      <c r="Q119" s="17"/>
      <c r="R119" s="17"/>
      <c r="S119" s="17"/>
      <c r="T119" s="17"/>
      <c r="U119" s="17"/>
      <c r="V119" s="17"/>
      <c r="W119" s="17"/>
      <c r="X119" s="17"/>
      <c r="Y119" s="17"/>
    </row>
    <row r="120" spans="1:25">
      <c r="A120" s="17" t="s">
        <v>3092</v>
      </c>
      <c r="B120" s="17" t="s">
        <v>3092</v>
      </c>
      <c r="C120" s="17" t="s">
        <v>3090</v>
      </c>
      <c r="D120" s="17" t="s">
        <v>2669</v>
      </c>
      <c r="E120" s="17" t="s">
        <v>2968</v>
      </c>
      <c r="F120" s="17" t="s">
        <v>3092</v>
      </c>
      <c r="G120" s="17" t="s">
        <v>2671</v>
      </c>
      <c r="H120" s="17" t="s">
        <v>6835</v>
      </c>
      <c r="I120" s="17" t="s">
        <v>4237</v>
      </c>
      <c r="J120" s="17" t="s">
        <v>2969</v>
      </c>
      <c r="K120" s="17" t="s">
        <v>2864</v>
      </c>
      <c r="L120" s="17" t="s">
        <v>2970</v>
      </c>
      <c r="M120" s="17" t="s">
        <v>2669</v>
      </c>
      <c r="N120" s="17" t="s">
        <v>3092</v>
      </c>
      <c r="O120" s="17" t="s">
        <v>7635</v>
      </c>
      <c r="P120" s="17" t="s">
        <v>3093</v>
      </c>
      <c r="Q120" s="17"/>
      <c r="R120" s="17"/>
      <c r="S120" s="17"/>
      <c r="T120" s="17"/>
      <c r="U120" s="17"/>
      <c r="V120" s="17"/>
      <c r="W120" s="17"/>
      <c r="X120" s="17"/>
      <c r="Y120" s="17"/>
    </row>
    <row r="121" spans="1:25">
      <c r="A121" s="17" t="s">
        <v>3094</v>
      </c>
      <c r="B121" s="17" t="s">
        <v>3094</v>
      </c>
      <c r="C121" s="17" t="s">
        <v>3095</v>
      </c>
      <c r="D121" s="17" t="s">
        <v>2669</v>
      </c>
      <c r="E121" s="17" t="s">
        <v>2968</v>
      </c>
      <c r="F121" s="17" t="s">
        <v>3094</v>
      </c>
      <c r="G121" s="17" t="s">
        <v>2671</v>
      </c>
      <c r="H121" s="17" t="s">
        <v>4312</v>
      </c>
      <c r="I121" s="17" t="s">
        <v>4237</v>
      </c>
      <c r="J121" s="17" t="s">
        <v>2969</v>
      </c>
      <c r="K121" s="17" t="s">
        <v>2873</v>
      </c>
      <c r="L121" s="17" t="s">
        <v>2970</v>
      </c>
      <c r="M121" s="17" t="s">
        <v>2669</v>
      </c>
      <c r="N121" s="17" t="s">
        <v>3094</v>
      </c>
      <c r="O121" s="17" t="s">
        <v>7635</v>
      </c>
      <c r="P121" s="17" t="s">
        <v>3096</v>
      </c>
      <c r="Q121" s="17"/>
      <c r="R121" s="17"/>
      <c r="S121" s="17"/>
      <c r="T121" s="17"/>
      <c r="U121" s="17"/>
      <c r="V121" s="17"/>
      <c r="W121" s="17"/>
      <c r="X121" s="17"/>
      <c r="Y121" s="17"/>
    </row>
    <row r="122" spans="1:25">
      <c r="A122" s="17" t="s">
        <v>3097</v>
      </c>
      <c r="B122" s="17" t="s">
        <v>3097</v>
      </c>
      <c r="C122" s="17" t="s">
        <v>3095</v>
      </c>
      <c r="D122" s="17" t="s">
        <v>2669</v>
      </c>
      <c r="E122" s="17" t="s">
        <v>2968</v>
      </c>
      <c r="F122" s="17" t="s">
        <v>3097</v>
      </c>
      <c r="G122" s="17" t="s">
        <v>2671</v>
      </c>
      <c r="H122" s="17" t="s">
        <v>6835</v>
      </c>
      <c r="I122" s="17" t="s">
        <v>4237</v>
      </c>
      <c r="J122" s="17" t="s">
        <v>2969</v>
      </c>
      <c r="K122" s="17" t="s">
        <v>2873</v>
      </c>
      <c r="L122" s="17" t="s">
        <v>2970</v>
      </c>
      <c r="M122" s="17" t="s">
        <v>2669</v>
      </c>
      <c r="N122" s="17" t="s">
        <v>3097</v>
      </c>
      <c r="O122" s="17" t="s">
        <v>7635</v>
      </c>
      <c r="P122" s="17" t="s">
        <v>3098</v>
      </c>
      <c r="Q122" s="17"/>
      <c r="R122" s="17"/>
      <c r="S122" s="17"/>
      <c r="T122" s="17"/>
      <c r="U122" s="17"/>
      <c r="V122" s="17"/>
      <c r="W122" s="17"/>
      <c r="X122" s="17"/>
      <c r="Y122" s="17"/>
    </row>
    <row r="123" spans="1:25">
      <c r="A123" s="17" t="s">
        <v>3099</v>
      </c>
      <c r="B123" s="17" t="s">
        <v>3099</v>
      </c>
      <c r="C123" s="17" t="s">
        <v>3100</v>
      </c>
      <c r="D123" s="17" t="s">
        <v>2669</v>
      </c>
      <c r="E123" s="17" t="s">
        <v>2968</v>
      </c>
      <c r="F123" s="17" t="s">
        <v>3099</v>
      </c>
      <c r="G123" s="17" t="s">
        <v>2671</v>
      </c>
      <c r="H123" s="17" t="s">
        <v>4312</v>
      </c>
      <c r="I123" s="17" t="s">
        <v>4237</v>
      </c>
      <c r="J123" s="17" t="s">
        <v>2969</v>
      </c>
      <c r="K123" s="17" t="s">
        <v>2882</v>
      </c>
      <c r="L123" s="17" t="s">
        <v>2970</v>
      </c>
      <c r="M123" s="17" t="s">
        <v>2669</v>
      </c>
      <c r="N123" s="17" t="s">
        <v>3099</v>
      </c>
      <c r="O123" s="17" t="s">
        <v>7635</v>
      </c>
      <c r="P123" s="17" t="s">
        <v>3101</v>
      </c>
      <c r="Q123" s="17"/>
      <c r="R123" s="17"/>
      <c r="S123" s="17"/>
      <c r="T123" s="17"/>
      <c r="U123" s="17"/>
      <c r="V123" s="17"/>
      <c r="W123" s="17"/>
      <c r="X123" s="17"/>
      <c r="Y123" s="17"/>
    </row>
    <row r="124" spans="1:25">
      <c r="A124" s="17" t="s">
        <v>3102</v>
      </c>
      <c r="B124" s="17" t="s">
        <v>3102</v>
      </c>
      <c r="C124" s="17" t="s">
        <v>3100</v>
      </c>
      <c r="D124" s="17" t="s">
        <v>2669</v>
      </c>
      <c r="E124" s="17" t="s">
        <v>2968</v>
      </c>
      <c r="F124" s="17" t="s">
        <v>3102</v>
      </c>
      <c r="G124" s="17" t="s">
        <v>2671</v>
      </c>
      <c r="H124" s="17" t="s">
        <v>6835</v>
      </c>
      <c r="I124" s="17" t="s">
        <v>4237</v>
      </c>
      <c r="J124" s="17" t="s">
        <v>2969</v>
      </c>
      <c r="K124" s="17" t="s">
        <v>2882</v>
      </c>
      <c r="L124" s="17" t="s">
        <v>2970</v>
      </c>
      <c r="M124" s="17" t="s">
        <v>2669</v>
      </c>
      <c r="N124" s="17" t="s">
        <v>3102</v>
      </c>
      <c r="O124" s="17" t="s">
        <v>7635</v>
      </c>
      <c r="P124" s="17" t="s">
        <v>3103</v>
      </c>
      <c r="Q124" s="17"/>
      <c r="R124" s="17"/>
      <c r="S124" s="17"/>
      <c r="T124" s="17"/>
      <c r="U124" s="17"/>
      <c r="V124" s="17"/>
      <c r="W124" s="17"/>
      <c r="X124" s="17"/>
      <c r="Y124" s="17"/>
    </row>
    <row r="125" spans="1:25">
      <c r="A125" s="17" t="s">
        <v>3104</v>
      </c>
      <c r="B125" s="17" t="s">
        <v>3104</v>
      </c>
      <c r="C125" s="17" t="s">
        <v>3105</v>
      </c>
      <c r="D125" s="17" t="s">
        <v>2669</v>
      </c>
      <c r="E125" s="17" t="s">
        <v>2968</v>
      </c>
      <c r="F125" s="17" t="s">
        <v>3104</v>
      </c>
      <c r="G125" s="17" t="s">
        <v>2671</v>
      </c>
      <c r="H125" s="17" t="s">
        <v>4312</v>
      </c>
      <c r="I125" s="17" t="s">
        <v>4237</v>
      </c>
      <c r="J125" s="17" t="s">
        <v>2969</v>
      </c>
      <c r="K125" s="17" t="s">
        <v>2889</v>
      </c>
      <c r="L125" s="17" t="s">
        <v>2970</v>
      </c>
      <c r="M125" s="17" t="s">
        <v>2669</v>
      </c>
      <c r="N125" s="17" t="s">
        <v>3104</v>
      </c>
      <c r="O125" s="17" t="s">
        <v>7635</v>
      </c>
      <c r="P125" s="17" t="s">
        <v>3106</v>
      </c>
      <c r="Q125" s="17"/>
      <c r="R125" s="17"/>
      <c r="S125" s="17"/>
      <c r="T125" s="17"/>
      <c r="U125" s="17"/>
      <c r="V125" s="17"/>
      <c r="W125" s="17"/>
      <c r="X125" s="17"/>
      <c r="Y125" s="17"/>
    </row>
    <row r="126" spans="1:25">
      <c r="A126" s="17" t="s">
        <v>3107</v>
      </c>
      <c r="B126" s="17" t="s">
        <v>3107</v>
      </c>
      <c r="C126" s="17" t="s">
        <v>3105</v>
      </c>
      <c r="D126" s="17" t="s">
        <v>2669</v>
      </c>
      <c r="E126" s="17" t="s">
        <v>2968</v>
      </c>
      <c r="F126" s="17" t="s">
        <v>3107</v>
      </c>
      <c r="G126" s="17" t="s">
        <v>2671</v>
      </c>
      <c r="H126" s="17" t="s">
        <v>6835</v>
      </c>
      <c r="I126" s="17" t="s">
        <v>4237</v>
      </c>
      <c r="J126" s="17" t="s">
        <v>2969</v>
      </c>
      <c r="K126" s="17" t="s">
        <v>2889</v>
      </c>
      <c r="L126" s="17" t="s">
        <v>2970</v>
      </c>
      <c r="M126" s="17" t="s">
        <v>2669</v>
      </c>
      <c r="N126" s="17" t="s">
        <v>3107</v>
      </c>
      <c r="O126" s="17" t="s">
        <v>7635</v>
      </c>
      <c r="P126" s="17" t="s">
        <v>3108</v>
      </c>
      <c r="Q126" s="17"/>
      <c r="R126" s="17"/>
      <c r="S126" s="17"/>
      <c r="T126" s="17"/>
      <c r="U126" s="17"/>
      <c r="V126" s="17"/>
      <c r="W126" s="17"/>
      <c r="X126" s="17"/>
      <c r="Y126" s="17"/>
    </row>
    <row r="127" spans="1:25">
      <c r="A127" s="17" t="s">
        <v>3109</v>
      </c>
      <c r="B127" s="17" t="s">
        <v>3109</v>
      </c>
      <c r="C127" s="17" t="s">
        <v>3110</v>
      </c>
      <c r="D127" s="17" t="s">
        <v>2669</v>
      </c>
      <c r="E127" s="17" t="s">
        <v>2968</v>
      </c>
      <c r="F127" s="17" t="s">
        <v>3109</v>
      </c>
      <c r="G127" s="17" t="s">
        <v>2671</v>
      </c>
      <c r="H127" s="17" t="s">
        <v>4312</v>
      </c>
      <c r="I127" s="17" t="s">
        <v>4237</v>
      </c>
      <c r="J127" s="17" t="s">
        <v>2969</v>
      </c>
      <c r="K127" s="17" t="s">
        <v>2893</v>
      </c>
      <c r="L127" s="17" t="s">
        <v>2970</v>
      </c>
      <c r="M127" s="17" t="s">
        <v>2669</v>
      </c>
      <c r="N127" s="17" t="s">
        <v>3109</v>
      </c>
      <c r="O127" s="17" t="s">
        <v>7635</v>
      </c>
      <c r="P127" s="17" t="s">
        <v>3111</v>
      </c>
      <c r="Q127" s="17"/>
      <c r="R127" s="17"/>
      <c r="S127" s="17"/>
      <c r="T127" s="17"/>
      <c r="U127" s="17"/>
      <c r="V127" s="17"/>
      <c r="W127" s="17"/>
      <c r="X127" s="17"/>
      <c r="Y127" s="17"/>
    </row>
    <row r="128" spans="1:25">
      <c r="A128" s="17" t="s">
        <v>3112</v>
      </c>
      <c r="B128" s="17" t="s">
        <v>3112</v>
      </c>
      <c r="C128" s="17" t="s">
        <v>3110</v>
      </c>
      <c r="D128" s="17" t="s">
        <v>2669</v>
      </c>
      <c r="E128" s="17" t="s">
        <v>2968</v>
      </c>
      <c r="F128" s="17" t="s">
        <v>3112</v>
      </c>
      <c r="G128" s="17" t="s">
        <v>2671</v>
      </c>
      <c r="H128" s="17" t="s">
        <v>6835</v>
      </c>
      <c r="I128" s="17" t="s">
        <v>4237</v>
      </c>
      <c r="J128" s="17" t="s">
        <v>2969</v>
      </c>
      <c r="K128" s="17" t="s">
        <v>2893</v>
      </c>
      <c r="L128" s="17" t="s">
        <v>2970</v>
      </c>
      <c r="M128" s="17" t="s">
        <v>2669</v>
      </c>
      <c r="N128" s="17" t="s">
        <v>3112</v>
      </c>
      <c r="O128" s="17" t="s">
        <v>7635</v>
      </c>
      <c r="P128" s="17" t="s">
        <v>3113</v>
      </c>
      <c r="Q128" s="17"/>
      <c r="R128" s="17"/>
      <c r="S128" s="17"/>
      <c r="T128" s="17"/>
      <c r="U128" s="17"/>
      <c r="V128" s="17"/>
      <c r="W128" s="17"/>
      <c r="X128" s="17"/>
      <c r="Y128" s="17"/>
    </row>
    <row r="129" spans="1:25">
      <c r="A129" s="17" t="s">
        <v>3114</v>
      </c>
      <c r="B129" s="17" t="s">
        <v>3114</v>
      </c>
      <c r="C129" s="17" t="s">
        <v>3115</v>
      </c>
      <c r="D129" s="17" t="s">
        <v>2669</v>
      </c>
      <c r="E129" s="17" t="s">
        <v>2968</v>
      </c>
      <c r="F129" s="17" t="s">
        <v>3114</v>
      </c>
      <c r="G129" s="17" t="s">
        <v>2671</v>
      </c>
      <c r="H129" s="17" t="s">
        <v>4312</v>
      </c>
      <c r="I129" s="17" t="s">
        <v>4237</v>
      </c>
      <c r="J129" s="17" t="s">
        <v>2969</v>
      </c>
      <c r="K129" s="17" t="s">
        <v>2902</v>
      </c>
      <c r="L129" s="17" t="s">
        <v>2970</v>
      </c>
      <c r="M129" s="17" t="s">
        <v>2669</v>
      </c>
      <c r="N129" s="17" t="s">
        <v>3114</v>
      </c>
      <c r="O129" s="17" t="s">
        <v>7635</v>
      </c>
      <c r="P129" s="17" t="s">
        <v>3116</v>
      </c>
      <c r="Q129" s="17"/>
      <c r="R129" s="17"/>
      <c r="S129" s="17"/>
      <c r="T129" s="17"/>
      <c r="U129" s="17"/>
      <c r="V129" s="17"/>
      <c r="W129" s="17"/>
      <c r="X129" s="17"/>
      <c r="Y129" s="17"/>
    </row>
    <row r="130" spans="1:25">
      <c r="A130" s="17" t="s">
        <v>3117</v>
      </c>
      <c r="B130" s="17" t="s">
        <v>3117</v>
      </c>
      <c r="C130" s="17" t="s">
        <v>3115</v>
      </c>
      <c r="D130" s="17" t="s">
        <v>2669</v>
      </c>
      <c r="E130" s="17" t="s">
        <v>2968</v>
      </c>
      <c r="F130" s="17" t="s">
        <v>3117</v>
      </c>
      <c r="G130" s="17" t="s">
        <v>2671</v>
      </c>
      <c r="H130" s="17" t="s">
        <v>6835</v>
      </c>
      <c r="I130" s="17" t="s">
        <v>4237</v>
      </c>
      <c r="J130" s="17" t="s">
        <v>2969</v>
      </c>
      <c r="K130" s="17" t="s">
        <v>2902</v>
      </c>
      <c r="L130" s="17" t="s">
        <v>2970</v>
      </c>
      <c r="M130" s="17" t="s">
        <v>2669</v>
      </c>
      <c r="N130" s="17" t="s">
        <v>3117</v>
      </c>
      <c r="O130" s="17" t="s">
        <v>7635</v>
      </c>
      <c r="P130" s="17" t="s">
        <v>3118</v>
      </c>
      <c r="Q130" s="17"/>
      <c r="R130" s="17"/>
      <c r="S130" s="17"/>
      <c r="T130" s="17"/>
      <c r="U130" s="17"/>
      <c r="V130" s="17"/>
      <c r="W130" s="17"/>
      <c r="X130" s="17"/>
      <c r="Y130" s="17"/>
    </row>
    <row r="131" spans="1:25">
      <c r="A131" s="17" t="s">
        <v>3119</v>
      </c>
      <c r="B131" s="17" t="s">
        <v>3119</v>
      </c>
      <c r="C131" s="17" t="s">
        <v>3120</v>
      </c>
      <c r="D131" s="17" t="s">
        <v>2669</v>
      </c>
      <c r="E131" s="17" t="s">
        <v>2968</v>
      </c>
      <c r="F131" s="17" t="s">
        <v>3119</v>
      </c>
      <c r="G131" s="17" t="s">
        <v>2671</v>
      </c>
      <c r="H131" s="17" t="s">
        <v>4312</v>
      </c>
      <c r="I131" s="17" t="s">
        <v>4237</v>
      </c>
      <c r="J131" s="17" t="s">
        <v>2969</v>
      </c>
      <c r="K131" s="17" t="s">
        <v>2909</v>
      </c>
      <c r="L131" s="17" t="s">
        <v>2970</v>
      </c>
      <c r="M131" s="17" t="s">
        <v>2669</v>
      </c>
      <c r="N131" s="17" t="s">
        <v>3119</v>
      </c>
      <c r="O131" s="17" t="s">
        <v>7635</v>
      </c>
      <c r="P131" s="17" t="s">
        <v>3121</v>
      </c>
      <c r="Q131" s="17"/>
      <c r="R131" s="17"/>
      <c r="S131" s="17"/>
      <c r="T131" s="17"/>
      <c r="U131" s="17"/>
      <c r="V131" s="17"/>
      <c r="W131" s="17"/>
      <c r="X131" s="17"/>
      <c r="Y131" s="17"/>
    </row>
    <row r="132" spans="1:25">
      <c r="A132" s="17" t="s">
        <v>3122</v>
      </c>
      <c r="B132" s="17" t="s">
        <v>3122</v>
      </c>
      <c r="C132" s="17" t="s">
        <v>3120</v>
      </c>
      <c r="D132" s="17" t="s">
        <v>2669</v>
      </c>
      <c r="E132" s="17" t="s">
        <v>2968</v>
      </c>
      <c r="F132" s="17" t="s">
        <v>3122</v>
      </c>
      <c r="G132" s="17" t="s">
        <v>2671</v>
      </c>
      <c r="H132" s="17" t="s">
        <v>6835</v>
      </c>
      <c r="I132" s="17" t="s">
        <v>4237</v>
      </c>
      <c r="J132" s="17" t="s">
        <v>2969</v>
      </c>
      <c r="K132" s="17" t="s">
        <v>2909</v>
      </c>
      <c r="L132" s="17" t="s">
        <v>2970</v>
      </c>
      <c r="M132" s="17" t="s">
        <v>2669</v>
      </c>
      <c r="N132" s="17" t="s">
        <v>3122</v>
      </c>
      <c r="O132" s="17" t="s">
        <v>7635</v>
      </c>
      <c r="P132" s="17" t="s">
        <v>3123</v>
      </c>
      <c r="Q132" s="17"/>
      <c r="R132" s="17"/>
      <c r="S132" s="17"/>
      <c r="T132" s="17"/>
      <c r="U132" s="17"/>
      <c r="V132" s="17"/>
      <c r="W132" s="17"/>
      <c r="X132" s="17"/>
      <c r="Y132" s="17"/>
    </row>
    <row r="133" spans="1:25">
      <c r="A133" s="17" t="s">
        <v>3124</v>
      </c>
      <c r="B133" s="17" t="s">
        <v>3124</v>
      </c>
      <c r="C133" s="17" t="s">
        <v>3125</v>
      </c>
      <c r="D133" s="17" t="s">
        <v>2669</v>
      </c>
      <c r="E133" s="17" t="s">
        <v>2968</v>
      </c>
      <c r="F133" s="17" t="s">
        <v>3124</v>
      </c>
      <c r="G133" s="17" t="s">
        <v>2671</v>
      </c>
      <c r="H133" s="17" t="s">
        <v>4312</v>
      </c>
      <c r="I133" s="17" t="s">
        <v>4237</v>
      </c>
      <c r="J133" s="17" t="s">
        <v>2969</v>
      </c>
      <c r="K133" s="17" t="s">
        <v>2916</v>
      </c>
      <c r="L133" s="17" t="s">
        <v>2970</v>
      </c>
      <c r="M133" s="17" t="s">
        <v>2669</v>
      </c>
      <c r="N133" s="17" t="s">
        <v>3124</v>
      </c>
      <c r="O133" s="17" t="s">
        <v>7635</v>
      </c>
      <c r="P133" s="17" t="s">
        <v>3126</v>
      </c>
      <c r="Q133" s="17"/>
      <c r="R133" s="17"/>
      <c r="S133" s="17"/>
      <c r="T133" s="17"/>
      <c r="U133" s="17"/>
      <c r="V133" s="17"/>
      <c r="W133" s="17"/>
      <c r="X133" s="17"/>
      <c r="Y133" s="17"/>
    </row>
    <row r="134" spans="1:25">
      <c r="A134" s="17" t="s">
        <v>3127</v>
      </c>
      <c r="B134" s="17" t="s">
        <v>3127</v>
      </c>
      <c r="C134" s="17" t="s">
        <v>3125</v>
      </c>
      <c r="D134" s="17" t="s">
        <v>2669</v>
      </c>
      <c r="E134" s="17" t="s">
        <v>2968</v>
      </c>
      <c r="F134" s="17" t="s">
        <v>3127</v>
      </c>
      <c r="G134" s="17" t="s">
        <v>2671</v>
      </c>
      <c r="H134" s="17" t="s">
        <v>6835</v>
      </c>
      <c r="I134" s="17" t="s">
        <v>4237</v>
      </c>
      <c r="J134" s="17" t="s">
        <v>2969</v>
      </c>
      <c r="K134" s="17" t="s">
        <v>2916</v>
      </c>
      <c r="L134" s="17" t="s">
        <v>2970</v>
      </c>
      <c r="M134" s="17" t="s">
        <v>2669</v>
      </c>
      <c r="N134" s="17" t="s">
        <v>3127</v>
      </c>
      <c r="O134" s="17" t="s">
        <v>7635</v>
      </c>
      <c r="P134" s="17" t="s">
        <v>3128</v>
      </c>
      <c r="Q134" s="17"/>
      <c r="R134" s="17"/>
      <c r="S134" s="17"/>
      <c r="T134" s="17"/>
      <c r="U134" s="17"/>
      <c r="V134" s="17"/>
      <c r="W134" s="17"/>
      <c r="X134" s="17"/>
      <c r="Y134" s="17"/>
    </row>
    <row r="135" spans="1:25">
      <c r="A135" s="17" t="s">
        <v>3129</v>
      </c>
      <c r="B135" s="17" t="s">
        <v>3129</v>
      </c>
      <c r="C135" s="17" t="s">
        <v>3130</v>
      </c>
      <c r="D135" s="17" t="s">
        <v>2669</v>
      </c>
      <c r="E135" s="17" t="s">
        <v>2968</v>
      </c>
      <c r="F135" s="17" t="s">
        <v>3129</v>
      </c>
      <c r="G135" s="17" t="s">
        <v>2671</v>
      </c>
      <c r="H135" s="17" t="s">
        <v>4312</v>
      </c>
      <c r="I135" s="17" t="s">
        <v>4237</v>
      </c>
      <c r="J135" s="17" t="s">
        <v>2969</v>
      </c>
      <c r="K135" s="17" t="s">
        <v>2923</v>
      </c>
      <c r="L135" s="17" t="s">
        <v>2970</v>
      </c>
      <c r="M135" s="17" t="s">
        <v>2669</v>
      </c>
      <c r="N135" s="17" t="s">
        <v>3129</v>
      </c>
      <c r="O135" s="17" t="s">
        <v>7635</v>
      </c>
      <c r="P135" s="17" t="s">
        <v>3131</v>
      </c>
      <c r="Q135" s="17" t="s">
        <v>6602</v>
      </c>
      <c r="R135" s="17" t="s">
        <v>3129</v>
      </c>
      <c r="S135" s="17"/>
      <c r="T135" s="17"/>
      <c r="U135" s="17"/>
      <c r="V135" s="17"/>
      <c r="W135" s="17" t="s">
        <v>4559</v>
      </c>
      <c r="X135" s="17" t="s">
        <v>6603</v>
      </c>
      <c r="Y135" s="17"/>
    </row>
    <row r="136" spans="1:25">
      <c r="A136" s="17" t="s">
        <v>3132</v>
      </c>
      <c r="B136" s="17" t="s">
        <v>3132</v>
      </c>
      <c r="C136" s="17" t="s">
        <v>3130</v>
      </c>
      <c r="D136" s="17" t="s">
        <v>2669</v>
      </c>
      <c r="E136" s="17" t="s">
        <v>2968</v>
      </c>
      <c r="F136" s="17" t="s">
        <v>3132</v>
      </c>
      <c r="G136" s="17" t="s">
        <v>2671</v>
      </c>
      <c r="H136" s="17" t="s">
        <v>6835</v>
      </c>
      <c r="I136" s="17" t="s">
        <v>4237</v>
      </c>
      <c r="J136" s="17" t="s">
        <v>2969</v>
      </c>
      <c r="K136" s="17" t="s">
        <v>2923</v>
      </c>
      <c r="L136" s="17" t="s">
        <v>2970</v>
      </c>
      <c r="M136" s="17" t="s">
        <v>2669</v>
      </c>
      <c r="N136" s="17" t="s">
        <v>3132</v>
      </c>
      <c r="O136" s="17" t="s">
        <v>7635</v>
      </c>
      <c r="P136" s="17" t="s">
        <v>3133</v>
      </c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>
      <c r="A137" s="17" t="s">
        <v>3134</v>
      </c>
      <c r="B137" s="17" t="s">
        <v>3134</v>
      </c>
      <c r="C137" s="17" t="s">
        <v>3135</v>
      </c>
      <c r="D137" s="17" t="s">
        <v>2669</v>
      </c>
      <c r="E137" s="17" t="s">
        <v>2968</v>
      </c>
      <c r="F137" s="17" t="s">
        <v>3134</v>
      </c>
      <c r="G137" s="17" t="s">
        <v>2671</v>
      </c>
      <c r="H137" s="17" t="s">
        <v>4312</v>
      </c>
      <c r="I137" s="17" t="s">
        <v>4237</v>
      </c>
      <c r="J137" s="17" t="s">
        <v>2969</v>
      </c>
      <c r="K137" s="17" t="s">
        <v>2930</v>
      </c>
      <c r="L137" s="17" t="s">
        <v>2970</v>
      </c>
      <c r="M137" s="17" t="s">
        <v>2669</v>
      </c>
      <c r="N137" s="17" t="s">
        <v>3134</v>
      </c>
      <c r="O137" s="17" t="s">
        <v>7635</v>
      </c>
      <c r="P137" s="17" t="s">
        <v>3136</v>
      </c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>
      <c r="A138" s="17" t="s">
        <v>3137</v>
      </c>
      <c r="B138" s="17" t="s">
        <v>3137</v>
      </c>
      <c r="C138" s="17" t="s">
        <v>3135</v>
      </c>
      <c r="D138" s="17" t="s">
        <v>2669</v>
      </c>
      <c r="E138" s="17" t="s">
        <v>2968</v>
      </c>
      <c r="F138" s="17" t="s">
        <v>3137</v>
      </c>
      <c r="G138" s="17" t="s">
        <v>2671</v>
      </c>
      <c r="H138" s="17" t="s">
        <v>6835</v>
      </c>
      <c r="I138" s="17" t="s">
        <v>4237</v>
      </c>
      <c r="J138" s="17" t="s">
        <v>2969</v>
      </c>
      <c r="K138" s="17" t="s">
        <v>2930</v>
      </c>
      <c r="L138" s="17" t="s">
        <v>2970</v>
      </c>
      <c r="M138" s="17" t="s">
        <v>2669</v>
      </c>
      <c r="N138" s="17" t="s">
        <v>3137</v>
      </c>
      <c r="O138" s="17" t="s">
        <v>7635</v>
      </c>
      <c r="P138" s="17" t="s">
        <v>3138</v>
      </c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>
      <c r="A139" s="17" t="s">
        <v>3139</v>
      </c>
      <c r="B139" s="17" t="s">
        <v>3139</v>
      </c>
      <c r="C139" s="17" t="s">
        <v>3140</v>
      </c>
      <c r="D139" s="17" t="s">
        <v>2669</v>
      </c>
      <c r="E139" s="17" t="s">
        <v>2968</v>
      </c>
      <c r="F139" s="17" t="s">
        <v>3139</v>
      </c>
      <c r="G139" s="17" t="s">
        <v>2671</v>
      </c>
      <c r="H139" s="17" t="s">
        <v>4312</v>
      </c>
      <c r="I139" s="17" t="s">
        <v>4237</v>
      </c>
      <c r="J139" s="17" t="s">
        <v>2969</v>
      </c>
      <c r="K139" s="17" t="s">
        <v>2934</v>
      </c>
      <c r="L139" s="17" t="s">
        <v>2970</v>
      </c>
      <c r="M139" s="17" t="s">
        <v>2669</v>
      </c>
      <c r="N139" s="17" t="s">
        <v>3139</v>
      </c>
      <c r="O139" s="17" t="s">
        <v>7635</v>
      </c>
      <c r="P139" s="17" t="s">
        <v>3141</v>
      </c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>
      <c r="A140" s="17" t="s">
        <v>3142</v>
      </c>
      <c r="B140" s="17" t="s">
        <v>3142</v>
      </c>
      <c r="C140" s="17" t="s">
        <v>3140</v>
      </c>
      <c r="D140" s="17" t="s">
        <v>2669</v>
      </c>
      <c r="E140" s="17" t="s">
        <v>2968</v>
      </c>
      <c r="F140" s="17" t="s">
        <v>3142</v>
      </c>
      <c r="G140" s="17" t="s">
        <v>2671</v>
      </c>
      <c r="H140" s="17" t="s">
        <v>6835</v>
      </c>
      <c r="I140" s="17" t="s">
        <v>4237</v>
      </c>
      <c r="J140" s="17" t="s">
        <v>2969</v>
      </c>
      <c r="K140" s="17" t="s">
        <v>2934</v>
      </c>
      <c r="L140" s="17" t="s">
        <v>2970</v>
      </c>
      <c r="M140" s="17" t="s">
        <v>2669</v>
      </c>
      <c r="N140" s="17" t="s">
        <v>3142</v>
      </c>
      <c r="O140" s="17" t="s">
        <v>7635</v>
      </c>
      <c r="P140" s="17" t="s">
        <v>3143</v>
      </c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>
      <c r="A141" s="17" t="s">
        <v>3144</v>
      </c>
      <c r="B141" s="17" t="s">
        <v>3144</v>
      </c>
      <c r="C141" s="17" t="s">
        <v>3145</v>
      </c>
      <c r="D141" s="17" t="s">
        <v>2669</v>
      </c>
      <c r="E141" s="17" t="s">
        <v>2968</v>
      </c>
      <c r="F141" s="17" t="s">
        <v>3144</v>
      </c>
      <c r="G141" s="17" t="s">
        <v>2671</v>
      </c>
      <c r="H141" s="17" t="s">
        <v>4312</v>
      </c>
      <c r="I141" s="17" t="s">
        <v>4237</v>
      </c>
      <c r="J141" s="17" t="s">
        <v>2969</v>
      </c>
      <c r="K141" s="17" t="s">
        <v>2938</v>
      </c>
      <c r="L141" s="17" t="s">
        <v>2970</v>
      </c>
      <c r="M141" s="17" t="s">
        <v>2669</v>
      </c>
      <c r="N141" s="17" t="s">
        <v>3144</v>
      </c>
      <c r="O141" s="17" t="s">
        <v>7635</v>
      </c>
      <c r="P141" s="17" t="s">
        <v>3146</v>
      </c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>
      <c r="A142" s="17" t="s">
        <v>3147</v>
      </c>
      <c r="B142" s="17" t="s">
        <v>3147</v>
      </c>
      <c r="C142" s="17" t="s">
        <v>3145</v>
      </c>
      <c r="D142" s="17" t="s">
        <v>2669</v>
      </c>
      <c r="E142" s="17" t="s">
        <v>2968</v>
      </c>
      <c r="F142" s="17" t="s">
        <v>3147</v>
      </c>
      <c r="G142" s="17" t="s">
        <v>2671</v>
      </c>
      <c r="H142" s="17" t="s">
        <v>6835</v>
      </c>
      <c r="I142" s="17" t="s">
        <v>4237</v>
      </c>
      <c r="J142" s="17" t="s">
        <v>2969</v>
      </c>
      <c r="K142" s="17" t="s">
        <v>2938</v>
      </c>
      <c r="L142" s="17" t="s">
        <v>2970</v>
      </c>
      <c r="M142" s="17" t="s">
        <v>2669</v>
      </c>
      <c r="N142" s="17" t="s">
        <v>3147</v>
      </c>
      <c r="O142" s="17" t="s">
        <v>7635</v>
      </c>
      <c r="P142" s="17" t="s">
        <v>3148</v>
      </c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>
      <c r="A143" s="17" t="s">
        <v>3149</v>
      </c>
      <c r="B143" s="17" t="s">
        <v>3149</v>
      </c>
      <c r="C143" s="17" t="s">
        <v>3150</v>
      </c>
      <c r="D143" s="17" t="s">
        <v>2669</v>
      </c>
      <c r="E143" s="17" t="s">
        <v>2968</v>
      </c>
      <c r="F143" s="17" t="s">
        <v>3149</v>
      </c>
      <c r="G143" s="17" t="s">
        <v>2671</v>
      </c>
      <c r="H143" s="17" t="s">
        <v>4312</v>
      </c>
      <c r="I143" s="17" t="s">
        <v>4237</v>
      </c>
      <c r="J143" s="17" t="s">
        <v>2969</v>
      </c>
      <c r="K143" s="17" t="s">
        <v>3151</v>
      </c>
      <c r="L143" s="17" t="s">
        <v>2970</v>
      </c>
      <c r="M143" s="17" t="s">
        <v>2669</v>
      </c>
      <c r="N143" s="17" t="s">
        <v>3149</v>
      </c>
      <c r="O143" s="17" t="s">
        <v>7635</v>
      </c>
      <c r="P143" s="17" t="s">
        <v>3152</v>
      </c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>
      <c r="A144" s="17" t="s">
        <v>3153</v>
      </c>
      <c r="B144" s="17" t="s">
        <v>3153</v>
      </c>
      <c r="C144" s="17" t="s">
        <v>3150</v>
      </c>
      <c r="D144" s="17" t="s">
        <v>2669</v>
      </c>
      <c r="E144" s="17" t="s">
        <v>2968</v>
      </c>
      <c r="F144" s="17" t="s">
        <v>3153</v>
      </c>
      <c r="G144" s="17" t="s">
        <v>2671</v>
      </c>
      <c r="H144" s="17" t="s">
        <v>6835</v>
      </c>
      <c r="I144" s="17" t="s">
        <v>4237</v>
      </c>
      <c r="J144" s="17" t="s">
        <v>2969</v>
      </c>
      <c r="K144" s="17" t="s">
        <v>3151</v>
      </c>
      <c r="L144" s="17" t="s">
        <v>2970</v>
      </c>
      <c r="M144" s="17" t="s">
        <v>2669</v>
      </c>
      <c r="N144" s="17" t="s">
        <v>3153</v>
      </c>
      <c r="O144" s="17" t="s">
        <v>7635</v>
      </c>
      <c r="P144" s="17" t="s">
        <v>3154</v>
      </c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>
      <c r="A145" s="17" t="s">
        <v>3155</v>
      </c>
      <c r="B145" s="17" t="s">
        <v>3155</v>
      </c>
      <c r="C145" s="17" t="s">
        <v>3156</v>
      </c>
      <c r="D145" s="17" t="s">
        <v>2669</v>
      </c>
      <c r="E145" s="17" t="s">
        <v>2968</v>
      </c>
      <c r="F145" s="17" t="s">
        <v>3155</v>
      </c>
      <c r="G145" s="17" t="s">
        <v>2671</v>
      </c>
      <c r="H145" s="17" t="s">
        <v>4312</v>
      </c>
      <c r="I145" s="17" t="s">
        <v>4237</v>
      </c>
      <c r="J145" s="17" t="s">
        <v>2969</v>
      </c>
      <c r="K145" s="17" t="s">
        <v>2945</v>
      </c>
      <c r="L145" s="17" t="s">
        <v>2970</v>
      </c>
      <c r="M145" s="17" t="s">
        <v>2669</v>
      </c>
      <c r="N145" s="17" t="s">
        <v>3155</v>
      </c>
      <c r="O145" s="17" t="s">
        <v>7635</v>
      </c>
      <c r="P145" s="17" t="s">
        <v>3157</v>
      </c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>
      <c r="A146" s="17" t="s">
        <v>3158</v>
      </c>
      <c r="B146" s="17" t="s">
        <v>3158</v>
      </c>
      <c r="C146" s="17" t="s">
        <v>3156</v>
      </c>
      <c r="D146" s="17" t="s">
        <v>2669</v>
      </c>
      <c r="E146" s="17" t="s">
        <v>2968</v>
      </c>
      <c r="F146" s="17" t="s">
        <v>3158</v>
      </c>
      <c r="G146" s="17" t="s">
        <v>2671</v>
      </c>
      <c r="H146" s="17" t="s">
        <v>6835</v>
      </c>
      <c r="I146" s="17" t="s">
        <v>4237</v>
      </c>
      <c r="J146" s="17" t="s">
        <v>2969</v>
      </c>
      <c r="K146" s="17" t="s">
        <v>2945</v>
      </c>
      <c r="L146" s="17" t="s">
        <v>2970</v>
      </c>
      <c r="M146" s="17" t="s">
        <v>2669</v>
      </c>
      <c r="N146" s="17" t="s">
        <v>3158</v>
      </c>
      <c r="O146" s="17" t="s">
        <v>7635</v>
      </c>
      <c r="P146" s="17" t="s">
        <v>3159</v>
      </c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>
      <c r="A147" s="17" t="s">
        <v>3160</v>
      </c>
      <c r="B147" s="17" t="s">
        <v>3160</v>
      </c>
      <c r="C147" s="17" t="s">
        <v>3161</v>
      </c>
      <c r="D147" s="17" t="s">
        <v>2669</v>
      </c>
      <c r="E147" s="17" t="s">
        <v>2968</v>
      </c>
      <c r="F147" s="17" t="s">
        <v>3160</v>
      </c>
      <c r="G147" s="17" t="s">
        <v>2671</v>
      </c>
      <c r="H147" s="17" t="s">
        <v>4312</v>
      </c>
      <c r="I147" s="17" t="s">
        <v>4237</v>
      </c>
      <c r="J147" s="17" t="s">
        <v>2969</v>
      </c>
      <c r="K147" s="17" t="s">
        <v>3162</v>
      </c>
      <c r="L147" s="17" t="s">
        <v>2970</v>
      </c>
      <c r="M147" s="17" t="s">
        <v>2669</v>
      </c>
      <c r="N147" s="17" t="s">
        <v>3160</v>
      </c>
      <c r="O147" s="17" t="s">
        <v>7635</v>
      </c>
      <c r="P147" s="17" t="s">
        <v>3163</v>
      </c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>
      <c r="A148" s="17" t="s">
        <v>3164</v>
      </c>
      <c r="B148" s="17" t="s">
        <v>3164</v>
      </c>
      <c r="C148" s="17" t="s">
        <v>3161</v>
      </c>
      <c r="D148" s="17" t="s">
        <v>2669</v>
      </c>
      <c r="E148" s="17" t="s">
        <v>2968</v>
      </c>
      <c r="F148" s="17" t="s">
        <v>3164</v>
      </c>
      <c r="G148" s="17" t="s">
        <v>2671</v>
      </c>
      <c r="H148" s="17" t="s">
        <v>6835</v>
      </c>
      <c r="I148" s="17" t="s">
        <v>4237</v>
      </c>
      <c r="J148" s="17" t="s">
        <v>2969</v>
      </c>
      <c r="K148" s="17" t="s">
        <v>3162</v>
      </c>
      <c r="L148" s="17" t="s">
        <v>2970</v>
      </c>
      <c r="M148" s="17" t="s">
        <v>2669</v>
      </c>
      <c r="N148" s="17" t="s">
        <v>3164</v>
      </c>
      <c r="O148" s="17" t="s">
        <v>7635</v>
      </c>
      <c r="P148" s="17" t="s">
        <v>3165</v>
      </c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>
      <c r="A149" s="17" t="s">
        <v>3166</v>
      </c>
      <c r="B149" s="17" t="s">
        <v>3166</v>
      </c>
      <c r="C149" s="17" t="s">
        <v>3167</v>
      </c>
      <c r="D149" s="17" t="s">
        <v>2669</v>
      </c>
      <c r="E149" s="17" t="s">
        <v>2968</v>
      </c>
      <c r="F149" s="17" t="s">
        <v>3166</v>
      </c>
      <c r="G149" s="17" t="s">
        <v>2671</v>
      </c>
      <c r="H149" s="17" t="s">
        <v>4312</v>
      </c>
      <c r="I149" s="17" t="s">
        <v>4237</v>
      </c>
      <c r="J149" s="17" t="s">
        <v>2969</v>
      </c>
      <c r="K149" s="17" t="s">
        <v>3168</v>
      </c>
      <c r="L149" s="17" t="s">
        <v>2970</v>
      </c>
      <c r="M149" s="17" t="s">
        <v>2669</v>
      </c>
      <c r="N149" s="17" t="s">
        <v>3166</v>
      </c>
      <c r="O149" s="17" t="s">
        <v>7635</v>
      </c>
      <c r="P149" s="17" t="s">
        <v>3169</v>
      </c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>
      <c r="A150" s="17" t="s">
        <v>3170</v>
      </c>
      <c r="B150" s="17" t="s">
        <v>3170</v>
      </c>
      <c r="C150" s="17" t="s">
        <v>3167</v>
      </c>
      <c r="D150" s="17" t="s">
        <v>2669</v>
      </c>
      <c r="E150" s="17" t="s">
        <v>2968</v>
      </c>
      <c r="F150" s="17" t="s">
        <v>3170</v>
      </c>
      <c r="G150" s="17" t="s">
        <v>2671</v>
      </c>
      <c r="H150" s="17" t="s">
        <v>6835</v>
      </c>
      <c r="I150" s="17" t="s">
        <v>4237</v>
      </c>
      <c r="J150" s="17" t="s">
        <v>2969</v>
      </c>
      <c r="K150" s="17" t="s">
        <v>3168</v>
      </c>
      <c r="L150" s="17" t="s">
        <v>2970</v>
      </c>
      <c r="M150" s="17" t="s">
        <v>2669</v>
      </c>
      <c r="N150" s="17" t="s">
        <v>3170</v>
      </c>
      <c r="O150" s="17" t="s">
        <v>7635</v>
      </c>
      <c r="P150" s="17" t="s">
        <v>3171</v>
      </c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>
      <c r="A151" s="17" t="s">
        <v>3172</v>
      </c>
      <c r="B151" s="17" t="s">
        <v>3172</v>
      </c>
      <c r="C151" s="17" t="s">
        <v>3173</v>
      </c>
      <c r="D151" s="17" t="s">
        <v>2669</v>
      </c>
      <c r="E151" s="17" t="s">
        <v>2968</v>
      </c>
      <c r="F151" s="17" t="s">
        <v>3172</v>
      </c>
      <c r="G151" s="17" t="s">
        <v>2671</v>
      </c>
      <c r="H151" s="17" t="s">
        <v>4312</v>
      </c>
      <c r="I151" s="17" t="s">
        <v>4237</v>
      </c>
      <c r="J151" s="17" t="s">
        <v>2969</v>
      </c>
      <c r="K151" s="17" t="s">
        <v>3174</v>
      </c>
      <c r="L151" s="17" t="s">
        <v>2970</v>
      </c>
      <c r="M151" s="17" t="s">
        <v>2669</v>
      </c>
      <c r="N151" s="17" t="s">
        <v>3172</v>
      </c>
      <c r="O151" s="17" t="s">
        <v>7635</v>
      </c>
      <c r="P151" s="17" t="s">
        <v>3175</v>
      </c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>
      <c r="A152" s="17" t="s">
        <v>3176</v>
      </c>
      <c r="B152" s="17" t="s">
        <v>3176</v>
      </c>
      <c r="C152" s="17" t="s">
        <v>3173</v>
      </c>
      <c r="D152" s="17" t="s">
        <v>2669</v>
      </c>
      <c r="E152" s="17" t="s">
        <v>2968</v>
      </c>
      <c r="F152" s="17" t="s">
        <v>3176</v>
      </c>
      <c r="G152" s="17" t="s">
        <v>2671</v>
      </c>
      <c r="H152" s="17" t="s">
        <v>6835</v>
      </c>
      <c r="I152" s="17" t="s">
        <v>4237</v>
      </c>
      <c r="J152" s="17" t="s">
        <v>2969</v>
      </c>
      <c r="K152" s="17" t="s">
        <v>3174</v>
      </c>
      <c r="L152" s="17" t="s">
        <v>2970</v>
      </c>
      <c r="M152" s="17" t="s">
        <v>2669</v>
      </c>
      <c r="N152" s="17" t="s">
        <v>3176</v>
      </c>
      <c r="O152" s="17" t="s">
        <v>7635</v>
      </c>
      <c r="P152" s="17" t="s">
        <v>3177</v>
      </c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>
      <c r="A153" s="17" t="s">
        <v>3178</v>
      </c>
      <c r="B153" s="17" t="s">
        <v>3178</v>
      </c>
      <c r="C153" s="17" t="s">
        <v>3179</v>
      </c>
      <c r="D153" s="17" t="s">
        <v>2669</v>
      </c>
      <c r="E153" s="17" t="s">
        <v>2968</v>
      </c>
      <c r="F153" s="17" t="s">
        <v>3178</v>
      </c>
      <c r="G153" s="17" t="s">
        <v>2671</v>
      </c>
      <c r="H153" s="17" t="s">
        <v>4312</v>
      </c>
      <c r="I153" s="17" t="s">
        <v>4237</v>
      </c>
      <c r="J153" s="17" t="s">
        <v>2969</v>
      </c>
      <c r="K153" s="17" t="s">
        <v>3180</v>
      </c>
      <c r="L153" s="17" t="s">
        <v>2970</v>
      </c>
      <c r="M153" s="17" t="s">
        <v>2669</v>
      </c>
      <c r="N153" s="17" t="s">
        <v>3178</v>
      </c>
      <c r="O153" s="17" t="s">
        <v>7635</v>
      </c>
      <c r="P153" s="17" t="s">
        <v>3181</v>
      </c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>
      <c r="A154" s="17" t="s">
        <v>3182</v>
      </c>
      <c r="B154" s="17" t="s">
        <v>3182</v>
      </c>
      <c r="C154" s="17" t="s">
        <v>3179</v>
      </c>
      <c r="D154" s="17" t="s">
        <v>2669</v>
      </c>
      <c r="E154" s="17" t="s">
        <v>2968</v>
      </c>
      <c r="F154" s="17" t="s">
        <v>3182</v>
      </c>
      <c r="G154" s="17" t="s">
        <v>2671</v>
      </c>
      <c r="H154" s="17" t="s">
        <v>6835</v>
      </c>
      <c r="I154" s="17" t="s">
        <v>4237</v>
      </c>
      <c r="J154" s="17" t="s">
        <v>2969</v>
      </c>
      <c r="K154" s="17" t="s">
        <v>3180</v>
      </c>
      <c r="L154" s="17" t="s">
        <v>2970</v>
      </c>
      <c r="M154" s="17" t="s">
        <v>2669</v>
      </c>
      <c r="N154" s="17" t="s">
        <v>3182</v>
      </c>
      <c r="O154" s="17" t="s">
        <v>7635</v>
      </c>
      <c r="P154" s="17" t="s">
        <v>3183</v>
      </c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>
      <c r="A155" s="17" t="s">
        <v>3184</v>
      </c>
      <c r="B155" s="17" t="s">
        <v>3184</v>
      </c>
      <c r="C155" s="17" t="s">
        <v>3185</v>
      </c>
      <c r="D155" s="17" t="s">
        <v>2669</v>
      </c>
      <c r="E155" s="17" t="s">
        <v>2968</v>
      </c>
      <c r="F155" s="17" t="s">
        <v>3184</v>
      </c>
      <c r="G155" s="17" t="s">
        <v>2671</v>
      </c>
      <c r="H155" s="17" t="s">
        <v>4312</v>
      </c>
      <c r="I155" s="17" t="s">
        <v>4237</v>
      </c>
      <c r="J155" s="17" t="s">
        <v>2969</v>
      </c>
      <c r="K155" s="17" t="s">
        <v>3186</v>
      </c>
      <c r="L155" s="17" t="s">
        <v>2970</v>
      </c>
      <c r="M155" s="17" t="s">
        <v>2669</v>
      </c>
      <c r="N155" s="17" t="s">
        <v>3184</v>
      </c>
      <c r="O155" s="17" t="s">
        <v>7635</v>
      </c>
      <c r="P155" s="17" t="s">
        <v>3187</v>
      </c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>
      <c r="A156" s="17" t="s">
        <v>3188</v>
      </c>
      <c r="B156" s="17" t="s">
        <v>3188</v>
      </c>
      <c r="C156" s="17" t="s">
        <v>3185</v>
      </c>
      <c r="D156" s="17" t="s">
        <v>2669</v>
      </c>
      <c r="E156" s="17" t="s">
        <v>2968</v>
      </c>
      <c r="F156" s="17" t="s">
        <v>3188</v>
      </c>
      <c r="G156" s="17" t="s">
        <v>2671</v>
      </c>
      <c r="H156" s="17" t="s">
        <v>6835</v>
      </c>
      <c r="I156" s="17" t="s">
        <v>4237</v>
      </c>
      <c r="J156" s="17" t="s">
        <v>2969</v>
      </c>
      <c r="K156" s="17" t="s">
        <v>3186</v>
      </c>
      <c r="L156" s="17" t="s">
        <v>2970</v>
      </c>
      <c r="M156" s="17" t="s">
        <v>2669</v>
      </c>
      <c r="N156" s="17" t="s">
        <v>3188</v>
      </c>
      <c r="O156" s="17" t="s">
        <v>7635</v>
      </c>
      <c r="P156" s="17" t="s">
        <v>3189</v>
      </c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>
      <c r="A157" s="17" t="s">
        <v>3190</v>
      </c>
      <c r="B157" s="17" t="s">
        <v>3190</v>
      </c>
      <c r="C157" s="17" t="s">
        <v>3191</v>
      </c>
      <c r="D157" s="17" t="s">
        <v>2669</v>
      </c>
      <c r="E157" s="17" t="s">
        <v>2968</v>
      </c>
      <c r="F157" s="17" t="s">
        <v>3190</v>
      </c>
      <c r="G157" s="17" t="s">
        <v>2671</v>
      </c>
      <c r="H157" s="17" t="s">
        <v>4312</v>
      </c>
      <c r="I157" s="17" t="s">
        <v>4237</v>
      </c>
      <c r="J157" s="17" t="s">
        <v>2969</v>
      </c>
      <c r="K157" s="17" t="s">
        <v>2952</v>
      </c>
      <c r="L157" s="17" t="s">
        <v>2970</v>
      </c>
      <c r="M157" s="17" t="s">
        <v>2669</v>
      </c>
      <c r="N157" s="17" t="s">
        <v>3190</v>
      </c>
      <c r="O157" s="17" t="s">
        <v>7635</v>
      </c>
      <c r="P157" s="17" t="s">
        <v>3192</v>
      </c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>
      <c r="A158" s="17" t="s">
        <v>3193</v>
      </c>
      <c r="B158" s="17" t="s">
        <v>3193</v>
      </c>
      <c r="C158" s="17" t="s">
        <v>3191</v>
      </c>
      <c r="D158" s="17" t="s">
        <v>2669</v>
      </c>
      <c r="E158" s="17" t="s">
        <v>2968</v>
      </c>
      <c r="F158" s="17" t="s">
        <v>3193</v>
      </c>
      <c r="G158" s="17" t="s">
        <v>2671</v>
      </c>
      <c r="H158" s="17" t="s">
        <v>6835</v>
      </c>
      <c r="I158" s="17" t="s">
        <v>4237</v>
      </c>
      <c r="J158" s="17" t="s">
        <v>2969</v>
      </c>
      <c r="K158" s="17" t="s">
        <v>2952</v>
      </c>
      <c r="L158" s="17" t="s">
        <v>2970</v>
      </c>
      <c r="M158" s="17" t="s">
        <v>2669</v>
      </c>
      <c r="N158" s="17" t="s">
        <v>3193</v>
      </c>
      <c r="O158" s="17" t="s">
        <v>7635</v>
      </c>
      <c r="P158" s="17" t="s">
        <v>3194</v>
      </c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>
      <c r="A159" s="17" t="s">
        <v>3195</v>
      </c>
      <c r="B159" s="17" t="s">
        <v>3195</v>
      </c>
      <c r="C159" s="17" t="s">
        <v>3196</v>
      </c>
      <c r="D159" s="17" t="s">
        <v>2669</v>
      </c>
      <c r="E159" s="17" t="s">
        <v>2968</v>
      </c>
      <c r="F159" s="17" t="s">
        <v>3195</v>
      </c>
      <c r="G159" s="17" t="s">
        <v>2671</v>
      </c>
      <c r="H159" s="17" t="s">
        <v>4312</v>
      </c>
      <c r="I159" s="17" t="s">
        <v>4237</v>
      </c>
      <c r="J159" s="17" t="s">
        <v>2969</v>
      </c>
      <c r="K159" s="17" t="s">
        <v>3197</v>
      </c>
      <c r="L159" s="17" t="s">
        <v>2970</v>
      </c>
      <c r="M159" s="17" t="s">
        <v>2669</v>
      </c>
      <c r="N159" s="17" t="s">
        <v>3195</v>
      </c>
      <c r="O159" s="17" t="s">
        <v>7635</v>
      </c>
      <c r="P159" s="17" t="s">
        <v>3198</v>
      </c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>
      <c r="A160" s="17" t="s">
        <v>3199</v>
      </c>
      <c r="B160" s="17" t="s">
        <v>3199</v>
      </c>
      <c r="C160" s="17" t="s">
        <v>3196</v>
      </c>
      <c r="D160" s="17" t="s">
        <v>2669</v>
      </c>
      <c r="E160" s="17" t="s">
        <v>2968</v>
      </c>
      <c r="F160" s="17" t="s">
        <v>3199</v>
      </c>
      <c r="G160" s="17" t="s">
        <v>2671</v>
      </c>
      <c r="H160" s="17" t="s">
        <v>6835</v>
      </c>
      <c r="I160" s="17" t="s">
        <v>4237</v>
      </c>
      <c r="J160" s="17" t="s">
        <v>2969</v>
      </c>
      <c r="K160" s="17" t="s">
        <v>3197</v>
      </c>
      <c r="L160" s="17" t="s">
        <v>2970</v>
      </c>
      <c r="M160" s="17" t="s">
        <v>2669</v>
      </c>
      <c r="N160" s="17" t="s">
        <v>3199</v>
      </c>
      <c r="O160" s="17" t="s">
        <v>7635</v>
      </c>
      <c r="P160" s="17" t="s">
        <v>3200</v>
      </c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>
      <c r="A161" s="17" t="s">
        <v>3201</v>
      </c>
      <c r="B161" s="17" t="s">
        <v>3201</v>
      </c>
      <c r="C161" s="17" t="s">
        <v>3202</v>
      </c>
      <c r="D161" s="17" t="s">
        <v>2669</v>
      </c>
      <c r="E161" s="17" t="s">
        <v>2968</v>
      </c>
      <c r="F161" s="17" t="s">
        <v>3201</v>
      </c>
      <c r="G161" s="17" t="s">
        <v>2671</v>
      </c>
      <c r="H161" s="17" t="s">
        <v>4312</v>
      </c>
      <c r="I161" s="17" t="s">
        <v>4237</v>
      </c>
      <c r="J161" s="17" t="s">
        <v>2969</v>
      </c>
      <c r="K161" s="17" t="s">
        <v>3203</v>
      </c>
      <c r="L161" s="17" t="s">
        <v>2970</v>
      </c>
      <c r="M161" s="17" t="s">
        <v>2669</v>
      </c>
      <c r="N161" s="17" t="s">
        <v>3201</v>
      </c>
      <c r="O161" s="17" t="s">
        <v>7635</v>
      </c>
      <c r="P161" s="17" t="s">
        <v>3204</v>
      </c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>
      <c r="A162" s="17" t="s">
        <v>3205</v>
      </c>
      <c r="B162" s="17" t="s">
        <v>3205</v>
      </c>
      <c r="C162" s="17" t="s">
        <v>3202</v>
      </c>
      <c r="D162" s="17" t="s">
        <v>2669</v>
      </c>
      <c r="E162" s="17" t="s">
        <v>2968</v>
      </c>
      <c r="F162" s="17" t="s">
        <v>3205</v>
      </c>
      <c r="G162" s="17" t="s">
        <v>2671</v>
      </c>
      <c r="H162" s="17" t="s">
        <v>6835</v>
      </c>
      <c r="I162" s="17" t="s">
        <v>4237</v>
      </c>
      <c r="J162" s="17" t="s">
        <v>2969</v>
      </c>
      <c r="K162" s="17" t="s">
        <v>3203</v>
      </c>
      <c r="L162" s="17" t="s">
        <v>2970</v>
      </c>
      <c r="M162" s="17" t="s">
        <v>2669</v>
      </c>
      <c r="N162" s="17" t="s">
        <v>3205</v>
      </c>
      <c r="O162" s="17" t="s">
        <v>7635</v>
      </c>
      <c r="P162" s="17" t="s">
        <v>3206</v>
      </c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>
      <c r="A163" s="17" t="s">
        <v>3207</v>
      </c>
      <c r="B163" s="17" t="s">
        <v>3207</v>
      </c>
      <c r="C163" s="17" t="s">
        <v>3208</v>
      </c>
      <c r="D163" s="17" t="s">
        <v>2669</v>
      </c>
      <c r="E163" s="17" t="s">
        <v>2968</v>
      </c>
      <c r="F163" s="17" t="s">
        <v>3207</v>
      </c>
      <c r="G163" s="17" t="s">
        <v>2671</v>
      </c>
      <c r="H163" s="17" t="s">
        <v>4312</v>
      </c>
      <c r="I163" s="17" t="s">
        <v>4237</v>
      </c>
      <c r="J163" s="17" t="s">
        <v>2969</v>
      </c>
      <c r="K163" s="17" t="s">
        <v>2956</v>
      </c>
      <c r="L163" s="17" t="s">
        <v>2970</v>
      </c>
      <c r="M163" s="17" t="s">
        <v>2669</v>
      </c>
      <c r="N163" s="17" t="s">
        <v>3207</v>
      </c>
      <c r="O163" s="17" t="s">
        <v>7635</v>
      </c>
      <c r="P163" s="17" t="s">
        <v>3209</v>
      </c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>
      <c r="A164" s="17" t="s">
        <v>3210</v>
      </c>
      <c r="B164" s="17" t="s">
        <v>3210</v>
      </c>
      <c r="C164" s="17" t="s">
        <v>3211</v>
      </c>
      <c r="D164" s="17" t="s">
        <v>2669</v>
      </c>
      <c r="E164" s="17" t="s">
        <v>2968</v>
      </c>
      <c r="F164" s="17" t="s">
        <v>3210</v>
      </c>
      <c r="G164" s="17" t="s">
        <v>2671</v>
      </c>
      <c r="H164" s="17" t="s">
        <v>4312</v>
      </c>
      <c r="I164" s="17" t="s">
        <v>4237</v>
      </c>
      <c r="J164" s="17" t="s">
        <v>2969</v>
      </c>
      <c r="K164" s="17" t="s">
        <v>3212</v>
      </c>
      <c r="L164" s="17" t="s">
        <v>2970</v>
      </c>
      <c r="M164" s="17" t="s">
        <v>2669</v>
      </c>
      <c r="N164" s="17" t="s">
        <v>3210</v>
      </c>
      <c r="O164" s="17" t="s">
        <v>7635</v>
      </c>
      <c r="P164" s="17" t="s">
        <v>3213</v>
      </c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>
      <c r="A165" s="17" t="s">
        <v>3214</v>
      </c>
      <c r="B165" s="17" t="s">
        <v>3214</v>
      </c>
      <c r="C165" s="17" t="s">
        <v>3211</v>
      </c>
      <c r="D165" s="17" t="s">
        <v>2669</v>
      </c>
      <c r="E165" s="17" t="s">
        <v>2968</v>
      </c>
      <c r="F165" s="17" t="s">
        <v>3214</v>
      </c>
      <c r="G165" s="17" t="s">
        <v>2671</v>
      </c>
      <c r="H165" s="17" t="s">
        <v>6835</v>
      </c>
      <c r="I165" s="17" t="s">
        <v>4237</v>
      </c>
      <c r="J165" s="17" t="s">
        <v>2969</v>
      </c>
      <c r="K165" s="17" t="s">
        <v>3212</v>
      </c>
      <c r="L165" s="17" t="s">
        <v>2970</v>
      </c>
      <c r="M165" s="17" t="s">
        <v>2669</v>
      </c>
      <c r="N165" s="17" t="s">
        <v>3214</v>
      </c>
      <c r="O165" s="17" t="s">
        <v>7635</v>
      </c>
      <c r="P165" s="17" t="s">
        <v>3215</v>
      </c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>
      <c r="A166" s="17" t="s">
        <v>3216</v>
      </c>
      <c r="B166" s="17" t="s">
        <v>3216</v>
      </c>
      <c r="C166" s="17" t="s">
        <v>3217</v>
      </c>
      <c r="D166" s="17" t="s">
        <v>2669</v>
      </c>
      <c r="E166" s="17" t="s">
        <v>2968</v>
      </c>
      <c r="F166" s="17" t="s">
        <v>3216</v>
      </c>
      <c r="G166" s="17" t="s">
        <v>2671</v>
      </c>
      <c r="H166" s="17" t="s">
        <v>4312</v>
      </c>
      <c r="I166" s="17" t="s">
        <v>4237</v>
      </c>
      <c r="J166" s="17" t="s">
        <v>2969</v>
      </c>
      <c r="K166" s="17" t="s">
        <v>2960</v>
      </c>
      <c r="L166" s="17" t="s">
        <v>2970</v>
      </c>
      <c r="M166" s="17" t="s">
        <v>2669</v>
      </c>
      <c r="N166" s="17" t="s">
        <v>3216</v>
      </c>
      <c r="O166" s="17" t="s">
        <v>7635</v>
      </c>
      <c r="P166" s="17" t="s">
        <v>3218</v>
      </c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>
      <c r="A167" s="17" t="s">
        <v>3219</v>
      </c>
      <c r="B167" s="17" t="s">
        <v>3219</v>
      </c>
      <c r="C167" s="17" t="s">
        <v>3217</v>
      </c>
      <c r="D167" s="17" t="s">
        <v>2669</v>
      </c>
      <c r="E167" s="17" t="s">
        <v>2968</v>
      </c>
      <c r="F167" s="17" t="s">
        <v>3219</v>
      </c>
      <c r="G167" s="17" t="s">
        <v>2671</v>
      </c>
      <c r="H167" s="17" t="s">
        <v>6835</v>
      </c>
      <c r="I167" s="17" t="s">
        <v>4237</v>
      </c>
      <c r="J167" s="17" t="s">
        <v>2969</v>
      </c>
      <c r="K167" s="17" t="s">
        <v>2960</v>
      </c>
      <c r="L167" s="17" t="s">
        <v>2970</v>
      </c>
      <c r="M167" s="17" t="s">
        <v>2669</v>
      </c>
      <c r="N167" s="17" t="s">
        <v>3219</v>
      </c>
      <c r="O167" s="17" t="s">
        <v>7635</v>
      </c>
      <c r="P167" s="17" t="s">
        <v>3220</v>
      </c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>
      <c r="A168" s="17" t="s">
        <v>3221</v>
      </c>
      <c r="B168" s="17" t="s">
        <v>3221</v>
      </c>
      <c r="C168" s="17" t="s">
        <v>3222</v>
      </c>
      <c r="D168" s="17" t="s">
        <v>2669</v>
      </c>
      <c r="E168" s="17" t="s">
        <v>2968</v>
      </c>
      <c r="F168" s="17" t="s">
        <v>3221</v>
      </c>
      <c r="G168" s="17" t="s">
        <v>2671</v>
      </c>
      <c r="H168" s="17" t="s">
        <v>4312</v>
      </c>
      <c r="I168" s="17" t="s">
        <v>4237</v>
      </c>
      <c r="J168" s="17" t="s">
        <v>2969</v>
      </c>
      <c r="K168" s="17" t="s">
        <v>2964</v>
      </c>
      <c r="L168" s="17" t="s">
        <v>2970</v>
      </c>
      <c r="M168" s="17" t="s">
        <v>2669</v>
      </c>
      <c r="N168" s="17" t="s">
        <v>3221</v>
      </c>
      <c r="O168" s="17" t="s">
        <v>7635</v>
      </c>
      <c r="P168" s="17" t="s">
        <v>3223</v>
      </c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>
      <c r="A169" s="17" t="s">
        <v>3224</v>
      </c>
      <c r="B169" s="17" t="s">
        <v>3224</v>
      </c>
      <c r="C169" s="17" t="s">
        <v>3222</v>
      </c>
      <c r="D169" s="17" t="s">
        <v>2669</v>
      </c>
      <c r="E169" s="17" t="s">
        <v>2968</v>
      </c>
      <c r="F169" s="17" t="s">
        <v>3224</v>
      </c>
      <c r="G169" s="17" t="s">
        <v>2671</v>
      </c>
      <c r="H169" s="17" t="s">
        <v>6835</v>
      </c>
      <c r="I169" s="17" t="s">
        <v>4237</v>
      </c>
      <c r="J169" s="17" t="s">
        <v>2969</v>
      </c>
      <c r="K169" s="17" t="s">
        <v>2964</v>
      </c>
      <c r="L169" s="17" t="s">
        <v>2970</v>
      </c>
      <c r="M169" s="17" t="s">
        <v>2669</v>
      </c>
      <c r="N169" s="17" t="s">
        <v>3224</v>
      </c>
      <c r="O169" s="17" t="s">
        <v>7635</v>
      </c>
      <c r="P169" s="17" t="s">
        <v>3225</v>
      </c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>
      <c r="A170" s="17" t="s">
        <v>3226</v>
      </c>
      <c r="B170" s="17" t="s">
        <v>3226</v>
      </c>
      <c r="C170" s="17" t="s">
        <v>3227</v>
      </c>
      <c r="D170" s="17" t="s">
        <v>2669</v>
      </c>
      <c r="E170" s="17" t="s">
        <v>2968</v>
      </c>
      <c r="F170" s="17" t="s">
        <v>3226</v>
      </c>
      <c r="G170" s="17" t="s">
        <v>2671</v>
      </c>
      <c r="H170" s="17" t="s">
        <v>4312</v>
      </c>
      <c r="I170" s="17" t="s">
        <v>4237</v>
      </c>
      <c r="J170" s="17" t="s">
        <v>2969</v>
      </c>
      <c r="K170" s="17" t="s">
        <v>3228</v>
      </c>
      <c r="L170" s="17" t="s">
        <v>2970</v>
      </c>
      <c r="M170" s="17" t="s">
        <v>2669</v>
      </c>
      <c r="N170" s="17" t="s">
        <v>3226</v>
      </c>
      <c r="O170" s="17" t="s">
        <v>7635</v>
      </c>
      <c r="P170" s="17" t="s">
        <v>3229</v>
      </c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>
      <c r="A171" s="17" t="s">
        <v>3230</v>
      </c>
      <c r="B171" s="17" t="s">
        <v>3230</v>
      </c>
      <c r="C171" s="17" t="s">
        <v>3227</v>
      </c>
      <c r="D171" s="17" t="s">
        <v>2669</v>
      </c>
      <c r="E171" s="17" t="s">
        <v>2968</v>
      </c>
      <c r="F171" s="17" t="s">
        <v>3230</v>
      </c>
      <c r="G171" s="17" t="s">
        <v>2671</v>
      </c>
      <c r="H171" s="17" t="s">
        <v>6835</v>
      </c>
      <c r="I171" s="17" t="s">
        <v>4237</v>
      </c>
      <c r="J171" s="17" t="s">
        <v>2969</v>
      </c>
      <c r="K171" s="17" t="s">
        <v>3228</v>
      </c>
      <c r="L171" s="17" t="s">
        <v>2970</v>
      </c>
      <c r="M171" s="17" t="s">
        <v>2669</v>
      </c>
      <c r="N171" s="17" t="s">
        <v>3230</v>
      </c>
      <c r="O171" s="17" t="s">
        <v>7635</v>
      </c>
      <c r="P171" s="17" t="s">
        <v>3231</v>
      </c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>
      <c r="A172" s="17" t="s">
        <v>3232</v>
      </c>
      <c r="B172" s="17" t="s">
        <v>3232</v>
      </c>
      <c r="C172" s="17" t="s">
        <v>3233</v>
      </c>
      <c r="D172" s="17" t="s">
        <v>2669</v>
      </c>
      <c r="E172" s="17" t="s">
        <v>2968</v>
      </c>
      <c r="F172" s="17" t="s">
        <v>3232</v>
      </c>
      <c r="G172" s="17" t="s">
        <v>2671</v>
      </c>
      <c r="H172" s="17" t="s">
        <v>4312</v>
      </c>
      <c r="I172" s="17" t="s">
        <v>4237</v>
      </c>
      <c r="J172" s="17" t="s">
        <v>2969</v>
      </c>
      <c r="K172" s="17" t="s">
        <v>3234</v>
      </c>
      <c r="L172" s="17" t="s">
        <v>2970</v>
      </c>
      <c r="M172" s="17" t="s">
        <v>2669</v>
      </c>
      <c r="N172" s="17" t="s">
        <v>3232</v>
      </c>
      <c r="O172" s="17" t="s">
        <v>7635</v>
      </c>
      <c r="P172" s="17" t="s">
        <v>3235</v>
      </c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>
      <c r="A173" s="17" t="s">
        <v>3236</v>
      </c>
      <c r="B173" s="17" t="s">
        <v>3236</v>
      </c>
      <c r="C173" s="17" t="s">
        <v>3233</v>
      </c>
      <c r="D173" s="17" t="s">
        <v>2669</v>
      </c>
      <c r="E173" s="17" t="s">
        <v>2968</v>
      </c>
      <c r="F173" s="17" t="s">
        <v>3236</v>
      </c>
      <c r="G173" s="17" t="s">
        <v>2671</v>
      </c>
      <c r="H173" s="17" t="s">
        <v>6835</v>
      </c>
      <c r="I173" s="17" t="s">
        <v>4237</v>
      </c>
      <c r="J173" s="17" t="s">
        <v>2969</v>
      </c>
      <c r="K173" s="17" t="s">
        <v>3234</v>
      </c>
      <c r="L173" s="17" t="s">
        <v>2970</v>
      </c>
      <c r="M173" s="17" t="s">
        <v>2669</v>
      </c>
      <c r="N173" s="17" t="s">
        <v>3236</v>
      </c>
      <c r="O173" s="17" t="s">
        <v>7635</v>
      </c>
      <c r="P173" s="17" t="s">
        <v>3237</v>
      </c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>
      <c r="A174" s="17" t="s">
        <v>3238</v>
      </c>
      <c r="B174" s="17" t="s">
        <v>3238</v>
      </c>
      <c r="C174" s="17" t="s">
        <v>3239</v>
      </c>
      <c r="D174" s="17" t="s">
        <v>2669</v>
      </c>
      <c r="E174" s="17" t="s">
        <v>2968</v>
      </c>
      <c r="F174" s="17" t="s">
        <v>3238</v>
      </c>
      <c r="G174" s="17" t="s">
        <v>2671</v>
      </c>
      <c r="H174" s="17" t="s">
        <v>4312</v>
      </c>
      <c r="I174" s="17" t="s">
        <v>4237</v>
      </c>
      <c r="J174" s="17" t="s">
        <v>2969</v>
      </c>
      <c r="K174" s="17" t="s">
        <v>3240</v>
      </c>
      <c r="L174" s="17" t="s">
        <v>2970</v>
      </c>
      <c r="M174" s="17" t="s">
        <v>2669</v>
      </c>
      <c r="N174" s="17" t="s">
        <v>3238</v>
      </c>
      <c r="O174" s="17" t="s">
        <v>7635</v>
      </c>
      <c r="P174" s="17" t="s">
        <v>3241</v>
      </c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>
      <c r="A175" s="17" t="s">
        <v>3242</v>
      </c>
      <c r="B175" s="17" t="s">
        <v>3242</v>
      </c>
      <c r="C175" s="17" t="s">
        <v>3239</v>
      </c>
      <c r="D175" s="17" t="s">
        <v>2669</v>
      </c>
      <c r="E175" s="17" t="s">
        <v>2968</v>
      </c>
      <c r="F175" s="17" t="s">
        <v>3242</v>
      </c>
      <c r="G175" s="17" t="s">
        <v>2671</v>
      </c>
      <c r="H175" s="17" t="s">
        <v>6835</v>
      </c>
      <c r="I175" s="17" t="s">
        <v>4237</v>
      </c>
      <c r="J175" s="17" t="s">
        <v>2969</v>
      </c>
      <c r="K175" s="17" t="s">
        <v>3240</v>
      </c>
      <c r="L175" s="17" t="s">
        <v>2970</v>
      </c>
      <c r="M175" s="17" t="s">
        <v>2669</v>
      </c>
      <c r="N175" s="17" t="s">
        <v>3242</v>
      </c>
      <c r="O175" s="17" t="s">
        <v>7635</v>
      </c>
      <c r="P175" s="17" t="s">
        <v>3243</v>
      </c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>
      <c r="A176" s="17" t="s">
        <v>3244</v>
      </c>
      <c r="B176" s="17" t="s">
        <v>3244</v>
      </c>
      <c r="C176" s="17" t="s">
        <v>3245</v>
      </c>
      <c r="D176" s="17" t="s">
        <v>2669</v>
      </c>
      <c r="E176" s="17" t="s">
        <v>2968</v>
      </c>
      <c r="F176" s="17" t="s">
        <v>3244</v>
      </c>
      <c r="G176" s="17" t="s">
        <v>2671</v>
      </c>
      <c r="H176" s="17" t="s">
        <v>4312</v>
      </c>
      <c r="I176" s="17" t="s">
        <v>4237</v>
      </c>
      <c r="J176" s="17" t="s">
        <v>2969</v>
      </c>
      <c r="K176" s="17" t="s">
        <v>3246</v>
      </c>
      <c r="L176" s="17" t="s">
        <v>2970</v>
      </c>
      <c r="M176" s="17" t="s">
        <v>2669</v>
      </c>
      <c r="N176" s="17" t="s">
        <v>3244</v>
      </c>
      <c r="O176" s="17" t="s">
        <v>7635</v>
      </c>
      <c r="P176" s="17" t="s">
        <v>3247</v>
      </c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>
      <c r="A177" s="17" t="s">
        <v>3248</v>
      </c>
      <c r="B177" s="17" t="s">
        <v>3248</v>
      </c>
      <c r="C177" s="17" t="s">
        <v>3245</v>
      </c>
      <c r="D177" s="17" t="s">
        <v>2669</v>
      </c>
      <c r="E177" s="17" t="s">
        <v>2968</v>
      </c>
      <c r="F177" s="17" t="s">
        <v>3248</v>
      </c>
      <c r="G177" s="17" t="s">
        <v>2671</v>
      </c>
      <c r="H177" s="17" t="s">
        <v>6835</v>
      </c>
      <c r="I177" s="17" t="s">
        <v>4237</v>
      </c>
      <c r="J177" s="17" t="s">
        <v>2969</v>
      </c>
      <c r="K177" s="17" t="s">
        <v>3246</v>
      </c>
      <c r="L177" s="17" t="s">
        <v>2970</v>
      </c>
      <c r="M177" s="17" t="s">
        <v>2669</v>
      </c>
      <c r="N177" s="17" t="s">
        <v>3248</v>
      </c>
      <c r="O177" s="17" t="s">
        <v>7635</v>
      </c>
      <c r="P177" s="17" t="s">
        <v>3249</v>
      </c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>
      <c r="A178" s="17" t="s">
        <v>3250</v>
      </c>
      <c r="B178" s="17" t="s">
        <v>3250</v>
      </c>
      <c r="C178" s="17" t="s">
        <v>3251</v>
      </c>
      <c r="D178" s="17" t="s">
        <v>2669</v>
      </c>
      <c r="E178" s="17" t="s">
        <v>2968</v>
      </c>
      <c r="F178" s="17" t="s">
        <v>3250</v>
      </c>
      <c r="G178" s="17" t="s">
        <v>2671</v>
      </c>
      <c r="H178" s="17" t="s">
        <v>4312</v>
      </c>
      <c r="I178" s="17" t="s">
        <v>4237</v>
      </c>
      <c r="J178" s="17" t="s">
        <v>2969</v>
      </c>
      <c r="K178" s="17" t="s">
        <v>3252</v>
      </c>
      <c r="L178" s="17" t="s">
        <v>2970</v>
      </c>
      <c r="M178" s="17" t="s">
        <v>2669</v>
      </c>
      <c r="N178" s="17" t="s">
        <v>3250</v>
      </c>
      <c r="O178" s="17" t="s">
        <v>7635</v>
      </c>
      <c r="P178" s="17" t="s">
        <v>3253</v>
      </c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>
      <c r="A179" s="17" t="s">
        <v>3254</v>
      </c>
      <c r="B179" s="17" t="s">
        <v>3254</v>
      </c>
      <c r="C179" s="17" t="s">
        <v>3251</v>
      </c>
      <c r="D179" s="17" t="s">
        <v>2669</v>
      </c>
      <c r="E179" s="17" t="s">
        <v>2968</v>
      </c>
      <c r="F179" s="17" t="s">
        <v>3254</v>
      </c>
      <c r="G179" s="17" t="s">
        <v>2671</v>
      </c>
      <c r="H179" s="17" t="s">
        <v>6835</v>
      </c>
      <c r="I179" s="17" t="s">
        <v>4237</v>
      </c>
      <c r="J179" s="17" t="s">
        <v>2969</v>
      </c>
      <c r="K179" s="17" t="s">
        <v>3252</v>
      </c>
      <c r="L179" s="17" t="s">
        <v>2970</v>
      </c>
      <c r="M179" s="17" t="s">
        <v>2669</v>
      </c>
      <c r="N179" s="17" t="s">
        <v>3254</v>
      </c>
      <c r="O179" s="17" t="s">
        <v>7635</v>
      </c>
      <c r="P179" s="17" t="s">
        <v>3255</v>
      </c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>
      <c r="A180" s="17" t="s">
        <v>3256</v>
      </c>
      <c r="B180" s="17" t="s">
        <v>3256</v>
      </c>
      <c r="C180" s="17" t="s">
        <v>3257</v>
      </c>
      <c r="D180" s="17" t="s">
        <v>2669</v>
      </c>
      <c r="E180" s="17" t="s">
        <v>3258</v>
      </c>
      <c r="F180" s="17" t="s">
        <v>3256</v>
      </c>
      <c r="G180" s="17" t="s">
        <v>2671</v>
      </c>
      <c r="H180" s="17" t="s">
        <v>4312</v>
      </c>
      <c r="I180" s="17" t="s">
        <v>4237</v>
      </c>
      <c r="J180" s="17" t="s">
        <v>3259</v>
      </c>
      <c r="K180" s="17" t="s">
        <v>2674</v>
      </c>
      <c r="L180" s="17" t="s">
        <v>3260</v>
      </c>
      <c r="M180" s="17" t="s">
        <v>2669</v>
      </c>
      <c r="N180" s="17" t="s">
        <v>3256</v>
      </c>
      <c r="O180" s="17" t="s">
        <v>7635</v>
      </c>
      <c r="P180" s="17" t="s">
        <v>3261</v>
      </c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>
      <c r="A181" s="17" t="s">
        <v>3262</v>
      </c>
      <c r="B181" s="17" t="s">
        <v>3262</v>
      </c>
      <c r="C181" s="17" t="s">
        <v>3257</v>
      </c>
      <c r="D181" s="17" t="s">
        <v>2669</v>
      </c>
      <c r="E181" s="17" t="s">
        <v>3258</v>
      </c>
      <c r="F181" s="17" t="s">
        <v>3262</v>
      </c>
      <c r="G181" s="17" t="s">
        <v>2671</v>
      </c>
      <c r="H181" s="17" t="s">
        <v>6835</v>
      </c>
      <c r="I181" s="17" t="s">
        <v>4237</v>
      </c>
      <c r="J181" s="17" t="s">
        <v>3259</v>
      </c>
      <c r="K181" s="17" t="s">
        <v>2674</v>
      </c>
      <c r="L181" s="17" t="s">
        <v>3260</v>
      </c>
      <c r="M181" s="17" t="s">
        <v>2669</v>
      </c>
      <c r="N181" s="17" t="s">
        <v>3262</v>
      </c>
      <c r="O181" s="17" t="s">
        <v>7635</v>
      </c>
      <c r="P181" s="17" t="s">
        <v>3263</v>
      </c>
      <c r="Q181" s="17" t="s">
        <v>2669</v>
      </c>
      <c r="R181" s="17" t="s">
        <v>3264</v>
      </c>
      <c r="S181" s="17" t="s">
        <v>7635</v>
      </c>
      <c r="T181" s="17" t="s">
        <v>3265</v>
      </c>
      <c r="U181" s="17"/>
      <c r="V181" s="17"/>
      <c r="W181" s="17"/>
      <c r="X181" s="17"/>
      <c r="Y181" s="17"/>
    </row>
    <row r="182" spans="1:25">
      <c r="A182" s="17" t="s">
        <v>3266</v>
      </c>
      <c r="B182" s="17" t="s">
        <v>3266</v>
      </c>
      <c r="C182" s="17" t="s">
        <v>3267</v>
      </c>
      <c r="D182" s="17" t="s">
        <v>2669</v>
      </c>
      <c r="E182" s="17" t="s">
        <v>3258</v>
      </c>
      <c r="F182" s="17" t="s">
        <v>3266</v>
      </c>
      <c r="G182" s="17" t="s">
        <v>2671</v>
      </c>
      <c r="H182" s="17" t="s">
        <v>4312</v>
      </c>
      <c r="I182" s="17" t="s">
        <v>4237</v>
      </c>
      <c r="J182" s="17" t="s">
        <v>3259</v>
      </c>
      <c r="K182" s="17" t="s">
        <v>2684</v>
      </c>
      <c r="L182" s="17" t="s">
        <v>3260</v>
      </c>
      <c r="M182" s="17" t="s">
        <v>2669</v>
      </c>
      <c r="N182" s="17" t="s">
        <v>3266</v>
      </c>
      <c r="O182" s="17" t="s">
        <v>7635</v>
      </c>
      <c r="P182" s="17" t="s">
        <v>3268</v>
      </c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>
      <c r="A183" s="17" t="s">
        <v>3269</v>
      </c>
      <c r="B183" s="17" t="s">
        <v>3269</v>
      </c>
      <c r="C183" s="17" t="s">
        <v>3267</v>
      </c>
      <c r="D183" s="17" t="s">
        <v>2669</v>
      </c>
      <c r="E183" s="17" t="s">
        <v>3258</v>
      </c>
      <c r="F183" s="17" t="s">
        <v>3269</v>
      </c>
      <c r="G183" s="17" t="s">
        <v>2671</v>
      </c>
      <c r="H183" s="17" t="s">
        <v>6835</v>
      </c>
      <c r="I183" s="17" t="s">
        <v>4237</v>
      </c>
      <c r="J183" s="17" t="s">
        <v>3259</v>
      </c>
      <c r="K183" s="17" t="s">
        <v>2684</v>
      </c>
      <c r="L183" s="17" t="s">
        <v>3260</v>
      </c>
      <c r="M183" s="17" t="s">
        <v>2669</v>
      </c>
      <c r="N183" s="17" t="s">
        <v>3269</v>
      </c>
      <c r="O183" s="17" t="s">
        <v>7635</v>
      </c>
      <c r="P183" s="17" t="s">
        <v>3270</v>
      </c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>
      <c r="A184" s="17" t="s">
        <v>3271</v>
      </c>
      <c r="B184" s="17" t="s">
        <v>3271</v>
      </c>
      <c r="C184" s="17" t="s">
        <v>3272</v>
      </c>
      <c r="D184" s="17" t="s">
        <v>2669</v>
      </c>
      <c r="E184" s="17" t="s">
        <v>3258</v>
      </c>
      <c r="F184" s="17" t="s">
        <v>3271</v>
      </c>
      <c r="G184" s="17" t="s">
        <v>2671</v>
      </c>
      <c r="H184" s="17" t="s">
        <v>4312</v>
      </c>
      <c r="I184" s="17" t="s">
        <v>4237</v>
      </c>
      <c r="J184" s="17" t="s">
        <v>3259</v>
      </c>
      <c r="K184" s="17" t="s">
        <v>2693</v>
      </c>
      <c r="L184" s="17" t="s">
        <v>3260</v>
      </c>
      <c r="M184" s="17" t="s">
        <v>2669</v>
      </c>
      <c r="N184" s="17" t="s">
        <v>3271</v>
      </c>
      <c r="O184" s="17" t="s">
        <v>7635</v>
      </c>
      <c r="P184" s="17" t="s">
        <v>3273</v>
      </c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>
      <c r="A185" s="17" t="s">
        <v>3274</v>
      </c>
      <c r="B185" s="17" t="s">
        <v>3274</v>
      </c>
      <c r="C185" s="17" t="s">
        <v>3272</v>
      </c>
      <c r="D185" s="17" t="s">
        <v>2669</v>
      </c>
      <c r="E185" s="17" t="s">
        <v>3258</v>
      </c>
      <c r="F185" s="17" t="s">
        <v>3274</v>
      </c>
      <c r="G185" s="17" t="s">
        <v>2671</v>
      </c>
      <c r="H185" s="17" t="s">
        <v>6835</v>
      </c>
      <c r="I185" s="17" t="s">
        <v>4237</v>
      </c>
      <c r="J185" s="17" t="s">
        <v>3259</v>
      </c>
      <c r="K185" s="17" t="s">
        <v>2693</v>
      </c>
      <c r="L185" s="17" t="s">
        <v>3260</v>
      </c>
      <c r="M185" s="17" t="s">
        <v>2669</v>
      </c>
      <c r="N185" s="17" t="s">
        <v>3274</v>
      </c>
      <c r="O185" s="17" t="s">
        <v>7635</v>
      </c>
      <c r="P185" s="17" t="s">
        <v>3275</v>
      </c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>
      <c r="A186" s="17" t="s">
        <v>3276</v>
      </c>
      <c r="B186" s="17" t="s">
        <v>3276</v>
      </c>
      <c r="C186" s="17" t="s">
        <v>3277</v>
      </c>
      <c r="D186" s="17" t="s">
        <v>2669</v>
      </c>
      <c r="E186" s="17" t="s">
        <v>3258</v>
      </c>
      <c r="F186" s="17" t="s">
        <v>3276</v>
      </c>
      <c r="G186" s="17" t="s">
        <v>2671</v>
      </c>
      <c r="H186" s="17" t="s">
        <v>4312</v>
      </c>
      <c r="I186" s="17" t="s">
        <v>4237</v>
      </c>
      <c r="J186" s="17" t="s">
        <v>3259</v>
      </c>
      <c r="K186" s="17" t="s">
        <v>2699</v>
      </c>
      <c r="L186" s="17" t="s">
        <v>3260</v>
      </c>
      <c r="M186" s="17" t="s">
        <v>2669</v>
      </c>
      <c r="N186" s="17" t="s">
        <v>3276</v>
      </c>
      <c r="O186" s="17" t="s">
        <v>7635</v>
      </c>
      <c r="P186" s="17" t="s">
        <v>3278</v>
      </c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>
      <c r="A187" s="17" t="s">
        <v>3279</v>
      </c>
      <c r="B187" s="17" t="s">
        <v>3279</v>
      </c>
      <c r="C187" s="17" t="s">
        <v>3277</v>
      </c>
      <c r="D187" s="17" t="s">
        <v>2669</v>
      </c>
      <c r="E187" s="17" t="s">
        <v>3258</v>
      </c>
      <c r="F187" s="17" t="s">
        <v>3279</v>
      </c>
      <c r="G187" s="17" t="s">
        <v>2671</v>
      </c>
      <c r="H187" s="17" t="s">
        <v>6835</v>
      </c>
      <c r="I187" s="17" t="s">
        <v>4237</v>
      </c>
      <c r="J187" s="17" t="s">
        <v>3259</v>
      </c>
      <c r="K187" s="17" t="s">
        <v>2699</v>
      </c>
      <c r="L187" s="17" t="s">
        <v>3260</v>
      </c>
      <c r="M187" s="17" t="s">
        <v>2669</v>
      </c>
      <c r="N187" s="17" t="s">
        <v>3279</v>
      </c>
      <c r="O187" s="17" t="s">
        <v>7635</v>
      </c>
      <c r="P187" s="17" t="s">
        <v>3280</v>
      </c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>
      <c r="A188" s="17" t="s">
        <v>3281</v>
      </c>
      <c r="B188" s="17" t="s">
        <v>3281</v>
      </c>
      <c r="C188" s="17" t="s">
        <v>3282</v>
      </c>
      <c r="D188" s="17" t="s">
        <v>2669</v>
      </c>
      <c r="E188" s="17" t="s">
        <v>3258</v>
      </c>
      <c r="F188" s="17" t="s">
        <v>3281</v>
      </c>
      <c r="G188" s="17" t="s">
        <v>2671</v>
      </c>
      <c r="H188" s="17" t="s">
        <v>4312</v>
      </c>
      <c r="I188" s="17" t="s">
        <v>4237</v>
      </c>
      <c r="J188" s="17" t="s">
        <v>3259</v>
      </c>
      <c r="K188" s="17" t="s">
        <v>2703</v>
      </c>
      <c r="L188" s="17" t="s">
        <v>3260</v>
      </c>
      <c r="M188" s="17" t="s">
        <v>2669</v>
      </c>
      <c r="N188" s="17" t="s">
        <v>3281</v>
      </c>
      <c r="O188" s="17" t="s">
        <v>7635</v>
      </c>
      <c r="P188" s="17" t="s">
        <v>3283</v>
      </c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>
      <c r="A189" s="17" t="s">
        <v>3284</v>
      </c>
      <c r="B189" s="17" t="s">
        <v>3284</v>
      </c>
      <c r="C189" s="17" t="s">
        <v>3282</v>
      </c>
      <c r="D189" s="17" t="s">
        <v>2669</v>
      </c>
      <c r="E189" s="17" t="s">
        <v>3258</v>
      </c>
      <c r="F189" s="17" t="s">
        <v>3284</v>
      </c>
      <c r="G189" s="17" t="s">
        <v>2671</v>
      </c>
      <c r="H189" s="17" t="s">
        <v>6835</v>
      </c>
      <c r="I189" s="17" t="s">
        <v>4237</v>
      </c>
      <c r="J189" s="17" t="s">
        <v>3259</v>
      </c>
      <c r="K189" s="17" t="s">
        <v>2703</v>
      </c>
      <c r="L189" s="17" t="s">
        <v>3260</v>
      </c>
      <c r="M189" s="17" t="s">
        <v>2669</v>
      </c>
      <c r="N189" s="17" t="s">
        <v>3284</v>
      </c>
      <c r="O189" s="17" t="s">
        <v>7635</v>
      </c>
      <c r="P189" s="17" t="s">
        <v>3285</v>
      </c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>
      <c r="A190" s="17" t="s">
        <v>3286</v>
      </c>
      <c r="B190" s="17" t="s">
        <v>3286</v>
      </c>
      <c r="C190" s="17" t="s">
        <v>3287</v>
      </c>
      <c r="D190" s="17" t="s">
        <v>2669</v>
      </c>
      <c r="E190" s="17" t="s">
        <v>3258</v>
      </c>
      <c r="F190" s="17" t="s">
        <v>3286</v>
      </c>
      <c r="G190" s="17" t="s">
        <v>2671</v>
      </c>
      <c r="H190" s="17" t="s">
        <v>4312</v>
      </c>
      <c r="I190" s="17" t="s">
        <v>4237</v>
      </c>
      <c r="J190" s="17" t="s">
        <v>3259</v>
      </c>
      <c r="K190" s="17" t="s">
        <v>2707</v>
      </c>
      <c r="L190" s="17" t="s">
        <v>3260</v>
      </c>
      <c r="M190" s="17" t="s">
        <v>2669</v>
      </c>
      <c r="N190" s="17" t="s">
        <v>3286</v>
      </c>
      <c r="O190" s="17" t="s">
        <v>7635</v>
      </c>
      <c r="P190" s="17" t="s">
        <v>3288</v>
      </c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>
      <c r="A191" s="17" t="s">
        <v>3289</v>
      </c>
      <c r="B191" s="17" t="s">
        <v>3289</v>
      </c>
      <c r="C191" s="17" t="s">
        <v>3287</v>
      </c>
      <c r="D191" s="17" t="s">
        <v>2669</v>
      </c>
      <c r="E191" s="17" t="s">
        <v>3258</v>
      </c>
      <c r="F191" s="17" t="s">
        <v>3289</v>
      </c>
      <c r="G191" s="17" t="s">
        <v>2671</v>
      </c>
      <c r="H191" s="17" t="s">
        <v>6835</v>
      </c>
      <c r="I191" s="17" t="s">
        <v>4237</v>
      </c>
      <c r="J191" s="17" t="s">
        <v>3259</v>
      </c>
      <c r="K191" s="17" t="s">
        <v>2707</v>
      </c>
      <c r="L191" s="17" t="s">
        <v>3260</v>
      </c>
      <c r="M191" s="17" t="s">
        <v>2669</v>
      </c>
      <c r="N191" s="17" t="s">
        <v>3289</v>
      </c>
      <c r="O191" s="17" t="s">
        <v>7635</v>
      </c>
      <c r="P191" s="17" t="s">
        <v>3290</v>
      </c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>
      <c r="A192" s="17" t="s">
        <v>3291</v>
      </c>
      <c r="B192" s="17" t="s">
        <v>3291</v>
      </c>
      <c r="C192" s="17" t="s">
        <v>3292</v>
      </c>
      <c r="D192" s="17" t="s">
        <v>2669</v>
      </c>
      <c r="E192" s="17" t="s">
        <v>3258</v>
      </c>
      <c r="F192" s="17" t="s">
        <v>3291</v>
      </c>
      <c r="G192" s="17" t="s">
        <v>2671</v>
      </c>
      <c r="H192" s="17" t="s">
        <v>4312</v>
      </c>
      <c r="I192" s="17" t="s">
        <v>4237</v>
      </c>
      <c r="J192" s="17" t="s">
        <v>3259</v>
      </c>
      <c r="K192" s="17" t="s">
        <v>2713</v>
      </c>
      <c r="L192" s="17" t="s">
        <v>3260</v>
      </c>
      <c r="M192" s="17" t="s">
        <v>2669</v>
      </c>
      <c r="N192" s="17" t="s">
        <v>3291</v>
      </c>
      <c r="O192" s="17" t="s">
        <v>7635</v>
      </c>
      <c r="P192" s="17" t="s">
        <v>3293</v>
      </c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>
      <c r="A193" s="17" t="s">
        <v>3294</v>
      </c>
      <c r="B193" s="17" t="s">
        <v>3294</v>
      </c>
      <c r="C193" s="17" t="s">
        <v>3292</v>
      </c>
      <c r="D193" s="17" t="s">
        <v>2669</v>
      </c>
      <c r="E193" s="17" t="s">
        <v>3258</v>
      </c>
      <c r="F193" s="17" t="s">
        <v>3294</v>
      </c>
      <c r="G193" s="17" t="s">
        <v>2671</v>
      </c>
      <c r="H193" s="17" t="s">
        <v>6835</v>
      </c>
      <c r="I193" s="17" t="s">
        <v>4237</v>
      </c>
      <c r="J193" s="17" t="s">
        <v>3259</v>
      </c>
      <c r="K193" s="17" t="s">
        <v>2713</v>
      </c>
      <c r="L193" s="17" t="s">
        <v>3260</v>
      </c>
      <c r="M193" s="17" t="s">
        <v>2669</v>
      </c>
      <c r="N193" s="17" t="s">
        <v>3294</v>
      </c>
      <c r="O193" s="17" t="s">
        <v>7635</v>
      </c>
      <c r="P193" s="17" t="s">
        <v>3295</v>
      </c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>
      <c r="A194" s="17" t="s">
        <v>3296</v>
      </c>
      <c r="B194" s="17" t="s">
        <v>3296</v>
      </c>
      <c r="C194" s="17" t="s">
        <v>3297</v>
      </c>
      <c r="D194" s="17" t="s">
        <v>2669</v>
      </c>
      <c r="E194" s="17" t="s">
        <v>3258</v>
      </c>
      <c r="F194" s="17" t="s">
        <v>3296</v>
      </c>
      <c r="G194" s="17" t="s">
        <v>2671</v>
      </c>
      <c r="H194" s="17" t="s">
        <v>4312</v>
      </c>
      <c r="I194" s="17" t="s">
        <v>4237</v>
      </c>
      <c r="J194" s="17" t="s">
        <v>3259</v>
      </c>
      <c r="K194" s="17" t="s">
        <v>2720</v>
      </c>
      <c r="L194" s="17" t="s">
        <v>3260</v>
      </c>
      <c r="M194" s="17" t="s">
        <v>2669</v>
      </c>
      <c r="N194" s="17" t="s">
        <v>3296</v>
      </c>
      <c r="O194" s="17" t="s">
        <v>7635</v>
      </c>
      <c r="P194" s="17" t="s">
        <v>3298</v>
      </c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>
      <c r="A195" s="17" t="s">
        <v>3299</v>
      </c>
      <c r="B195" s="17" t="s">
        <v>3299</v>
      </c>
      <c r="C195" s="17" t="s">
        <v>3297</v>
      </c>
      <c r="D195" s="17" t="s">
        <v>2669</v>
      </c>
      <c r="E195" s="17" t="s">
        <v>3258</v>
      </c>
      <c r="F195" s="17" t="s">
        <v>3299</v>
      </c>
      <c r="G195" s="17" t="s">
        <v>2671</v>
      </c>
      <c r="H195" s="17" t="s">
        <v>6835</v>
      </c>
      <c r="I195" s="17" t="s">
        <v>4237</v>
      </c>
      <c r="J195" s="17" t="s">
        <v>3259</v>
      </c>
      <c r="K195" s="17" t="s">
        <v>2720</v>
      </c>
      <c r="L195" s="17" t="s">
        <v>3260</v>
      </c>
      <c r="M195" s="17" t="s">
        <v>2669</v>
      </c>
      <c r="N195" s="17" t="s">
        <v>3299</v>
      </c>
      <c r="O195" s="17" t="s">
        <v>7635</v>
      </c>
      <c r="P195" s="17" t="s">
        <v>3300</v>
      </c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>
      <c r="A196" s="17" t="s">
        <v>3301</v>
      </c>
      <c r="B196" s="17" t="s">
        <v>3301</v>
      </c>
      <c r="C196" s="17" t="s">
        <v>3302</v>
      </c>
      <c r="D196" s="17" t="s">
        <v>2669</v>
      </c>
      <c r="E196" s="17" t="s">
        <v>3258</v>
      </c>
      <c r="F196" s="17" t="s">
        <v>3301</v>
      </c>
      <c r="G196" s="17" t="s">
        <v>2671</v>
      </c>
      <c r="H196" s="17" t="s">
        <v>4312</v>
      </c>
      <c r="I196" s="17" t="s">
        <v>4237</v>
      </c>
      <c r="J196" s="17" t="s">
        <v>3259</v>
      </c>
      <c r="K196" s="17" t="s">
        <v>2729</v>
      </c>
      <c r="L196" s="17" t="s">
        <v>3260</v>
      </c>
      <c r="M196" s="17" t="s">
        <v>2669</v>
      </c>
      <c r="N196" s="17" t="s">
        <v>3301</v>
      </c>
      <c r="O196" s="17" t="s">
        <v>7635</v>
      </c>
      <c r="P196" s="17" t="s">
        <v>3303</v>
      </c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>
      <c r="A197" s="17" t="s">
        <v>3304</v>
      </c>
      <c r="B197" s="17" t="s">
        <v>3304</v>
      </c>
      <c r="C197" s="17" t="s">
        <v>3302</v>
      </c>
      <c r="D197" s="17" t="s">
        <v>2669</v>
      </c>
      <c r="E197" s="17" t="s">
        <v>3258</v>
      </c>
      <c r="F197" s="17" t="s">
        <v>3304</v>
      </c>
      <c r="G197" s="17" t="s">
        <v>2671</v>
      </c>
      <c r="H197" s="17" t="s">
        <v>6835</v>
      </c>
      <c r="I197" s="17" t="s">
        <v>4237</v>
      </c>
      <c r="J197" s="17" t="s">
        <v>3259</v>
      </c>
      <c r="K197" s="17" t="s">
        <v>2729</v>
      </c>
      <c r="L197" s="17" t="s">
        <v>3260</v>
      </c>
      <c r="M197" s="17" t="s">
        <v>2669</v>
      </c>
      <c r="N197" s="17" t="s">
        <v>3304</v>
      </c>
      <c r="O197" s="17" t="s">
        <v>7635</v>
      </c>
      <c r="P197" s="17" t="s">
        <v>3305</v>
      </c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>
      <c r="A198" s="17" t="s">
        <v>3306</v>
      </c>
      <c r="B198" s="17" t="s">
        <v>3306</v>
      </c>
      <c r="C198" s="17" t="s">
        <v>3307</v>
      </c>
      <c r="D198" s="17" t="s">
        <v>2669</v>
      </c>
      <c r="E198" s="17" t="s">
        <v>3258</v>
      </c>
      <c r="F198" s="17" t="s">
        <v>3306</v>
      </c>
      <c r="G198" s="17" t="s">
        <v>2671</v>
      </c>
      <c r="H198" s="17" t="s">
        <v>4312</v>
      </c>
      <c r="I198" s="17" t="s">
        <v>4237</v>
      </c>
      <c r="J198" s="17" t="s">
        <v>3259</v>
      </c>
      <c r="K198" s="17" t="s">
        <v>2738</v>
      </c>
      <c r="L198" s="17" t="s">
        <v>3260</v>
      </c>
      <c r="M198" s="17" t="s">
        <v>2669</v>
      </c>
      <c r="N198" s="17" t="s">
        <v>3306</v>
      </c>
      <c r="O198" s="17" t="s">
        <v>7635</v>
      </c>
      <c r="P198" s="17" t="s">
        <v>3308</v>
      </c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>
      <c r="A199" s="17" t="s">
        <v>3309</v>
      </c>
      <c r="B199" s="17" t="s">
        <v>3309</v>
      </c>
      <c r="C199" s="17" t="s">
        <v>3307</v>
      </c>
      <c r="D199" s="17" t="s">
        <v>2669</v>
      </c>
      <c r="E199" s="17" t="s">
        <v>3258</v>
      </c>
      <c r="F199" s="17" t="s">
        <v>3309</v>
      </c>
      <c r="G199" s="17" t="s">
        <v>2671</v>
      </c>
      <c r="H199" s="17" t="s">
        <v>6835</v>
      </c>
      <c r="I199" s="17" t="s">
        <v>4237</v>
      </c>
      <c r="J199" s="17" t="s">
        <v>3259</v>
      </c>
      <c r="K199" s="17" t="s">
        <v>2738</v>
      </c>
      <c r="L199" s="17" t="s">
        <v>3260</v>
      </c>
      <c r="M199" s="17" t="s">
        <v>2669</v>
      </c>
      <c r="N199" s="17" t="s">
        <v>3309</v>
      </c>
      <c r="O199" s="17" t="s">
        <v>7635</v>
      </c>
      <c r="P199" s="17" t="s">
        <v>3310</v>
      </c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>
      <c r="A200" s="17" t="s">
        <v>3311</v>
      </c>
      <c r="B200" s="17" t="s">
        <v>3311</v>
      </c>
      <c r="C200" s="17" t="s">
        <v>3312</v>
      </c>
      <c r="D200" s="17" t="s">
        <v>2669</v>
      </c>
      <c r="E200" s="17" t="s">
        <v>3258</v>
      </c>
      <c r="F200" s="17" t="s">
        <v>3311</v>
      </c>
      <c r="G200" s="17" t="s">
        <v>2671</v>
      </c>
      <c r="H200" s="17" t="s">
        <v>4312</v>
      </c>
      <c r="I200" s="17" t="s">
        <v>4237</v>
      </c>
      <c r="J200" s="17" t="s">
        <v>3259</v>
      </c>
      <c r="K200" s="17" t="s">
        <v>2742</v>
      </c>
      <c r="L200" s="17" t="s">
        <v>3260</v>
      </c>
      <c r="M200" s="17" t="s">
        <v>2669</v>
      </c>
      <c r="N200" s="17" t="s">
        <v>3311</v>
      </c>
      <c r="O200" s="17" t="s">
        <v>7635</v>
      </c>
      <c r="P200" s="17" t="s">
        <v>3313</v>
      </c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>
      <c r="A201" s="17" t="s">
        <v>3314</v>
      </c>
      <c r="B201" s="17" t="s">
        <v>3314</v>
      </c>
      <c r="C201" s="17" t="s">
        <v>3312</v>
      </c>
      <c r="D201" s="17" t="s">
        <v>2669</v>
      </c>
      <c r="E201" s="17" t="s">
        <v>3258</v>
      </c>
      <c r="F201" s="17" t="s">
        <v>3314</v>
      </c>
      <c r="G201" s="17" t="s">
        <v>2671</v>
      </c>
      <c r="H201" s="17" t="s">
        <v>6835</v>
      </c>
      <c r="I201" s="17" t="s">
        <v>4237</v>
      </c>
      <c r="J201" s="17" t="s">
        <v>3259</v>
      </c>
      <c r="K201" s="17" t="s">
        <v>2742</v>
      </c>
      <c r="L201" s="17" t="s">
        <v>3260</v>
      </c>
      <c r="M201" s="17" t="s">
        <v>2669</v>
      </c>
      <c r="N201" s="17" t="s">
        <v>3314</v>
      </c>
      <c r="O201" s="17" t="s">
        <v>7635</v>
      </c>
      <c r="P201" s="17" t="s">
        <v>3315</v>
      </c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>
      <c r="A202" s="17" t="s">
        <v>3316</v>
      </c>
      <c r="B202" s="17" t="s">
        <v>3316</v>
      </c>
      <c r="C202" s="17" t="s">
        <v>3317</v>
      </c>
      <c r="D202" s="17" t="s">
        <v>2669</v>
      </c>
      <c r="E202" s="17" t="s">
        <v>3258</v>
      </c>
      <c r="F202" s="17" t="s">
        <v>3316</v>
      </c>
      <c r="G202" s="17" t="s">
        <v>2671</v>
      </c>
      <c r="H202" s="17" t="s">
        <v>4312</v>
      </c>
      <c r="I202" s="17" t="s">
        <v>4237</v>
      </c>
      <c r="J202" s="17" t="s">
        <v>3259</v>
      </c>
      <c r="K202" s="17" t="s">
        <v>2751</v>
      </c>
      <c r="L202" s="17" t="s">
        <v>3260</v>
      </c>
      <c r="M202" s="17" t="s">
        <v>2669</v>
      </c>
      <c r="N202" s="17" t="s">
        <v>3316</v>
      </c>
      <c r="O202" s="17" t="s">
        <v>7635</v>
      </c>
      <c r="P202" s="17" t="s">
        <v>3318</v>
      </c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>
      <c r="A203" s="17" t="s">
        <v>3319</v>
      </c>
      <c r="B203" s="17" t="s">
        <v>3319</v>
      </c>
      <c r="C203" s="17" t="s">
        <v>3317</v>
      </c>
      <c r="D203" s="17" t="s">
        <v>2669</v>
      </c>
      <c r="E203" s="17" t="s">
        <v>3258</v>
      </c>
      <c r="F203" s="17" t="s">
        <v>3319</v>
      </c>
      <c r="G203" s="17" t="s">
        <v>2671</v>
      </c>
      <c r="H203" s="17" t="s">
        <v>6835</v>
      </c>
      <c r="I203" s="17" t="s">
        <v>4237</v>
      </c>
      <c r="J203" s="17" t="s">
        <v>3259</v>
      </c>
      <c r="K203" s="17" t="s">
        <v>2751</v>
      </c>
      <c r="L203" s="17" t="s">
        <v>3260</v>
      </c>
      <c r="M203" s="17" t="s">
        <v>2669</v>
      </c>
      <c r="N203" s="17" t="s">
        <v>3319</v>
      </c>
      <c r="O203" s="17" t="s">
        <v>7635</v>
      </c>
      <c r="P203" s="17" t="s">
        <v>3320</v>
      </c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>
      <c r="A204" s="17" t="s">
        <v>3321</v>
      </c>
      <c r="B204" s="17" t="s">
        <v>3321</v>
      </c>
      <c r="C204" s="17" t="s">
        <v>3322</v>
      </c>
      <c r="D204" s="17" t="s">
        <v>2669</v>
      </c>
      <c r="E204" s="17" t="s">
        <v>3258</v>
      </c>
      <c r="F204" s="17" t="s">
        <v>3321</v>
      </c>
      <c r="G204" s="17" t="s">
        <v>2671</v>
      </c>
      <c r="H204" s="17" t="s">
        <v>4312</v>
      </c>
      <c r="I204" s="17" t="s">
        <v>4237</v>
      </c>
      <c r="J204" s="17" t="s">
        <v>3259</v>
      </c>
      <c r="K204" s="17" t="s">
        <v>2760</v>
      </c>
      <c r="L204" s="17" t="s">
        <v>3260</v>
      </c>
      <c r="M204" s="17" t="s">
        <v>2669</v>
      </c>
      <c r="N204" s="17" t="s">
        <v>3321</v>
      </c>
      <c r="O204" s="17" t="s">
        <v>7635</v>
      </c>
      <c r="P204" s="17" t="s">
        <v>3323</v>
      </c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>
      <c r="A205" s="17" t="s">
        <v>3324</v>
      </c>
      <c r="B205" s="17" t="s">
        <v>3324</v>
      </c>
      <c r="C205" s="17" t="s">
        <v>3322</v>
      </c>
      <c r="D205" s="17" t="s">
        <v>2669</v>
      </c>
      <c r="E205" s="17" t="s">
        <v>3258</v>
      </c>
      <c r="F205" s="17" t="s">
        <v>3324</v>
      </c>
      <c r="G205" s="17" t="s">
        <v>2671</v>
      </c>
      <c r="H205" s="17" t="s">
        <v>6835</v>
      </c>
      <c r="I205" s="17" t="s">
        <v>4237</v>
      </c>
      <c r="J205" s="17" t="s">
        <v>3259</v>
      </c>
      <c r="K205" s="17" t="s">
        <v>2760</v>
      </c>
      <c r="L205" s="17" t="s">
        <v>3260</v>
      </c>
      <c r="M205" s="17" t="s">
        <v>2669</v>
      </c>
      <c r="N205" s="17" t="s">
        <v>3324</v>
      </c>
      <c r="O205" s="17" t="s">
        <v>7635</v>
      </c>
      <c r="P205" s="17" t="s">
        <v>3325</v>
      </c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>
      <c r="A206" s="17" t="s">
        <v>3326</v>
      </c>
      <c r="B206" s="17" t="s">
        <v>3326</v>
      </c>
      <c r="C206" s="17" t="s">
        <v>3327</v>
      </c>
      <c r="D206" s="17" t="s">
        <v>2669</v>
      </c>
      <c r="E206" s="17" t="s">
        <v>3258</v>
      </c>
      <c r="F206" s="17" t="s">
        <v>3326</v>
      </c>
      <c r="G206" s="17" t="s">
        <v>2671</v>
      </c>
      <c r="H206" s="17" t="s">
        <v>4312</v>
      </c>
      <c r="I206" s="17" t="s">
        <v>4237</v>
      </c>
      <c r="J206" s="17" t="s">
        <v>3259</v>
      </c>
      <c r="K206" s="17" t="s">
        <v>2769</v>
      </c>
      <c r="L206" s="17" t="s">
        <v>3260</v>
      </c>
      <c r="M206" s="17" t="s">
        <v>2669</v>
      </c>
      <c r="N206" s="17" t="s">
        <v>3326</v>
      </c>
      <c r="O206" s="17" t="s">
        <v>7635</v>
      </c>
      <c r="P206" s="17" t="s">
        <v>3328</v>
      </c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>
      <c r="A207" s="17" t="s">
        <v>3329</v>
      </c>
      <c r="B207" s="17" t="s">
        <v>3329</v>
      </c>
      <c r="C207" s="17" t="s">
        <v>3327</v>
      </c>
      <c r="D207" s="17" t="s">
        <v>2669</v>
      </c>
      <c r="E207" s="17" t="s">
        <v>3258</v>
      </c>
      <c r="F207" s="17" t="s">
        <v>3329</v>
      </c>
      <c r="G207" s="17" t="s">
        <v>2671</v>
      </c>
      <c r="H207" s="17" t="s">
        <v>6835</v>
      </c>
      <c r="I207" s="17" t="s">
        <v>4237</v>
      </c>
      <c r="J207" s="17" t="s">
        <v>3259</v>
      </c>
      <c r="K207" s="17" t="s">
        <v>2769</v>
      </c>
      <c r="L207" s="17" t="s">
        <v>3260</v>
      </c>
      <c r="M207" s="17" t="s">
        <v>2669</v>
      </c>
      <c r="N207" s="17" t="s">
        <v>3329</v>
      </c>
      <c r="O207" s="17" t="s">
        <v>7635</v>
      </c>
      <c r="P207" s="17" t="s">
        <v>3330</v>
      </c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>
      <c r="A208" s="17" t="s">
        <v>3331</v>
      </c>
      <c r="B208" s="17" t="s">
        <v>3331</v>
      </c>
      <c r="C208" s="17" t="s">
        <v>3332</v>
      </c>
      <c r="D208" s="17" t="s">
        <v>2669</v>
      </c>
      <c r="E208" s="17" t="s">
        <v>3258</v>
      </c>
      <c r="F208" s="17" t="s">
        <v>3331</v>
      </c>
      <c r="G208" s="17" t="s">
        <v>2671</v>
      </c>
      <c r="H208" s="17" t="s">
        <v>4312</v>
      </c>
      <c r="I208" s="17" t="s">
        <v>4237</v>
      </c>
      <c r="J208" s="17" t="s">
        <v>3259</v>
      </c>
      <c r="K208" s="17" t="s">
        <v>2778</v>
      </c>
      <c r="L208" s="17" t="s">
        <v>3260</v>
      </c>
      <c r="M208" s="17" t="s">
        <v>2669</v>
      </c>
      <c r="N208" s="17" t="s">
        <v>3331</v>
      </c>
      <c r="O208" s="17" t="s">
        <v>7635</v>
      </c>
      <c r="P208" s="17" t="s">
        <v>3333</v>
      </c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>
      <c r="A209" s="17" t="s">
        <v>3334</v>
      </c>
      <c r="B209" s="17" t="s">
        <v>3334</v>
      </c>
      <c r="C209" s="17" t="s">
        <v>3332</v>
      </c>
      <c r="D209" s="17" t="s">
        <v>2669</v>
      </c>
      <c r="E209" s="17" t="s">
        <v>3258</v>
      </c>
      <c r="F209" s="17" t="s">
        <v>3334</v>
      </c>
      <c r="G209" s="17" t="s">
        <v>2671</v>
      </c>
      <c r="H209" s="17" t="s">
        <v>6835</v>
      </c>
      <c r="I209" s="17" t="s">
        <v>4237</v>
      </c>
      <c r="J209" s="17" t="s">
        <v>3259</v>
      </c>
      <c r="K209" s="17" t="s">
        <v>2778</v>
      </c>
      <c r="L209" s="17" t="s">
        <v>3260</v>
      </c>
      <c r="M209" s="17" t="s">
        <v>2669</v>
      </c>
      <c r="N209" s="17" t="s">
        <v>3334</v>
      </c>
      <c r="O209" s="17" t="s">
        <v>7635</v>
      </c>
      <c r="P209" s="17" t="s">
        <v>3335</v>
      </c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>
      <c r="A210" s="17" t="s">
        <v>3336</v>
      </c>
      <c r="B210" s="17" t="s">
        <v>3336</v>
      </c>
      <c r="C210" s="17" t="s">
        <v>3337</v>
      </c>
      <c r="D210" s="17" t="s">
        <v>2669</v>
      </c>
      <c r="E210" s="17" t="s">
        <v>3258</v>
      </c>
      <c r="F210" s="17" t="s">
        <v>3336</v>
      </c>
      <c r="G210" s="17" t="s">
        <v>2671</v>
      </c>
      <c r="H210" s="17" t="s">
        <v>4312</v>
      </c>
      <c r="I210" s="17" t="s">
        <v>4237</v>
      </c>
      <c r="J210" s="17" t="s">
        <v>3259</v>
      </c>
      <c r="K210" s="17" t="s">
        <v>2787</v>
      </c>
      <c r="L210" s="17" t="s">
        <v>3260</v>
      </c>
      <c r="M210" s="17" t="s">
        <v>2669</v>
      </c>
      <c r="N210" s="17" t="s">
        <v>3336</v>
      </c>
      <c r="O210" s="17" t="s">
        <v>7635</v>
      </c>
      <c r="P210" s="17" t="s">
        <v>3338</v>
      </c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>
      <c r="A211" s="17" t="s">
        <v>3339</v>
      </c>
      <c r="B211" s="17" t="s">
        <v>3339</v>
      </c>
      <c r="C211" s="17" t="s">
        <v>3337</v>
      </c>
      <c r="D211" s="17" t="s">
        <v>2669</v>
      </c>
      <c r="E211" s="17" t="s">
        <v>3258</v>
      </c>
      <c r="F211" s="17" t="s">
        <v>3339</v>
      </c>
      <c r="G211" s="17" t="s">
        <v>2671</v>
      </c>
      <c r="H211" s="17" t="s">
        <v>6835</v>
      </c>
      <c r="I211" s="17" t="s">
        <v>4237</v>
      </c>
      <c r="J211" s="17" t="s">
        <v>3259</v>
      </c>
      <c r="K211" s="17" t="s">
        <v>2787</v>
      </c>
      <c r="L211" s="17" t="s">
        <v>3260</v>
      </c>
      <c r="M211" s="17" t="s">
        <v>2669</v>
      </c>
      <c r="N211" s="17" t="s">
        <v>3339</v>
      </c>
      <c r="O211" s="17" t="s">
        <v>7635</v>
      </c>
      <c r="P211" s="17" t="s">
        <v>3340</v>
      </c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>
      <c r="A212" s="17" t="s">
        <v>3341</v>
      </c>
      <c r="B212" s="17" t="s">
        <v>3341</v>
      </c>
      <c r="C212" s="17" t="s">
        <v>3342</v>
      </c>
      <c r="D212" s="17" t="s">
        <v>2669</v>
      </c>
      <c r="E212" s="17" t="s">
        <v>3258</v>
      </c>
      <c r="F212" s="17" t="s">
        <v>3341</v>
      </c>
      <c r="G212" s="17" t="s">
        <v>2671</v>
      </c>
      <c r="H212" s="17" t="s">
        <v>4312</v>
      </c>
      <c r="I212" s="17" t="s">
        <v>4237</v>
      </c>
      <c r="J212" s="17" t="s">
        <v>3259</v>
      </c>
      <c r="K212" s="17" t="s">
        <v>2791</v>
      </c>
      <c r="L212" s="17" t="s">
        <v>3260</v>
      </c>
      <c r="M212" s="17" t="s">
        <v>2669</v>
      </c>
      <c r="N212" s="17" t="s">
        <v>3341</v>
      </c>
      <c r="O212" s="17" t="s">
        <v>7635</v>
      </c>
      <c r="P212" s="17" t="s">
        <v>3343</v>
      </c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>
      <c r="A213" s="17" t="s">
        <v>3344</v>
      </c>
      <c r="B213" s="17" t="s">
        <v>3344</v>
      </c>
      <c r="C213" s="17" t="s">
        <v>3342</v>
      </c>
      <c r="D213" s="17" t="s">
        <v>2669</v>
      </c>
      <c r="E213" s="17" t="s">
        <v>3258</v>
      </c>
      <c r="F213" s="17" t="s">
        <v>3344</v>
      </c>
      <c r="G213" s="17" t="s">
        <v>2671</v>
      </c>
      <c r="H213" s="17" t="s">
        <v>6835</v>
      </c>
      <c r="I213" s="17" t="s">
        <v>4237</v>
      </c>
      <c r="J213" s="17" t="s">
        <v>3259</v>
      </c>
      <c r="K213" s="17" t="s">
        <v>2791</v>
      </c>
      <c r="L213" s="17" t="s">
        <v>3260</v>
      </c>
      <c r="M213" s="17" t="s">
        <v>2669</v>
      </c>
      <c r="N213" s="17" t="s">
        <v>3344</v>
      </c>
      <c r="O213" s="17" t="s">
        <v>7635</v>
      </c>
      <c r="P213" s="17" t="s">
        <v>3345</v>
      </c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>
      <c r="A214" s="17" t="s">
        <v>3346</v>
      </c>
      <c r="B214" s="17" t="s">
        <v>3346</v>
      </c>
      <c r="C214" s="17" t="s">
        <v>3347</v>
      </c>
      <c r="D214" s="17" t="s">
        <v>2669</v>
      </c>
      <c r="E214" s="17" t="s">
        <v>3258</v>
      </c>
      <c r="F214" s="17" t="s">
        <v>3346</v>
      </c>
      <c r="G214" s="17" t="s">
        <v>2671</v>
      </c>
      <c r="H214" s="17" t="s">
        <v>4312</v>
      </c>
      <c r="I214" s="17" t="s">
        <v>4237</v>
      </c>
      <c r="J214" s="17" t="s">
        <v>3259</v>
      </c>
      <c r="K214" s="17" t="s">
        <v>2800</v>
      </c>
      <c r="L214" s="17" t="s">
        <v>3260</v>
      </c>
      <c r="M214" s="17" t="s">
        <v>2669</v>
      </c>
      <c r="N214" s="17" t="s">
        <v>3346</v>
      </c>
      <c r="O214" s="17" t="s">
        <v>7635</v>
      </c>
      <c r="P214" s="17" t="s">
        <v>3348</v>
      </c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>
      <c r="A215" s="17" t="s">
        <v>3349</v>
      </c>
      <c r="B215" s="17" t="s">
        <v>3349</v>
      </c>
      <c r="C215" s="17" t="s">
        <v>3347</v>
      </c>
      <c r="D215" s="17" t="s">
        <v>2669</v>
      </c>
      <c r="E215" s="17" t="s">
        <v>3258</v>
      </c>
      <c r="F215" s="17" t="s">
        <v>3349</v>
      </c>
      <c r="G215" s="17" t="s">
        <v>2671</v>
      </c>
      <c r="H215" s="17" t="s">
        <v>6835</v>
      </c>
      <c r="I215" s="17" t="s">
        <v>4237</v>
      </c>
      <c r="J215" s="17" t="s">
        <v>3259</v>
      </c>
      <c r="K215" s="17" t="s">
        <v>2800</v>
      </c>
      <c r="L215" s="17" t="s">
        <v>3260</v>
      </c>
      <c r="M215" s="17" t="s">
        <v>2669</v>
      </c>
      <c r="N215" s="17" t="s">
        <v>3349</v>
      </c>
      <c r="O215" s="17" t="s">
        <v>7635</v>
      </c>
      <c r="P215" s="17" t="s">
        <v>3350</v>
      </c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>
      <c r="A216" s="17" t="s">
        <v>3351</v>
      </c>
      <c r="B216" s="17" t="s">
        <v>3351</v>
      </c>
      <c r="C216" s="17" t="s">
        <v>3352</v>
      </c>
      <c r="D216" s="17" t="s">
        <v>2669</v>
      </c>
      <c r="E216" s="17" t="s">
        <v>3258</v>
      </c>
      <c r="F216" s="17" t="s">
        <v>3351</v>
      </c>
      <c r="G216" s="17" t="s">
        <v>2671</v>
      </c>
      <c r="H216" s="17" t="s">
        <v>4312</v>
      </c>
      <c r="I216" s="17" t="s">
        <v>4237</v>
      </c>
      <c r="J216" s="17" t="s">
        <v>3259</v>
      </c>
      <c r="K216" s="17" t="s">
        <v>2809</v>
      </c>
      <c r="L216" s="17" t="s">
        <v>3260</v>
      </c>
      <c r="M216" s="17" t="s">
        <v>2669</v>
      </c>
      <c r="N216" s="17" t="s">
        <v>3351</v>
      </c>
      <c r="O216" s="17" t="s">
        <v>7635</v>
      </c>
      <c r="P216" s="17" t="s">
        <v>3353</v>
      </c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>
      <c r="A217" s="17" t="s">
        <v>3354</v>
      </c>
      <c r="B217" s="17" t="s">
        <v>3354</v>
      </c>
      <c r="C217" s="17" t="s">
        <v>3352</v>
      </c>
      <c r="D217" s="17" t="s">
        <v>2669</v>
      </c>
      <c r="E217" s="17" t="s">
        <v>3258</v>
      </c>
      <c r="F217" s="17" t="s">
        <v>3354</v>
      </c>
      <c r="G217" s="17" t="s">
        <v>2671</v>
      </c>
      <c r="H217" s="17" t="s">
        <v>6835</v>
      </c>
      <c r="I217" s="17" t="s">
        <v>4237</v>
      </c>
      <c r="J217" s="17" t="s">
        <v>3259</v>
      </c>
      <c r="K217" s="17" t="s">
        <v>2809</v>
      </c>
      <c r="L217" s="17" t="s">
        <v>3260</v>
      </c>
      <c r="M217" s="17" t="s">
        <v>2669</v>
      </c>
      <c r="N217" s="17" t="s">
        <v>3354</v>
      </c>
      <c r="O217" s="17" t="s">
        <v>7635</v>
      </c>
      <c r="P217" s="17" t="s">
        <v>3355</v>
      </c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>
      <c r="A218" s="17" t="s">
        <v>3356</v>
      </c>
      <c r="B218" s="17" t="s">
        <v>3356</v>
      </c>
      <c r="C218" s="17" t="s">
        <v>3357</v>
      </c>
      <c r="D218" s="17" t="s">
        <v>2669</v>
      </c>
      <c r="E218" s="17" t="s">
        <v>3258</v>
      </c>
      <c r="F218" s="17" t="s">
        <v>3356</v>
      </c>
      <c r="G218" s="17" t="s">
        <v>2671</v>
      </c>
      <c r="H218" s="17" t="s">
        <v>4312</v>
      </c>
      <c r="I218" s="17" t="s">
        <v>4237</v>
      </c>
      <c r="J218" s="17" t="s">
        <v>3259</v>
      </c>
      <c r="K218" s="17" t="s">
        <v>2818</v>
      </c>
      <c r="L218" s="17" t="s">
        <v>3260</v>
      </c>
      <c r="M218" s="17" t="s">
        <v>2669</v>
      </c>
      <c r="N218" s="17" t="s">
        <v>3356</v>
      </c>
      <c r="O218" s="17" t="s">
        <v>7635</v>
      </c>
      <c r="P218" s="17" t="s">
        <v>3358</v>
      </c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>
      <c r="A219" s="17" t="s">
        <v>3359</v>
      </c>
      <c r="B219" s="17" t="s">
        <v>3359</v>
      </c>
      <c r="C219" s="17" t="s">
        <v>3357</v>
      </c>
      <c r="D219" s="17" t="s">
        <v>2669</v>
      </c>
      <c r="E219" s="17" t="s">
        <v>3258</v>
      </c>
      <c r="F219" s="17" t="s">
        <v>3359</v>
      </c>
      <c r="G219" s="17" t="s">
        <v>2671</v>
      </c>
      <c r="H219" s="17" t="s">
        <v>6835</v>
      </c>
      <c r="I219" s="17" t="s">
        <v>4237</v>
      </c>
      <c r="J219" s="17" t="s">
        <v>3259</v>
      </c>
      <c r="K219" s="17" t="s">
        <v>2818</v>
      </c>
      <c r="L219" s="17" t="s">
        <v>3260</v>
      </c>
      <c r="M219" s="17" t="s">
        <v>2669</v>
      </c>
      <c r="N219" s="17" t="s">
        <v>3359</v>
      </c>
      <c r="O219" s="17" t="s">
        <v>7635</v>
      </c>
      <c r="P219" s="17" t="s">
        <v>3360</v>
      </c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>
      <c r="A220" s="17" t="s">
        <v>3361</v>
      </c>
      <c r="B220" s="17" t="s">
        <v>3361</v>
      </c>
      <c r="C220" s="17" t="s">
        <v>3362</v>
      </c>
      <c r="D220" s="17" t="s">
        <v>2669</v>
      </c>
      <c r="E220" s="17" t="s">
        <v>3258</v>
      </c>
      <c r="F220" s="17" t="s">
        <v>3361</v>
      </c>
      <c r="G220" s="17" t="s">
        <v>2671</v>
      </c>
      <c r="H220" s="17" t="s">
        <v>4312</v>
      </c>
      <c r="I220" s="17" t="s">
        <v>4237</v>
      </c>
      <c r="J220" s="17" t="s">
        <v>3259</v>
      </c>
      <c r="K220" s="17" t="s">
        <v>2827</v>
      </c>
      <c r="L220" s="17" t="s">
        <v>3260</v>
      </c>
      <c r="M220" s="17" t="s">
        <v>2669</v>
      </c>
      <c r="N220" s="17" t="s">
        <v>3361</v>
      </c>
      <c r="O220" s="17" t="s">
        <v>7635</v>
      </c>
      <c r="P220" s="17" t="s">
        <v>3363</v>
      </c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>
      <c r="A221" s="17" t="s">
        <v>3364</v>
      </c>
      <c r="B221" s="17" t="s">
        <v>3364</v>
      </c>
      <c r="C221" s="17" t="s">
        <v>3362</v>
      </c>
      <c r="D221" s="17" t="s">
        <v>2669</v>
      </c>
      <c r="E221" s="17" t="s">
        <v>3258</v>
      </c>
      <c r="F221" s="17" t="s">
        <v>3364</v>
      </c>
      <c r="G221" s="17" t="s">
        <v>2671</v>
      </c>
      <c r="H221" s="17" t="s">
        <v>6835</v>
      </c>
      <c r="I221" s="17" t="s">
        <v>4237</v>
      </c>
      <c r="J221" s="17" t="s">
        <v>3259</v>
      </c>
      <c r="K221" s="17" t="s">
        <v>2827</v>
      </c>
      <c r="L221" s="17" t="s">
        <v>3260</v>
      </c>
      <c r="M221" s="17" t="s">
        <v>2669</v>
      </c>
      <c r="N221" s="17" t="s">
        <v>3364</v>
      </c>
      <c r="O221" s="17" t="s">
        <v>7635</v>
      </c>
      <c r="P221" s="17" t="s">
        <v>3365</v>
      </c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>
      <c r="A222" s="17" t="s">
        <v>3366</v>
      </c>
      <c r="B222" s="17" t="s">
        <v>3366</v>
      </c>
      <c r="C222" s="17" t="s">
        <v>3367</v>
      </c>
      <c r="D222" s="17" t="s">
        <v>2669</v>
      </c>
      <c r="E222" s="17" t="s">
        <v>3258</v>
      </c>
      <c r="F222" s="17" t="s">
        <v>3366</v>
      </c>
      <c r="G222" s="17" t="s">
        <v>2671</v>
      </c>
      <c r="H222" s="17" t="s">
        <v>4312</v>
      </c>
      <c r="I222" s="17" t="s">
        <v>4237</v>
      </c>
      <c r="J222" s="17" t="s">
        <v>3259</v>
      </c>
      <c r="K222" s="17" t="s">
        <v>2836</v>
      </c>
      <c r="L222" s="17" t="s">
        <v>3260</v>
      </c>
      <c r="M222" s="17" t="s">
        <v>2669</v>
      </c>
      <c r="N222" s="17" t="s">
        <v>3366</v>
      </c>
      <c r="O222" s="17" t="s">
        <v>7635</v>
      </c>
      <c r="P222" s="17" t="s">
        <v>3368</v>
      </c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>
      <c r="A223" s="17" t="s">
        <v>3369</v>
      </c>
      <c r="B223" s="17" t="s">
        <v>3369</v>
      </c>
      <c r="C223" s="17" t="s">
        <v>3367</v>
      </c>
      <c r="D223" s="17" t="s">
        <v>2669</v>
      </c>
      <c r="E223" s="17" t="s">
        <v>3258</v>
      </c>
      <c r="F223" s="17" t="s">
        <v>3369</v>
      </c>
      <c r="G223" s="17" t="s">
        <v>2671</v>
      </c>
      <c r="H223" s="17" t="s">
        <v>6835</v>
      </c>
      <c r="I223" s="17" t="s">
        <v>4237</v>
      </c>
      <c r="J223" s="17" t="s">
        <v>3259</v>
      </c>
      <c r="K223" s="17" t="s">
        <v>2836</v>
      </c>
      <c r="L223" s="17" t="s">
        <v>3260</v>
      </c>
      <c r="M223" s="17" t="s">
        <v>2669</v>
      </c>
      <c r="N223" s="17" t="s">
        <v>3369</v>
      </c>
      <c r="O223" s="17" t="s">
        <v>7635</v>
      </c>
      <c r="P223" s="17" t="s">
        <v>3370</v>
      </c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>
      <c r="A224" s="17" t="s">
        <v>3371</v>
      </c>
      <c r="B224" s="17" t="s">
        <v>3371</v>
      </c>
      <c r="C224" s="17" t="s">
        <v>3372</v>
      </c>
      <c r="D224" s="17" t="s">
        <v>2669</v>
      </c>
      <c r="E224" s="17" t="s">
        <v>3258</v>
      </c>
      <c r="F224" s="17" t="s">
        <v>3371</v>
      </c>
      <c r="G224" s="17" t="s">
        <v>2671</v>
      </c>
      <c r="H224" s="17" t="s">
        <v>4312</v>
      </c>
      <c r="I224" s="17" t="s">
        <v>4237</v>
      </c>
      <c r="J224" s="17" t="s">
        <v>3259</v>
      </c>
      <c r="K224" s="17" t="s">
        <v>2845</v>
      </c>
      <c r="L224" s="17" t="s">
        <v>3260</v>
      </c>
      <c r="M224" s="17" t="s">
        <v>2669</v>
      </c>
      <c r="N224" s="17" t="s">
        <v>3371</v>
      </c>
      <c r="O224" s="17" t="s">
        <v>7635</v>
      </c>
      <c r="P224" s="17" t="s">
        <v>3373</v>
      </c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>
      <c r="A225" s="17" t="s">
        <v>3374</v>
      </c>
      <c r="B225" s="17" t="s">
        <v>3374</v>
      </c>
      <c r="C225" s="17" t="s">
        <v>3372</v>
      </c>
      <c r="D225" s="17" t="s">
        <v>2669</v>
      </c>
      <c r="E225" s="17" t="s">
        <v>3258</v>
      </c>
      <c r="F225" s="17" t="s">
        <v>3374</v>
      </c>
      <c r="G225" s="17" t="s">
        <v>2671</v>
      </c>
      <c r="H225" s="17" t="s">
        <v>6835</v>
      </c>
      <c r="I225" s="17" t="s">
        <v>4237</v>
      </c>
      <c r="J225" s="17" t="s">
        <v>3259</v>
      </c>
      <c r="K225" s="17" t="s">
        <v>2845</v>
      </c>
      <c r="L225" s="17" t="s">
        <v>3260</v>
      </c>
      <c r="M225" s="17" t="s">
        <v>2669</v>
      </c>
      <c r="N225" s="17" t="s">
        <v>3374</v>
      </c>
      <c r="O225" s="17" t="s">
        <v>7635</v>
      </c>
      <c r="P225" s="17" t="s">
        <v>3375</v>
      </c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>
      <c r="A226" s="17" t="s">
        <v>3376</v>
      </c>
      <c r="B226" s="17" t="s">
        <v>3376</v>
      </c>
      <c r="C226" s="17" t="s">
        <v>3377</v>
      </c>
      <c r="D226" s="17" t="s">
        <v>2669</v>
      </c>
      <c r="E226" s="17" t="s">
        <v>3258</v>
      </c>
      <c r="F226" s="17" t="s">
        <v>3376</v>
      </c>
      <c r="G226" s="17" t="s">
        <v>2671</v>
      </c>
      <c r="H226" s="17" t="s">
        <v>4312</v>
      </c>
      <c r="I226" s="17" t="s">
        <v>4237</v>
      </c>
      <c r="J226" s="17" t="s">
        <v>3259</v>
      </c>
      <c r="K226" s="17" t="s">
        <v>2854</v>
      </c>
      <c r="L226" s="17" t="s">
        <v>3260</v>
      </c>
      <c r="M226" s="17" t="s">
        <v>2669</v>
      </c>
      <c r="N226" s="17" t="s">
        <v>3376</v>
      </c>
      <c r="O226" s="17" t="s">
        <v>7635</v>
      </c>
      <c r="P226" s="17" t="s">
        <v>3378</v>
      </c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>
      <c r="A227" s="17" t="s">
        <v>3379</v>
      </c>
      <c r="B227" s="17" t="s">
        <v>3379</v>
      </c>
      <c r="C227" s="17" t="s">
        <v>3377</v>
      </c>
      <c r="D227" s="17" t="s">
        <v>2669</v>
      </c>
      <c r="E227" s="17" t="s">
        <v>3258</v>
      </c>
      <c r="F227" s="17" t="s">
        <v>3379</v>
      </c>
      <c r="G227" s="17" t="s">
        <v>2671</v>
      </c>
      <c r="H227" s="17" t="s">
        <v>6835</v>
      </c>
      <c r="I227" s="17" t="s">
        <v>4237</v>
      </c>
      <c r="J227" s="17" t="s">
        <v>3259</v>
      </c>
      <c r="K227" s="17" t="s">
        <v>2854</v>
      </c>
      <c r="L227" s="17" t="s">
        <v>3260</v>
      </c>
      <c r="M227" s="17" t="s">
        <v>2669</v>
      </c>
      <c r="N227" s="17" t="s">
        <v>3379</v>
      </c>
      <c r="O227" s="17" t="s">
        <v>7635</v>
      </c>
      <c r="P227" s="17" t="s">
        <v>3380</v>
      </c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>
      <c r="A228" s="17" t="s">
        <v>3381</v>
      </c>
      <c r="B228" s="17" t="s">
        <v>3381</v>
      </c>
      <c r="C228" s="17" t="s">
        <v>3382</v>
      </c>
      <c r="D228" s="17" t="s">
        <v>2669</v>
      </c>
      <c r="E228" s="17" t="s">
        <v>3258</v>
      </c>
      <c r="F228" s="17" t="s">
        <v>3381</v>
      </c>
      <c r="G228" s="17" t="s">
        <v>2671</v>
      </c>
      <c r="H228" s="17" t="s">
        <v>4312</v>
      </c>
      <c r="I228" s="17" t="s">
        <v>4237</v>
      </c>
      <c r="J228" s="17" t="s">
        <v>3259</v>
      </c>
      <c r="K228" s="17" t="s">
        <v>2864</v>
      </c>
      <c r="L228" s="17" t="s">
        <v>3260</v>
      </c>
      <c r="M228" s="17" t="s">
        <v>2669</v>
      </c>
      <c r="N228" s="17" t="s">
        <v>3381</v>
      </c>
      <c r="O228" s="17" t="s">
        <v>7635</v>
      </c>
      <c r="P228" s="17" t="s">
        <v>3383</v>
      </c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>
      <c r="A229" s="17" t="s">
        <v>3384</v>
      </c>
      <c r="B229" s="17" t="s">
        <v>3384</v>
      </c>
      <c r="C229" s="17" t="s">
        <v>3382</v>
      </c>
      <c r="D229" s="17" t="s">
        <v>2669</v>
      </c>
      <c r="E229" s="17" t="s">
        <v>3258</v>
      </c>
      <c r="F229" s="17" t="s">
        <v>3384</v>
      </c>
      <c r="G229" s="17" t="s">
        <v>2671</v>
      </c>
      <c r="H229" s="17" t="s">
        <v>6835</v>
      </c>
      <c r="I229" s="17" t="s">
        <v>4237</v>
      </c>
      <c r="J229" s="17" t="s">
        <v>3259</v>
      </c>
      <c r="K229" s="17" t="s">
        <v>2864</v>
      </c>
      <c r="L229" s="17" t="s">
        <v>3260</v>
      </c>
      <c r="M229" s="17" t="s">
        <v>2669</v>
      </c>
      <c r="N229" s="17" t="s">
        <v>3384</v>
      </c>
      <c r="O229" s="17" t="s">
        <v>7635</v>
      </c>
      <c r="P229" s="17" t="s">
        <v>3385</v>
      </c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>
      <c r="A230" s="17" t="s">
        <v>3386</v>
      </c>
      <c r="B230" s="17" t="s">
        <v>3386</v>
      </c>
      <c r="C230" s="17" t="s">
        <v>3387</v>
      </c>
      <c r="D230" s="17" t="s">
        <v>2669</v>
      </c>
      <c r="E230" s="17" t="s">
        <v>3258</v>
      </c>
      <c r="F230" s="17" t="s">
        <v>3386</v>
      </c>
      <c r="G230" s="17" t="s">
        <v>2671</v>
      </c>
      <c r="H230" s="17" t="s">
        <v>4312</v>
      </c>
      <c r="I230" s="17" t="s">
        <v>4237</v>
      </c>
      <c r="J230" s="17" t="s">
        <v>3259</v>
      </c>
      <c r="K230" s="17" t="s">
        <v>2873</v>
      </c>
      <c r="L230" s="17" t="s">
        <v>3260</v>
      </c>
      <c r="M230" s="17" t="s">
        <v>2669</v>
      </c>
      <c r="N230" s="17" t="s">
        <v>3386</v>
      </c>
      <c r="O230" s="17" t="s">
        <v>7635</v>
      </c>
      <c r="P230" s="17" t="s">
        <v>3388</v>
      </c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>
      <c r="A231" s="17" t="s">
        <v>3389</v>
      </c>
      <c r="B231" s="17" t="s">
        <v>3389</v>
      </c>
      <c r="C231" s="17" t="s">
        <v>3387</v>
      </c>
      <c r="D231" s="17" t="s">
        <v>2669</v>
      </c>
      <c r="E231" s="17" t="s">
        <v>3258</v>
      </c>
      <c r="F231" s="17" t="s">
        <v>3389</v>
      </c>
      <c r="G231" s="17" t="s">
        <v>2671</v>
      </c>
      <c r="H231" s="17" t="s">
        <v>6835</v>
      </c>
      <c r="I231" s="17" t="s">
        <v>4237</v>
      </c>
      <c r="J231" s="17" t="s">
        <v>3259</v>
      </c>
      <c r="K231" s="17" t="s">
        <v>2873</v>
      </c>
      <c r="L231" s="17" t="s">
        <v>3260</v>
      </c>
      <c r="M231" s="17" t="s">
        <v>2669</v>
      </c>
      <c r="N231" s="17" t="s">
        <v>3389</v>
      </c>
      <c r="O231" s="17" t="s">
        <v>7635</v>
      </c>
      <c r="P231" s="17" t="s">
        <v>3390</v>
      </c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>
      <c r="A232" s="17" t="s">
        <v>3391</v>
      </c>
      <c r="B232" s="17" t="s">
        <v>3391</v>
      </c>
      <c r="C232" s="17" t="s">
        <v>3392</v>
      </c>
      <c r="D232" s="17" t="s">
        <v>2669</v>
      </c>
      <c r="E232" s="17" t="s">
        <v>3258</v>
      </c>
      <c r="F232" s="17" t="s">
        <v>3391</v>
      </c>
      <c r="G232" s="17" t="s">
        <v>2671</v>
      </c>
      <c r="H232" s="17" t="s">
        <v>4312</v>
      </c>
      <c r="I232" s="17" t="s">
        <v>4237</v>
      </c>
      <c r="J232" s="17" t="s">
        <v>3259</v>
      </c>
      <c r="K232" s="17" t="s">
        <v>2882</v>
      </c>
      <c r="L232" s="17" t="s">
        <v>3260</v>
      </c>
      <c r="M232" s="17" t="s">
        <v>2669</v>
      </c>
      <c r="N232" s="17" t="s">
        <v>3391</v>
      </c>
      <c r="O232" s="17" t="s">
        <v>7635</v>
      </c>
      <c r="P232" s="17" t="s">
        <v>3393</v>
      </c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>
      <c r="A233" s="17" t="s">
        <v>3394</v>
      </c>
      <c r="B233" s="17" t="s">
        <v>3394</v>
      </c>
      <c r="C233" s="17" t="s">
        <v>3392</v>
      </c>
      <c r="D233" s="17" t="s">
        <v>2669</v>
      </c>
      <c r="E233" s="17" t="s">
        <v>3258</v>
      </c>
      <c r="F233" s="17" t="s">
        <v>3394</v>
      </c>
      <c r="G233" s="17" t="s">
        <v>2671</v>
      </c>
      <c r="H233" s="17" t="s">
        <v>6835</v>
      </c>
      <c r="I233" s="17" t="s">
        <v>4237</v>
      </c>
      <c r="J233" s="17" t="s">
        <v>3259</v>
      </c>
      <c r="K233" s="17" t="s">
        <v>2882</v>
      </c>
      <c r="L233" s="17" t="s">
        <v>3260</v>
      </c>
      <c r="M233" s="17" t="s">
        <v>2669</v>
      </c>
      <c r="N233" s="17" t="s">
        <v>3394</v>
      </c>
      <c r="O233" s="17" t="s">
        <v>7635</v>
      </c>
      <c r="P233" s="17" t="s">
        <v>3395</v>
      </c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>
      <c r="A234" s="17" t="s">
        <v>3396</v>
      </c>
      <c r="B234" s="17" t="s">
        <v>3396</v>
      </c>
      <c r="C234" s="17" t="s">
        <v>3397</v>
      </c>
      <c r="D234" s="17" t="s">
        <v>2669</v>
      </c>
      <c r="E234" s="17" t="s">
        <v>3258</v>
      </c>
      <c r="F234" s="17" t="s">
        <v>3396</v>
      </c>
      <c r="G234" s="17" t="s">
        <v>2671</v>
      </c>
      <c r="H234" s="17" t="s">
        <v>4312</v>
      </c>
      <c r="I234" s="17" t="s">
        <v>4237</v>
      </c>
      <c r="J234" s="17" t="s">
        <v>3259</v>
      </c>
      <c r="K234" s="17" t="s">
        <v>2889</v>
      </c>
      <c r="L234" s="17" t="s">
        <v>3260</v>
      </c>
      <c r="M234" s="17" t="s">
        <v>2669</v>
      </c>
      <c r="N234" s="17" t="s">
        <v>3396</v>
      </c>
      <c r="O234" s="17" t="s">
        <v>7635</v>
      </c>
      <c r="P234" s="17" t="s">
        <v>3398</v>
      </c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>
      <c r="A235" s="17" t="s">
        <v>3399</v>
      </c>
      <c r="B235" s="17" t="s">
        <v>3399</v>
      </c>
      <c r="C235" s="17" t="s">
        <v>3397</v>
      </c>
      <c r="D235" s="17" t="s">
        <v>2669</v>
      </c>
      <c r="E235" s="17" t="s">
        <v>3258</v>
      </c>
      <c r="F235" s="17" t="s">
        <v>3399</v>
      </c>
      <c r="G235" s="17" t="s">
        <v>2671</v>
      </c>
      <c r="H235" s="17" t="s">
        <v>6835</v>
      </c>
      <c r="I235" s="17" t="s">
        <v>4237</v>
      </c>
      <c r="J235" s="17" t="s">
        <v>3259</v>
      </c>
      <c r="K235" s="17" t="s">
        <v>2889</v>
      </c>
      <c r="L235" s="17" t="s">
        <v>3260</v>
      </c>
      <c r="M235" s="17" t="s">
        <v>2669</v>
      </c>
      <c r="N235" s="17" t="s">
        <v>3399</v>
      </c>
      <c r="O235" s="17" t="s">
        <v>7635</v>
      </c>
      <c r="P235" s="17" t="s">
        <v>3400</v>
      </c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>
      <c r="A236" s="17" t="s">
        <v>3401</v>
      </c>
      <c r="B236" s="17" t="s">
        <v>3401</v>
      </c>
      <c r="C236" s="17" t="s">
        <v>3402</v>
      </c>
      <c r="D236" s="17" t="s">
        <v>2669</v>
      </c>
      <c r="E236" s="17" t="s">
        <v>3258</v>
      </c>
      <c r="F236" s="17" t="s">
        <v>3401</v>
      </c>
      <c r="G236" s="17" t="s">
        <v>2671</v>
      </c>
      <c r="H236" s="17" t="s">
        <v>4312</v>
      </c>
      <c r="I236" s="17" t="s">
        <v>4237</v>
      </c>
      <c r="J236" s="17" t="s">
        <v>3259</v>
      </c>
      <c r="K236" s="17" t="s">
        <v>2893</v>
      </c>
      <c r="L236" s="17" t="s">
        <v>3260</v>
      </c>
      <c r="M236" s="17" t="s">
        <v>2669</v>
      </c>
      <c r="N236" s="17" t="s">
        <v>3401</v>
      </c>
      <c r="O236" s="17" t="s">
        <v>7635</v>
      </c>
      <c r="P236" s="17" t="s">
        <v>3403</v>
      </c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>
      <c r="A237" s="17" t="s">
        <v>3404</v>
      </c>
      <c r="B237" s="17" t="s">
        <v>3404</v>
      </c>
      <c r="C237" s="17" t="s">
        <v>3402</v>
      </c>
      <c r="D237" s="17" t="s">
        <v>2669</v>
      </c>
      <c r="E237" s="17" t="s">
        <v>3258</v>
      </c>
      <c r="F237" s="17" t="s">
        <v>3404</v>
      </c>
      <c r="G237" s="17" t="s">
        <v>2671</v>
      </c>
      <c r="H237" s="17" t="s">
        <v>6835</v>
      </c>
      <c r="I237" s="17" t="s">
        <v>4237</v>
      </c>
      <c r="J237" s="17" t="s">
        <v>3259</v>
      </c>
      <c r="K237" s="17" t="s">
        <v>2893</v>
      </c>
      <c r="L237" s="17" t="s">
        <v>3260</v>
      </c>
      <c r="M237" s="17" t="s">
        <v>2669</v>
      </c>
      <c r="N237" s="17" t="s">
        <v>3404</v>
      </c>
      <c r="O237" s="17" t="s">
        <v>7635</v>
      </c>
      <c r="P237" s="17" t="s">
        <v>3405</v>
      </c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>
      <c r="A238" s="17" t="s">
        <v>3406</v>
      </c>
      <c r="B238" s="17" t="s">
        <v>3406</v>
      </c>
      <c r="C238" s="17" t="s">
        <v>3407</v>
      </c>
      <c r="D238" s="17" t="s">
        <v>2669</v>
      </c>
      <c r="E238" s="17" t="s">
        <v>3258</v>
      </c>
      <c r="F238" s="17" t="s">
        <v>3406</v>
      </c>
      <c r="G238" s="17" t="s">
        <v>2671</v>
      </c>
      <c r="H238" s="17" t="s">
        <v>4312</v>
      </c>
      <c r="I238" s="17" t="s">
        <v>4237</v>
      </c>
      <c r="J238" s="17" t="s">
        <v>3259</v>
      </c>
      <c r="K238" s="17" t="s">
        <v>2902</v>
      </c>
      <c r="L238" s="17" t="s">
        <v>3260</v>
      </c>
      <c r="M238" s="17" t="s">
        <v>2669</v>
      </c>
      <c r="N238" s="17" t="s">
        <v>3406</v>
      </c>
      <c r="O238" s="17" t="s">
        <v>7635</v>
      </c>
      <c r="P238" s="17" t="s">
        <v>3408</v>
      </c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>
      <c r="A239" s="17" t="s">
        <v>3409</v>
      </c>
      <c r="B239" s="17" t="s">
        <v>3409</v>
      </c>
      <c r="C239" s="17" t="s">
        <v>3407</v>
      </c>
      <c r="D239" s="17" t="s">
        <v>2669</v>
      </c>
      <c r="E239" s="17" t="s">
        <v>3258</v>
      </c>
      <c r="F239" s="17" t="s">
        <v>3409</v>
      </c>
      <c r="G239" s="17" t="s">
        <v>2671</v>
      </c>
      <c r="H239" s="17" t="s">
        <v>6835</v>
      </c>
      <c r="I239" s="17" t="s">
        <v>4237</v>
      </c>
      <c r="J239" s="17" t="s">
        <v>3259</v>
      </c>
      <c r="K239" s="17" t="s">
        <v>2902</v>
      </c>
      <c r="L239" s="17" t="s">
        <v>3260</v>
      </c>
      <c r="M239" s="17" t="s">
        <v>2669</v>
      </c>
      <c r="N239" s="17" t="s">
        <v>3409</v>
      </c>
      <c r="O239" s="17" t="s">
        <v>7635</v>
      </c>
      <c r="P239" s="17" t="s">
        <v>3410</v>
      </c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>
      <c r="A240" s="17" t="s">
        <v>3411</v>
      </c>
      <c r="B240" s="17" t="s">
        <v>3411</v>
      </c>
      <c r="C240" s="17" t="s">
        <v>3412</v>
      </c>
      <c r="D240" s="17" t="s">
        <v>2669</v>
      </c>
      <c r="E240" s="17" t="s">
        <v>3258</v>
      </c>
      <c r="F240" s="17" t="s">
        <v>3411</v>
      </c>
      <c r="G240" s="17" t="s">
        <v>2671</v>
      </c>
      <c r="H240" s="17" t="s">
        <v>4312</v>
      </c>
      <c r="I240" s="17" t="s">
        <v>4237</v>
      </c>
      <c r="J240" s="17" t="s">
        <v>3259</v>
      </c>
      <c r="K240" s="17" t="s">
        <v>2909</v>
      </c>
      <c r="L240" s="17" t="s">
        <v>3260</v>
      </c>
      <c r="M240" s="17" t="s">
        <v>2669</v>
      </c>
      <c r="N240" s="17" t="s">
        <v>3411</v>
      </c>
      <c r="O240" s="17" t="s">
        <v>7635</v>
      </c>
      <c r="P240" s="17" t="s">
        <v>3413</v>
      </c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>
      <c r="A241" s="17" t="s">
        <v>3414</v>
      </c>
      <c r="B241" s="17" t="s">
        <v>3414</v>
      </c>
      <c r="C241" s="17" t="s">
        <v>3412</v>
      </c>
      <c r="D241" s="17" t="s">
        <v>2669</v>
      </c>
      <c r="E241" s="17" t="s">
        <v>3258</v>
      </c>
      <c r="F241" s="17" t="s">
        <v>3414</v>
      </c>
      <c r="G241" s="17" t="s">
        <v>2671</v>
      </c>
      <c r="H241" s="17" t="s">
        <v>6835</v>
      </c>
      <c r="I241" s="17" t="s">
        <v>4237</v>
      </c>
      <c r="J241" s="17" t="s">
        <v>3259</v>
      </c>
      <c r="K241" s="17" t="s">
        <v>2909</v>
      </c>
      <c r="L241" s="17" t="s">
        <v>3260</v>
      </c>
      <c r="M241" s="17" t="s">
        <v>2669</v>
      </c>
      <c r="N241" s="17" t="s">
        <v>3414</v>
      </c>
      <c r="O241" s="17" t="s">
        <v>7635</v>
      </c>
      <c r="P241" s="17" t="s">
        <v>3415</v>
      </c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>
      <c r="A242" s="17" t="s">
        <v>3416</v>
      </c>
      <c r="B242" s="17" t="s">
        <v>3416</v>
      </c>
      <c r="C242" s="17" t="s">
        <v>3417</v>
      </c>
      <c r="D242" s="17" t="s">
        <v>2669</v>
      </c>
      <c r="E242" s="17" t="s">
        <v>3258</v>
      </c>
      <c r="F242" s="17" t="s">
        <v>3416</v>
      </c>
      <c r="G242" s="17" t="s">
        <v>2671</v>
      </c>
      <c r="H242" s="17" t="s">
        <v>4312</v>
      </c>
      <c r="I242" s="17" t="s">
        <v>4237</v>
      </c>
      <c r="J242" s="17" t="s">
        <v>3259</v>
      </c>
      <c r="K242" s="17" t="s">
        <v>2916</v>
      </c>
      <c r="L242" s="17" t="s">
        <v>3260</v>
      </c>
      <c r="M242" s="17" t="s">
        <v>2669</v>
      </c>
      <c r="N242" s="17" t="s">
        <v>3416</v>
      </c>
      <c r="O242" s="17" t="s">
        <v>7635</v>
      </c>
      <c r="P242" s="17" t="s">
        <v>3418</v>
      </c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>
      <c r="A243" s="17" t="s">
        <v>3419</v>
      </c>
      <c r="B243" s="17" t="s">
        <v>3419</v>
      </c>
      <c r="C243" s="17" t="s">
        <v>3417</v>
      </c>
      <c r="D243" s="17" t="s">
        <v>2669</v>
      </c>
      <c r="E243" s="17" t="s">
        <v>3258</v>
      </c>
      <c r="F243" s="17" t="s">
        <v>3419</v>
      </c>
      <c r="G243" s="17" t="s">
        <v>2671</v>
      </c>
      <c r="H243" s="17" t="s">
        <v>6835</v>
      </c>
      <c r="I243" s="17" t="s">
        <v>4237</v>
      </c>
      <c r="J243" s="17" t="s">
        <v>3259</v>
      </c>
      <c r="K243" s="17" t="s">
        <v>2916</v>
      </c>
      <c r="L243" s="17" t="s">
        <v>3260</v>
      </c>
      <c r="M243" s="17" t="s">
        <v>2669</v>
      </c>
      <c r="N243" s="17" t="s">
        <v>3419</v>
      </c>
      <c r="O243" s="17" t="s">
        <v>7635</v>
      </c>
      <c r="P243" s="17" t="s">
        <v>3420</v>
      </c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>
      <c r="A244" s="17" t="s">
        <v>3421</v>
      </c>
      <c r="B244" s="17" t="s">
        <v>3421</v>
      </c>
      <c r="C244" s="17" t="s">
        <v>3422</v>
      </c>
      <c r="D244" s="17" t="s">
        <v>2669</v>
      </c>
      <c r="E244" s="17" t="s">
        <v>3258</v>
      </c>
      <c r="F244" s="17" t="s">
        <v>3421</v>
      </c>
      <c r="G244" s="17" t="s">
        <v>2671</v>
      </c>
      <c r="H244" s="17" t="s">
        <v>4312</v>
      </c>
      <c r="I244" s="17" t="s">
        <v>4237</v>
      </c>
      <c r="J244" s="17" t="s">
        <v>3259</v>
      </c>
      <c r="K244" s="17" t="s">
        <v>2923</v>
      </c>
      <c r="L244" s="17" t="s">
        <v>3260</v>
      </c>
      <c r="M244" s="17" t="s">
        <v>2669</v>
      </c>
      <c r="N244" s="17" t="s">
        <v>3421</v>
      </c>
      <c r="O244" s="17" t="s">
        <v>7635</v>
      </c>
      <c r="P244" s="17" t="s">
        <v>3423</v>
      </c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>
      <c r="A245" s="17" t="s">
        <v>3424</v>
      </c>
      <c r="B245" s="17" t="s">
        <v>3424</v>
      </c>
      <c r="C245" s="17" t="s">
        <v>3422</v>
      </c>
      <c r="D245" s="17" t="s">
        <v>2669</v>
      </c>
      <c r="E245" s="17" t="s">
        <v>3258</v>
      </c>
      <c r="F245" s="17" t="s">
        <v>3424</v>
      </c>
      <c r="G245" s="17" t="s">
        <v>2671</v>
      </c>
      <c r="H245" s="17" t="s">
        <v>6835</v>
      </c>
      <c r="I245" s="17" t="s">
        <v>4237</v>
      </c>
      <c r="J245" s="17" t="s">
        <v>3259</v>
      </c>
      <c r="K245" s="17" t="s">
        <v>2923</v>
      </c>
      <c r="L245" s="17" t="s">
        <v>3260</v>
      </c>
      <c r="M245" s="17" t="s">
        <v>2669</v>
      </c>
      <c r="N245" s="17" t="s">
        <v>3424</v>
      </c>
      <c r="O245" s="17" t="s">
        <v>7635</v>
      </c>
      <c r="P245" s="17" t="s">
        <v>3425</v>
      </c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>
      <c r="A246" s="17" t="s">
        <v>3426</v>
      </c>
      <c r="B246" s="17" t="s">
        <v>3426</v>
      </c>
      <c r="C246" s="17" t="s">
        <v>3427</v>
      </c>
      <c r="D246" s="17" t="s">
        <v>2669</v>
      </c>
      <c r="E246" s="17" t="s">
        <v>3258</v>
      </c>
      <c r="F246" s="17" t="s">
        <v>3426</v>
      </c>
      <c r="G246" s="17" t="s">
        <v>2671</v>
      </c>
      <c r="H246" s="17" t="s">
        <v>4312</v>
      </c>
      <c r="I246" s="17" t="s">
        <v>4237</v>
      </c>
      <c r="J246" s="17" t="s">
        <v>3259</v>
      </c>
      <c r="K246" s="17" t="s">
        <v>2930</v>
      </c>
      <c r="L246" s="17" t="s">
        <v>3260</v>
      </c>
      <c r="M246" s="17" t="s">
        <v>2669</v>
      </c>
      <c r="N246" s="17" t="s">
        <v>3426</v>
      </c>
      <c r="O246" s="17" t="s">
        <v>7635</v>
      </c>
      <c r="P246" s="17" t="s">
        <v>3428</v>
      </c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>
      <c r="A247" s="17" t="s">
        <v>3429</v>
      </c>
      <c r="B247" s="17" t="s">
        <v>3429</v>
      </c>
      <c r="C247" s="17" t="s">
        <v>3427</v>
      </c>
      <c r="D247" s="17" t="s">
        <v>2669</v>
      </c>
      <c r="E247" s="17" t="s">
        <v>3258</v>
      </c>
      <c r="F247" s="17" t="s">
        <v>3429</v>
      </c>
      <c r="G247" s="17" t="s">
        <v>2671</v>
      </c>
      <c r="H247" s="17" t="s">
        <v>6835</v>
      </c>
      <c r="I247" s="17" t="s">
        <v>4237</v>
      </c>
      <c r="J247" s="17" t="s">
        <v>3259</v>
      </c>
      <c r="K247" s="17" t="s">
        <v>2930</v>
      </c>
      <c r="L247" s="17" t="s">
        <v>3260</v>
      </c>
      <c r="M247" s="17" t="s">
        <v>2669</v>
      </c>
      <c r="N247" s="17" t="s">
        <v>3429</v>
      </c>
      <c r="O247" s="17" t="s">
        <v>7635</v>
      </c>
      <c r="P247" s="17" t="s">
        <v>3430</v>
      </c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>
      <c r="A248" s="17" t="s">
        <v>3431</v>
      </c>
      <c r="B248" s="17" t="s">
        <v>3431</v>
      </c>
      <c r="C248" s="17" t="s">
        <v>3432</v>
      </c>
      <c r="D248" s="17" t="s">
        <v>2669</v>
      </c>
      <c r="E248" s="17" t="s">
        <v>3258</v>
      </c>
      <c r="F248" s="17" t="s">
        <v>3431</v>
      </c>
      <c r="G248" s="17" t="s">
        <v>2671</v>
      </c>
      <c r="H248" s="17" t="s">
        <v>4312</v>
      </c>
      <c r="I248" s="17" t="s">
        <v>4237</v>
      </c>
      <c r="J248" s="17" t="s">
        <v>3259</v>
      </c>
      <c r="K248" s="17" t="s">
        <v>2934</v>
      </c>
      <c r="L248" s="17" t="s">
        <v>3260</v>
      </c>
      <c r="M248" s="17" t="s">
        <v>2669</v>
      </c>
      <c r="N248" s="17" t="s">
        <v>3431</v>
      </c>
      <c r="O248" s="17" t="s">
        <v>7635</v>
      </c>
      <c r="P248" s="17" t="s">
        <v>3433</v>
      </c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>
      <c r="A249" s="17" t="s">
        <v>3434</v>
      </c>
      <c r="B249" s="17" t="s">
        <v>3434</v>
      </c>
      <c r="C249" s="17" t="s">
        <v>3432</v>
      </c>
      <c r="D249" s="17" t="s">
        <v>2669</v>
      </c>
      <c r="E249" s="17" t="s">
        <v>3258</v>
      </c>
      <c r="F249" s="17" t="s">
        <v>3434</v>
      </c>
      <c r="G249" s="17" t="s">
        <v>2671</v>
      </c>
      <c r="H249" s="17" t="s">
        <v>6835</v>
      </c>
      <c r="I249" s="17" t="s">
        <v>4237</v>
      </c>
      <c r="J249" s="17" t="s">
        <v>3259</v>
      </c>
      <c r="K249" s="17" t="s">
        <v>2934</v>
      </c>
      <c r="L249" s="17" t="s">
        <v>3260</v>
      </c>
      <c r="M249" s="17" t="s">
        <v>2669</v>
      </c>
      <c r="N249" s="17" t="s">
        <v>3434</v>
      </c>
      <c r="O249" s="17" t="s">
        <v>7635</v>
      </c>
      <c r="P249" s="17" t="s">
        <v>3435</v>
      </c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>
      <c r="A250" s="17" t="s">
        <v>3436</v>
      </c>
      <c r="B250" s="17" t="s">
        <v>3436</v>
      </c>
      <c r="C250" s="17" t="s">
        <v>3437</v>
      </c>
      <c r="D250" s="17" t="s">
        <v>2669</v>
      </c>
      <c r="E250" s="17" t="s">
        <v>3258</v>
      </c>
      <c r="F250" s="17" t="s">
        <v>3436</v>
      </c>
      <c r="G250" s="17" t="s">
        <v>2671</v>
      </c>
      <c r="H250" s="17" t="s">
        <v>4312</v>
      </c>
      <c r="I250" s="17" t="s">
        <v>4237</v>
      </c>
      <c r="J250" s="17" t="s">
        <v>3259</v>
      </c>
      <c r="K250" s="17" t="s">
        <v>2938</v>
      </c>
      <c r="L250" s="17" t="s">
        <v>3260</v>
      </c>
      <c r="M250" s="17" t="s">
        <v>2669</v>
      </c>
      <c r="N250" s="17" t="s">
        <v>3436</v>
      </c>
      <c r="O250" s="17" t="s">
        <v>7635</v>
      </c>
      <c r="P250" s="17" t="s">
        <v>3438</v>
      </c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>
      <c r="A251" s="17" t="s">
        <v>3439</v>
      </c>
      <c r="B251" s="17" t="s">
        <v>3439</v>
      </c>
      <c r="C251" s="17" t="s">
        <v>3437</v>
      </c>
      <c r="D251" s="17" t="s">
        <v>2669</v>
      </c>
      <c r="E251" s="17" t="s">
        <v>3258</v>
      </c>
      <c r="F251" s="17" t="s">
        <v>3439</v>
      </c>
      <c r="G251" s="17" t="s">
        <v>2671</v>
      </c>
      <c r="H251" s="17" t="s">
        <v>6835</v>
      </c>
      <c r="I251" s="17" t="s">
        <v>4237</v>
      </c>
      <c r="J251" s="17" t="s">
        <v>3259</v>
      </c>
      <c r="K251" s="17" t="s">
        <v>2938</v>
      </c>
      <c r="L251" s="17" t="s">
        <v>3260</v>
      </c>
      <c r="M251" s="17" t="s">
        <v>2669</v>
      </c>
      <c r="N251" s="17" t="s">
        <v>3439</v>
      </c>
      <c r="O251" s="17" t="s">
        <v>7635</v>
      </c>
      <c r="P251" s="17" t="s">
        <v>3440</v>
      </c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>
      <c r="A252" s="17" t="s">
        <v>3441</v>
      </c>
      <c r="B252" s="17" t="s">
        <v>3441</v>
      </c>
      <c r="C252" s="17" t="s">
        <v>3442</v>
      </c>
      <c r="D252" s="17" t="s">
        <v>2669</v>
      </c>
      <c r="E252" s="17" t="s">
        <v>3258</v>
      </c>
      <c r="F252" s="17" t="s">
        <v>3441</v>
      </c>
      <c r="G252" s="17" t="s">
        <v>2671</v>
      </c>
      <c r="H252" s="17" t="s">
        <v>4312</v>
      </c>
      <c r="I252" s="17" t="s">
        <v>4237</v>
      </c>
      <c r="J252" s="17" t="s">
        <v>3259</v>
      </c>
      <c r="K252" s="17" t="s">
        <v>3151</v>
      </c>
      <c r="L252" s="17" t="s">
        <v>3260</v>
      </c>
      <c r="M252" s="17" t="s">
        <v>2669</v>
      </c>
      <c r="N252" s="17" t="s">
        <v>3441</v>
      </c>
      <c r="O252" s="17" t="s">
        <v>7635</v>
      </c>
      <c r="P252" s="17" t="s">
        <v>3443</v>
      </c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>
      <c r="A253" s="17" t="s">
        <v>3444</v>
      </c>
      <c r="B253" s="17" t="s">
        <v>3444</v>
      </c>
      <c r="C253" s="17" t="s">
        <v>3442</v>
      </c>
      <c r="D253" s="17" t="s">
        <v>2669</v>
      </c>
      <c r="E253" s="17" t="s">
        <v>3258</v>
      </c>
      <c r="F253" s="17" t="s">
        <v>3444</v>
      </c>
      <c r="G253" s="17" t="s">
        <v>2671</v>
      </c>
      <c r="H253" s="17" t="s">
        <v>6835</v>
      </c>
      <c r="I253" s="17" t="s">
        <v>4237</v>
      </c>
      <c r="J253" s="17" t="s">
        <v>3259</v>
      </c>
      <c r="K253" s="17" t="s">
        <v>3151</v>
      </c>
      <c r="L253" s="17" t="s">
        <v>3260</v>
      </c>
      <c r="M253" s="17" t="s">
        <v>2669</v>
      </c>
      <c r="N253" s="17" t="s">
        <v>3444</v>
      </c>
      <c r="O253" s="17" t="s">
        <v>7635</v>
      </c>
      <c r="P253" s="17" t="s">
        <v>3445</v>
      </c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>
      <c r="A254" s="17" t="s">
        <v>3446</v>
      </c>
      <c r="B254" s="17" t="s">
        <v>3446</v>
      </c>
      <c r="C254" s="17" t="s">
        <v>3447</v>
      </c>
      <c r="D254" s="17" t="s">
        <v>2669</v>
      </c>
      <c r="E254" s="17" t="s">
        <v>3258</v>
      </c>
      <c r="F254" s="17" t="s">
        <v>3446</v>
      </c>
      <c r="G254" s="17" t="s">
        <v>2671</v>
      </c>
      <c r="H254" s="17" t="s">
        <v>4312</v>
      </c>
      <c r="I254" s="17" t="s">
        <v>4237</v>
      </c>
      <c r="J254" s="17" t="s">
        <v>3259</v>
      </c>
      <c r="K254" s="17" t="s">
        <v>2945</v>
      </c>
      <c r="L254" s="17" t="s">
        <v>3260</v>
      </c>
      <c r="M254" s="17" t="s">
        <v>2669</v>
      </c>
      <c r="N254" s="17" t="s">
        <v>3446</v>
      </c>
      <c r="O254" s="17" t="s">
        <v>7635</v>
      </c>
      <c r="P254" s="17" t="s">
        <v>3448</v>
      </c>
      <c r="Q254" s="17" t="s">
        <v>2669</v>
      </c>
      <c r="R254" s="17" t="s">
        <v>3449</v>
      </c>
      <c r="S254" s="17" t="s">
        <v>7635</v>
      </c>
      <c r="T254" s="17" t="s">
        <v>3450</v>
      </c>
      <c r="U254" s="17"/>
      <c r="V254" s="17"/>
      <c r="W254" s="17"/>
      <c r="X254" s="17"/>
      <c r="Y254" s="17"/>
    </row>
    <row r="255" spans="1:25">
      <c r="A255" s="17" t="s">
        <v>3451</v>
      </c>
      <c r="B255" s="17" t="s">
        <v>3451</v>
      </c>
      <c r="C255" s="17" t="s">
        <v>3447</v>
      </c>
      <c r="D255" s="17" t="s">
        <v>2669</v>
      </c>
      <c r="E255" s="17" t="s">
        <v>3258</v>
      </c>
      <c r="F255" s="17" t="s">
        <v>3451</v>
      </c>
      <c r="G255" s="17" t="s">
        <v>2671</v>
      </c>
      <c r="H255" s="17" t="s">
        <v>6835</v>
      </c>
      <c r="I255" s="17" t="s">
        <v>4237</v>
      </c>
      <c r="J255" s="17" t="s">
        <v>3259</v>
      </c>
      <c r="K255" s="17" t="s">
        <v>2945</v>
      </c>
      <c r="L255" s="17" t="s">
        <v>3260</v>
      </c>
      <c r="M255" s="17" t="s">
        <v>2669</v>
      </c>
      <c r="N255" s="17" t="s">
        <v>3451</v>
      </c>
      <c r="O255" s="17" t="s">
        <v>7635</v>
      </c>
      <c r="P255" s="17" t="s">
        <v>3452</v>
      </c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>
      <c r="A256" s="17" t="s">
        <v>3453</v>
      </c>
      <c r="B256" s="17" t="s">
        <v>3453</v>
      </c>
      <c r="C256" s="17" t="s">
        <v>3454</v>
      </c>
      <c r="D256" s="17" t="s">
        <v>2669</v>
      </c>
      <c r="E256" s="17" t="s">
        <v>3258</v>
      </c>
      <c r="F256" s="17" t="s">
        <v>3453</v>
      </c>
      <c r="G256" s="17" t="s">
        <v>2671</v>
      </c>
      <c r="H256" s="17" t="s">
        <v>4312</v>
      </c>
      <c r="I256" s="17" t="s">
        <v>4237</v>
      </c>
      <c r="J256" s="17" t="s">
        <v>3259</v>
      </c>
      <c r="K256" s="17" t="s">
        <v>3162</v>
      </c>
      <c r="L256" s="17" t="s">
        <v>3260</v>
      </c>
      <c r="M256" s="17" t="s">
        <v>2669</v>
      </c>
      <c r="N256" s="17" t="s">
        <v>3453</v>
      </c>
      <c r="O256" s="17" t="s">
        <v>7635</v>
      </c>
      <c r="P256" s="17" t="s">
        <v>3455</v>
      </c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>
      <c r="A257" s="17" t="s">
        <v>3456</v>
      </c>
      <c r="B257" s="17" t="s">
        <v>3456</v>
      </c>
      <c r="C257" s="17" t="s">
        <v>3454</v>
      </c>
      <c r="D257" s="17" t="s">
        <v>2669</v>
      </c>
      <c r="E257" s="17" t="s">
        <v>3258</v>
      </c>
      <c r="F257" s="17" t="s">
        <v>3456</v>
      </c>
      <c r="G257" s="17" t="s">
        <v>2671</v>
      </c>
      <c r="H257" s="17" t="s">
        <v>6835</v>
      </c>
      <c r="I257" s="17" t="s">
        <v>4237</v>
      </c>
      <c r="J257" s="17" t="s">
        <v>3259</v>
      </c>
      <c r="K257" s="17" t="s">
        <v>3162</v>
      </c>
      <c r="L257" s="17" t="s">
        <v>3260</v>
      </c>
      <c r="M257" s="17" t="s">
        <v>2669</v>
      </c>
      <c r="N257" s="17" t="s">
        <v>3456</v>
      </c>
      <c r="O257" s="17" t="s">
        <v>7635</v>
      </c>
      <c r="P257" s="17" t="s">
        <v>3457</v>
      </c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>
      <c r="A258" s="17" t="s">
        <v>3458</v>
      </c>
      <c r="B258" s="17" t="s">
        <v>3458</v>
      </c>
      <c r="C258" s="17" t="s">
        <v>3459</v>
      </c>
      <c r="D258" s="17" t="s">
        <v>2669</v>
      </c>
      <c r="E258" s="17" t="s">
        <v>3258</v>
      </c>
      <c r="F258" s="17" t="s">
        <v>3458</v>
      </c>
      <c r="G258" s="17" t="s">
        <v>2671</v>
      </c>
      <c r="H258" s="17" t="s">
        <v>4312</v>
      </c>
      <c r="I258" s="17" t="s">
        <v>4237</v>
      </c>
      <c r="J258" s="17" t="s">
        <v>3259</v>
      </c>
      <c r="K258" s="17" t="s">
        <v>3168</v>
      </c>
      <c r="L258" s="17" t="s">
        <v>3260</v>
      </c>
      <c r="M258" s="17" t="s">
        <v>2669</v>
      </c>
      <c r="N258" s="17" t="s">
        <v>3458</v>
      </c>
      <c r="O258" s="17" t="s">
        <v>7635</v>
      </c>
      <c r="P258" s="17" t="s">
        <v>3460</v>
      </c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>
      <c r="A259" s="17" t="s">
        <v>3461</v>
      </c>
      <c r="B259" s="17" t="s">
        <v>3461</v>
      </c>
      <c r="C259" s="17" t="s">
        <v>3459</v>
      </c>
      <c r="D259" s="17" t="s">
        <v>2669</v>
      </c>
      <c r="E259" s="17" t="s">
        <v>3258</v>
      </c>
      <c r="F259" s="17" t="s">
        <v>3461</v>
      </c>
      <c r="G259" s="17" t="s">
        <v>2671</v>
      </c>
      <c r="H259" s="17" t="s">
        <v>6835</v>
      </c>
      <c r="I259" s="17" t="s">
        <v>4237</v>
      </c>
      <c r="J259" s="17" t="s">
        <v>3259</v>
      </c>
      <c r="K259" s="17" t="s">
        <v>3168</v>
      </c>
      <c r="L259" s="17" t="s">
        <v>3260</v>
      </c>
      <c r="M259" s="17" t="s">
        <v>2669</v>
      </c>
      <c r="N259" s="17" t="s">
        <v>3461</v>
      </c>
      <c r="O259" s="17" t="s">
        <v>7635</v>
      </c>
      <c r="P259" s="17" t="s">
        <v>3462</v>
      </c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>
      <c r="A260" s="17" t="s">
        <v>3463</v>
      </c>
      <c r="B260" s="17" t="s">
        <v>3463</v>
      </c>
      <c r="C260" s="17" t="s">
        <v>3464</v>
      </c>
      <c r="D260" s="17" t="s">
        <v>2669</v>
      </c>
      <c r="E260" s="17" t="s">
        <v>3258</v>
      </c>
      <c r="F260" s="17" t="s">
        <v>3463</v>
      </c>
      <c r="G260" s="17" t="s">
        <v>2671</v>
      </c>
      <c r="H260" s="17" t="s">
        <v>4312</v>
      </c>
      <c r="I260" s="17" t="s">
        <v>4237</v>
      </c>
      <c r="J260" s="17" t="s">
        <v>3259</v>
      </c>
      <c r="K260" s="17" t="s">
        <v>3174</v>
      </c>
      <c r="L260" s="17" t="s">
        <v>3260</v>
      </c>
      <c r="M260" s="17" t="s">
        <v>2669</v>
      </c>
      <c r="N260" s="17" t="s">
        <v>3463</v>
      </c>
      <c r="O260" s="17" t="s">
        <v>7635</v>
      </c>
      <c r="P260" s="17" t="s">
        <v>3465</v>
      </c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>
      <c r="A261" s="17" t="s">
        <v>3466</v>
      </c>
      <c r="B261" s="17" t="s">
        <v>3466</v>
      </c>
      <c r="C261" s="17" t="s">
        <v>3464</v>
      </c>
      <c r="D261" s="17" t="s">
        <v>2669</v>
      </c>
      <c r="E261" s="17" t="s">
        <v>3258</v>
      </c>
      <c r="F261" s="17" t="s">
        <v>3466</v>
      </c>
      <c r="G261" s="17" t="s">
        <v>2671</v>
      </c>
      <c r="H261" s="17" t="s">
        <v>6835</v>
      </c>
      <c r="I261" s="17" t="s">
        <v>4237</v>
      </c>
      <c r="J261" s="17" t="s">
        <v>3259</v>
      </c>
      <c r="K261" s="17" t="s">
        <v>3174</v>
      </c>
      <c r="L261" s="17" t="s">
        <v>3260</v>
      </c>
      <c r="M261" s="17" t="s">
        <v>2669</v>
      </c>
      <c r="N261" s="17" t="s">
        <v>3466</v>
      </c>
      <c r="O261" s="17" t="s">
        <v>7635</v>
      </c>
      <c r="P261" s="17" t="s">
        <v>3467</v>
      </c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>
      <c r="A262" s="17" t="s">
        <v>3468</v>
      </c>
      <c r="B262" s="17" t="s">
        <v>3468</v>
      </c>
      <c r="C262" s="17" t="s">
        <v>3469</v>
      </c>
      <c r="D262" s="17" t="s">
        <v>2669</v>
      </c>
      <c r="E262" s="17" t="s">
        <v>3258</v>
      </c>
      <c r="F262" s="17" t="s">
        <v>3468</v>
      </c>
      <c r="G262" s="17" t="s">
        <v>2671</v>
      </c>
      <c r="H262" s="17" t="s">
        <v>4312</v>
      </c>
      <c r="I262" s="17" t="s">
        <v>4237</v>
      </c>
      <c r="J262" s="17" t="s">
        <v>3259</v>
      </c>
      <c r="K262" s="17" t="s">
        <v>3180</v>
      </c>
      <c r="L262" s="17" t="s">
        <v>3260</v>
      </c>
      <c r="M262" s="17" t="s">
        <v>2669</v>
      </c>
      <c r="N262" s="17" t="s">
        <v>3468</v>
      </c>
      <c r="O262" s="17" t="s">
        <v>7635</v>
      </c>
      <c r="P262" s="17" t="s">
        <v>3470</v>
      </c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>
      <c r="A263" s="17" t="s">
        <v>3471</v>
      </c>
      <c r="B263" s="17" t="s">
        <v>3471</v>
      </c>
      <c r="C263" s="17" t="s">
        <v>3469</v>
      </c>
      <c r="D263" s="17" t="s">
        <v>2669</v>
      </c>
      <c r="E263" s="17" t="s">
        <v>3258</v>
      </c>
      <c r="F263" s="17" t="s">
        <v>3471</v>
      </c>
      <c r="G263" s="17" t="s">
        <v>2671</v>
      </c>
      <c r="H263" s="17" t="s">
        <v>6835</v>
      </c>
      <c r="I263" s="17" t="s">
        <v>4237</v>
      </c>
      <c r="J263" s="17" t="s">
        <v>3259</v>
      </c>
      <c r="K263" s="17" t="s">
        <v>3180</v>
      </c>
      <c r="L263" s="17" t="s">
        <v>3260</v>
      </c>
      <c r="M263" s="17" t="s">
        <v>2669</v>
      </c>
      <c r="N263" s="17" t="s">
        <v>3471</v>
      </c>
      <c r="O263" s="17" t="s">
        <v>7635</v>
      </c>
      <c r="P263" s="17" t="s">
        <v>3472</v>
      </c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>
      <c r="A264" s="17" t="s">
        <v>3473</v>
      </c>
      <c r="B264" s="17" t="s">
        <v>3473</v>
      </c>
      <c r="C264" s="17" t="s">
        <v>3474</v>
      </c>
      <c r="D264" s="17" t="s">
        <v>2669</v>
      </c>
      <c r="E264" s="17" t="s">
        <v>3258</v>
      </c>
      <c r="F264" s="17" t="s">
        <v>3473</v>
      </c>
      <c r="G264" s="17" t="s">
        <v>2671</v>
      </c>
      <c r="H264" s="17" t="s">
        <v>4312</v>
      </c>
      <c r="I264" s="17" t="s">
        <v>4237</v>
      </c>
      <c r="J264" s="17" t="s">
        <v>3259</v>
      </c>
      <c r="K264" s="17" t="s">
        <v>3186</v>
      </c>
      <c r="L264" s="17" t="s">
        <v>3260</v>
      </c>
      <c r="M264" s="17" t="s">
        <v>2669</v>
      </c>
      <c r="N264" s="17" t="s">
        <v>3473</v>
      </c>
      <c r="O264" s="17" t="s">
        <v>7635</v>
      </c>
      <c r="P264" s="17" t="s">
        <v>3475</v>
      </c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>
      <c r="A265" s="17" t="s">
        <v>3476</v>
      </c>
      <c r="B265" s="17" t="s">
        <v>3476</v>
      </c>
      <c r="C265" s="17" t="s">
        <v>3474</v>
      </c>
      <c r="D265" s="17" t="s">
        <v>2669</v>
      </c>
      <c r="E265" s="17" t="s">
        <v>3258</v>
      </c>
      <c r="F265" s="17" t="s">
        <v>3476</v>
      </c>
      <c r="G265" s="17" t="s">
        <v>2671</v>
      </c>
      <c r="H265" s="17" t="s">
        <v>6835</v>
      </c>
      <c r="I265" s="17" t="s">
        <v>4237</v>
      </c>
      <c r="J265" s="17" t="s">
        <v>3259</v>
      </c>
      <c r="K265" s="17" t="s">
        <v>3186</v>
      </c>
      <c r="L265" s="17" t="s">
        <v>3260</v>
      </c>
      <c r="M265" s="17" t="s">
        <v>2669</v>
      </c>
      <c r="N265" s="17" t="s">
        <v>3476</v>
      </c>
      <c r="O265" s="17" t="s">
        <v>7635</v>
      </c>
      <c r="P265" s="17" t="s">
        <v>3477</v>
      </c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>
      <c r="A266" s="17" t="s">
        <v>3478</v>
      </c>
      <c r="B266" s="17" t="s">
        <v>3478</v>
      </c>
      <c r="C266" s="17" t="s">
        <v>3479</v>
      </c>
      <c r="D266" s="17" t="s">
        <v>2669</v>
      </c>
      <c r="E266" s="17" t="s">
        <v>3258</v>
      </c>
      <c r="F266" s="17" t="s">
        <v>3478</v>
      </c>
      <c r="G266" s="17" t="s">
        <v>2671</v>
      </c>
      <c r="H266" s="17" t="s">
        <v>4312</v>
      </c>
      <c r="I266" s="17" t="s">
        <v>4237</v>
      </c>
      <c r="J266" s="17" t="s">
        <v>3259</v>
      </c>
      <c r="K266" s="17" t="s">
        <v>2952</v>
      </c>
      <c r="L266" s="17" t="s">
        <v>3260</v>
      </c>
      <c r="M266" s="17" t="s">
        <v>2669</v>
      </c>
      <c r="N266" s="17" t="s">
        <v>3478</v>
      </c>
      <c r="O266" s="17" t="s">
        <v>7635</v>
      </c>
      <c r="P266" s="17" t="s">
        <v>3480</v>
      </c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>
      <c r="A267" s="17" t="s">
        <v>3481</v>
      </c>
      <c r="B267" s="17" t="s">
        <v>3481</v>
      </c>
      <c r="C267" s="17" t="s">
        <v>3479</v>
      </c>
      <c r="D267" s="17" t="s">
        <v>2669</v>
      </c>
      <c r="E267" s="17" t="s">
        <v>3258</v>
      </c>
      <c r="F267" s="17" t="s">
        <v>3481</v>
      </c>
      <c r="G267" s="17" t="s">
        <v>2671</v>
      </c>
      <c r="H267" s="17" t="s">
        <v>6835</v>
      </c>
      <c r="I267" s="17" t="s">
        <v>4237</v>
      </c>
      <c r="J267" s="17" t="s">
        <v>3259</v>
      </c>
      <c r="K267" s="17" t="s">
        <v>2952</v>
      </c>
      <c r="L267" s="17" t="s">
        <v>3260</v>
      </c>
      <c r="M267" s="17" t="s">
        <v>2669</v>
      </c>
      <c r="N267" s="17" t="s">
        <v>3481</v>
      </c>
      <c r="O267" s="17" t="s">
        <v>7635</v>
      </c>
      <c r="P267" s="17" t="s">
        <v>3482</v>
      </c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>
      <c r="A268" s="17" t="s">
        <v>3483</v>
      </c>
      <c r="B268" s="17" t="s">
        <v>3483</v>
      </c>
      <c r="C268" s="17" t="s">
        <v>3484</v>
      </c>
      <c r="D268" s="17" t="s">
        <v>2669</v>
      </c>
      <c r="E268" s="17" t="s">
        <v>3258</v>
      </c>
      <c r="F268" s="17" t="s">
        <v>3483</v>
      </c>
      <c r="G268" s="17" t="s">
        <v>2671</v>
      </c>
      <c r="H268" s="17" t="s">
        <v>4312</v>
      </c>
      <c r="I268" s="17" t="s">
        <v>4237</v>
      </c>
      <c r="J268" s="17" t="s">
        <v>3259</v>
      </c>
      <c r="K268" s="17" t="s">
        <v>3197</v>
      </c>
      <c r="L268" s="17" t="s">
        <v>3260</v>
      </c>
      <c r="M268" s="17" t="s">
        <v>2669</v>
      </c>
      <c r="N268" s="17" t="s">
        <v>3483</v>
      </c>
      <c r="O268" s="17" t="s">
        <v>7635</v>
      </c>
      <c r="P268" s="17" t="s">
        <v>3485</v>
      </c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>
      <c r="A269" s="17" t="s">
        <v>3486</v>
      </c>
      <c r="B269" s="17" t="s">
        <v>3486</v>
      </c>
      <c r="C269" s="17" t="s">
        <v>3484</v>
      </c>
      <c r="D269" s="17" t="s">
        <v>2669</v>
      </c>
      <c r="E269" s="17" t="s">
        <v>3258</v>
      </c>
      <c r="F269" s="17" t="s">
        <v>3486</v>
      </c>
      <c r="G269" s="17" t="s">
        <v>2671</v>
      </c>
      <c r="H269" s="17" t="s">
        <v>6835</v>
      </c>
      <c r="I269" s="17" t="s">
        <v>4237</v>
      </c>
      <c r="J269" s="17" t="s">
        <v>3259</v>
      </c>
      <c r="K269" s="17" t="s">
        <v>3197</v>
      </c>
      <c r="L269" s="17" t="s">
        <v>3260</v>
      </c>
      <c r="M269" s="17" t="s">
        <v>2669</v>
      </c>
      <c r="N269" s="17" t="s">
        <v>3486</v>
      </c>
      <c r="O269" s="17" t="s">
        <v>7635</v>
      </c>
      <c r="P269" s="17" t="s">
        <v>3487</v>
      </c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>
      <c r="A270" s="17" t="s">
        <v>3488</v>
      </c>
      <c r="B270" s="17" t="s">
        <v>3488</v>
      </c>
      <c r="C270" s="17" t="s">
        <v>3489</v>
      </c>
      <c r="D270" s="17" t="s">
        <v>2669</v>
      </c>
      <c r="E270" s="17" t="s">
        <v>3258</v>
      </c>
      <c r="F270" s="17" t="s">
        <v>3488</v>
      </c>
      <c r="G270" s="17" t="s">
        <v>2671</v>
      </c>
      <c r="H270" s="17" t="s">
        <v>4312</v>
      </c>
      <c r="I270" s="17" t="s">
        <v>4237</v>
      </c>
      <c r="J270" s="17" t="s">
        <v>3259</v>
      </c>
      <c r="K270" s="17" t="s">
        <v>3203</v>
      </c>
      <c r="L270" s="17" t="s">
        <v>3260</v>
      </c>
      <c r="M270" s="17" t="s">
        <v>2669</v>
      </c>
      <c r="N270" s="17" t="s">
        <v>3488</v>
      </c>
      <c r="O270" s="17" t="s">
        <v>7635</v>
      </c>
      <c r="P270" s="17" t="s">
        <v>3490</v>
      </c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>
      <c r="A271" s="17" t="s">
        <v>3491</v>
      </c>
      <c r="B271" s="17" t="s">
        <v>3491</v>
      </c>
      <c r="C271" s="17" t="s">
        <v>3489</v>
      </c>
      <c r="D271" s="17" t="s">
        <v>2669</v>
      </c>
      <c r="E271" s="17" t="s">
        <v>3258</v>
      </c>
      <c r="F271" s="17" t="s">
        <v>3491</v>
      </c>
      <c r="G271" s="17" t="s">
        <v>2671</v>
      </c>
      <c r="H271" s="17" t="s">
        <v>6835</v>
      </c>
      <c r="I271" s="17" t="s">
        <v>4237</v>
      </c>
      <c r="J271" s="17" t="s">
        <v>3259</v>
      </c>
      <c r="K271" s="17" t="s">
        <v>3203</v>
      </c>
      <c r="L271" s="17" t="s">
        <v>3260</v>
      </c>
      <c r="M271" s="17" t="s">
        <v>2669</v>
      </c>
      <c r="N271" s="17" t="s">
        <v>3491</v>
      </c>
      <c r="O271" s="17" t="s">
        <v>7635</v>
      </c>
      <c r="P271" s="17" t="s">
        <v>3492</v>
      </c>
      <c r="Q271" s="17" t="s">
        <v>2669</v>
      </c>
      <c r="R271" s="17" t="s">
        <v>3493</v>
      </c>
      <c r="S271" s="17" t="s">
        <v>7635</v>
      </c>
      <c r="T271" s="17" t="s">
        <v>3494</v>
      </c>
      <c r="U271" s="17"/>
      <c r="V271" s="17"/>
      <c r="W271" s="17"/>
      <c r="X271" s="17"/>
      <c r="Y271" s="17"/>
    </row>
    <row r="272" spans="1:25">
      <c r="A272" s="17" t="s">
        <v>3495</v>
      </c>
      <c r="B272" s="17" t="s">
        <v>3495</v>
      </c>
      <c r="C272" s="17" t="s">
        <v>3496</v>
      </c>
      <c r="D272" s="17" t="s">
        <v>2669</v>
      </c>
      <c r="E272" s="17" t="s">
        <v>3258</v>
      </c>
      <c r="F272" s="17" t="s">
        <v>3495</v>
      </c>
      <c r="G272" s="17" t="s">
        <v>2671</v>
      </c>
      <c r="H272" s="17" t="s">
        <v>4312</v>
      </c>
      <c r="I272" s="17" t="s">
        <v>4237</v>
      </c>
      <c r="J272" s="17" t="s">
        <v>3259</v>
      </c>
      <c r="K272" s="17" t="s">
        <v>2956</v>
      </c>
      <c r="L272" s="17" t="s">
        <v>3260</v>
      </c>
      <c r="M272" s="17" t="s">
        <v>2669</v>
      </c>
      <c r="N272" s="17" t="s">
        <v>3495</v>
      </c>
      <c r="O272" s="17" t="s">
        <v>7635</v>
      </c>
      <c r="P272" s="17" t="s">
        <v>3497</v>
      </c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>
      <c r="A273" s="17" t="s">
        <v>3498</v>
      </c>
      <c r="B273" s="17" t="s">
        <v>3498</v>
      </c>
      <c r="C273" s="17" t="s">
        <v>3496</v>
      </c>
      <c r="D273" s="17" t="s">
        <v>2669</v>
      </c>
      <c r="E273" s="17" t="s">
        <v>3258</v>
      </c>
      <c r="F273" s="17" t="s">
        <v>3498</v>
      </c>
      <c r="G273" s="17" t="s">
        <v>2671</v>
      </c>
      <c r="H273" s="17" t="s">
        <v>6835</v>
      </c>
      <c r="I273" s="17" t="s">
        <v>4237</v>
      </c>
      <c r="J273" s="17" t="s">
        <v>3259</v>
      </c>
      <c r="K273" s="17" t="s">
        <v>2956</v>
      </c>
      <c r="L273" s="17" t="s">
        <v>3260</v>
      </c>
      <c r="M273" s="17" t="s">
        <v>2669</v>
      </c>
      <c r="N273" s="17" t="s">
        <v>3498</v>
      </c>
      <c r="O273" s="17" t="s">
        <v>7635</v>
      </c>
      <c r="P273" s="17" t="s">
        <v>3499</v>
      </c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>
      <c r="A274" s="17" t="s">
        <v>3500</v>
      </c>
      <c r="B274" s="17" t="s">
        <v>3500</v>
      </c>
      <c r="C274" s="17" t="s">
        <v>3501</v>
      </c>
      <c r="D274" s="17" t="s">
        <v>2669</v>
      </c>
      <c r="E274" s="17" t="s">
        <v>3258</v>
      </c>
      <c r="F274" s="17" t="s">
        <v>3500</v>
      </c>
      <c r="G274" s="17" t="s">
        <v>2671</v>
      </c>
      <c r="H274" s="17" t="s">
        <v>4312</v>
      </c>
      <c r="I274" s="17" t="s">
        <v>4237</v>
      </c>
      <c r="J274" s="17" t="s">
        <v>3259</v>
      </c>
      <c r="K274" s="17" t="s">
        <v>3212</v>
      </c>
      <c r="L274" s="17" t="s">
        <v>3260</v>
      </c>
      <c r="M274" s="17" t="s">
        <v>2669</v>
      </c>
      <c r="N274" s="17" t="s">
        <v>3500</v>
      </c>
      <c r="O274" s="17" t="s">
        <v>7635</v>
      </c>
      <c r="P274" s="17" t="s">
        <v>3502</v>
      </c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>
      <c r="A275" s="17" t="s">
        <v>3503</v>
      </c>
      <c r="B275" s="17" t="s">
        <v>3503</v>
      </c>
      <c r="C275" s="17" t="s">
        <v>3501</v>
      </c>
      <c r="D275" s="17" t="s">
        <v>2669</v>
      </c>
      <c r="E275" s="17" t="s">
        <v>3258</v>
      </c>
      <c r="F275" s="17" t="s">
        <v>3503</v>
      </c>
      <c r="G275" s="17" t="s">
        <v>2671</v>
      </c>
      <c r="H275" s="17" t="s">
        <v>6835</v>
      </c>
      <c r="I275" s="17" t="s">
        <v>4237</v>
      </c>
      <c r="J275" s="17" t="s">
        <v>3259</v>
      </c>
      <c r="K275" s="17" t="s">
        <v>3212</v>
      </c>
      <c r="L275" s="17" t="s">
        <v>3260</v>
      </c>
      <c r="M275" s="17" t="s">
        <v>2669</v>
      </c>
      <c r="N275" s="17" t="s">
        <v>3503</v>
      </c>
      <c r="O275" s="17" t="s">
        <v>7635</v>
      </c>
      <c r="P275" s="17" t="s">
        <v>3504</v>
      </c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>
      <c r="A276" s="17" t="s">
        <v>3505</v>
      </c>
      <c r="B276" s="17" t="s">
        <v>3505</v>
      </c>
      <c r="C276" s="17" t="s">
        <v>3506</v>
      </c>
      <c r="D276" s="17" t="s">
        <v>2669</v>
      </c>
      <c r="E276" s="17" t="s">
        <v>3258</v>
      </c>
      <c r="F276" s="17" t="s">
        <v>3505</v>
      </c>
      <c r="G276" s="17" t="s">
        <v>2671</v>
      </c>
      <c r="H276" s="17" t="s">
        <v>4312</v>
      </c>
      <c r="I276" s="17" t="s">
        <v>4237</v>
      </c>
      <c r="J276" s="17" t="s">
        <v>3259</v>
      </c>
      <c r="K276" s="17" t="s">
        <v>2960</v>
      </c>
      <c r="L276" s="17" t="s">
        <v>3260</v>
      </c>
      <c r="M276" s="17" t="s">
        <v>2669</v>
      </c>
      <c r="N276" s="17" t="s">
        <v>3505</v>
      </c>
      <c r="O276" s="17" t="s">
        <v>7635</v>
      </c>
      <c r="P276" s="17" t="s">
        <v>3507</v>
      </c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>
      <c r="A277" s="17" t="s">
        <v>3508</v>
      </c>
      <c r="B277" s="17" t="s">
        <v>3508</v>
      </c>
      <c r="C277" s="17" t="s">
        <v>3506</v>
      </c>
      <c r="D277" s="17" t="s">
        <v>2669</v>
      </c>
      <c r="E277" s="17" t="s">
        <v>3258</v>
      </c>
      <c r="F277" s="17" t="s">
        <v>3508</v>
      </c>
      <c r="G277" s="17" t="s">
        <v>2671</v>
      </c>
      <c r="H277" s="17" t="s">
        <v>6835</v>
      </c>
      <c r="I277" s="17" t="s">
        <v>4237</v>
      </c>
      <c r="J277" s="17" t="s">
        <v>3259</v>
      </c>
      <c r="K277" s="17" t="s">
        <v>2960</v>
      </c>
      <c r="L277" s="17" t="s">
        <v>3260</v>
      </c>
      <c r="M277" s="17" t="s">
        <v>2669</v>
      </c>
      <c r="N277" s="17" t="s">
        <v>3508</v>
      </c>
      <c r="O277" s="17" t="s">
        <v>7635</v>
      </c>
      <c r="P277" s="17" t="s">
        <v>3509</v>
      </c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>
      <c r="A278" s="17" t="s">
        <v>3510</v>
      </c>
      <c r="B278" s="17" t="s">
        <v>3510</v>
      </c>
      <c r="C278" s="17" t="s">
        <v>3511</v>
      </c>
      <c r="D278" s="17" t="s">
        <v>2669</v>
      </c>
      <c r="E278" s="17" t="s">
        <v>3258</v>
      </c>
      <c r="F278" s="17" t="s">
        <v>3510</v>
      </c>
      <c r="G278" s="17" t="s">
        <v>2671</v>
      </c>
      <c r="H278" s="17" t="s">
        <v>4312</v>
      </c>
      <c r="I278" s="17" t="s">
        <v>4237</v>
      </c>
      <c r="J278" s="17" t="s">
        <v>3259</v>
      </c>
      <c r="K278" s="17" t="s">
        <v>2964</v>
      </c>
      <c r="L278" s="17" t="s">
        <v>3260</v>
      </c>
      <c r="M278" s="17" t="s">
        <v>2669</v>
      </c>
      <c r="N278" s="17" t="s">
        <v>3510</v>
      </c>
      <c r="O278" s="17" t="s">
        <v>7635</v>
      </c>
      <c r="P278" s="17" t="s">
        <v>3512</v>
      </c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>
      <c r="A279" s="17" t="s">
        <v>3513</v>
      </c>
      <c r="B279" s="17" t="s">
        <v>3513</v>
      </c>
      <c r="C279" s="17" t="s">
        <v>3511</v>
      </c>
      <c r="D279" s="17" t="s">
        <v>2669</v>
      </c>
      <c r="E279" s="17" t="s">
        <v>3258</v>
      </c>
      <c r="F279" s="17" t="s">
        <v>3513</v>
      </c>
      <c r="G279" s="17" t="s">
        <v>2671</v>
      </c>
      <c r="H279" s="17" t="s">
        <v>6835</v>
      </c>
      <c r="I279" s="17" t="s">
        <v>4237</v>
      </c>
      <c r="J279" s="17" t="s">
        <v>3259</v>
      </c>
      <c r="K279" s="17" t="s">
        <v>2964</v>
      </c>
      <c r="L279" s="17" t="s">
        <v>3260</v>
      </c>
      <c r="M279" s="17" t="s">
        <v>2669</v>
      </c>
      <c r="N279" s="17" t="s">
        <v>3513</v>
      </c>
      <c r="O279" s="17" t="s">
        <v>7635</v>
      </c>
      <c r="P279" s="17" t="s">
        <v>3514</v>
      </c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>
      <c r="A280" s="17" t="s">
        <v>3515</v>
      </c>
      <c r="B280" s="17" t="s">
        <v>3515</v>
      </c>
      <c r="C280" s="17" t="s">
        <v>3516</v>
      </c>
      <c r="D280" s="17" t="s">
        <v>2669</v>
      </c>
      <c r="E280" s="17" t="s">
        <v>3258</v>
      </c>
      <c r="F280" s="17" t="s">
        <v>3515</v>
      </c>
      <c r="G280" s="17" t="s">
        <v>2671</v>
      </c>
      <c r="H280" s="17" t="s">
        <v>4312</v>
      </c>
      <c r="I280" s="17" t="s">
        <v>4237</v>
      </c>
      <c r="J280" s="17" t="s">
        <v>3259</v>
      </c>
      <c r="K280" s="17" t="s">
        <v>3228</v>
      </c>
      <c r="L280" s="17" t="s">
        <v>3260</v>
      </c>
      <c r="M280" s="17" t="s">
        <v>2669</v>
      </c>
      <c r="N280" s="17" t="s">
        <v>3515</v>
      </c>
      <c r="O280" s="17" t="s">
        <v>7635</v>
      </c>
      <c r="P280" s="17" t="s">
        <v>3517</v>
      </c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>
      <c r="A281" s="17" t="s">
        <v>3518</v>
      </c>
      <c r="B281" s="17" t="s">
        <v>3518</v>
      </c>
      <c r="C281" s="17" t="s">
        <v>3516</v>
      </c>
      <c r="D281" s="17" t="s">
        <v>2669</v>
      </c>
      <c r="E281" s="17" t="s">
        <v>3258</v>
      </c>
      <c r="F281" s="17" t="s">
        <v>3518</v>
      </c>
      <c r="G281" s="17" t="s">
        <v>2671</v>
      </c>
      <c r="H281" s="17" t="s">
        <v>6835</v>
      </c>
      <c r="I281" s="17" t="s">
        <v>4237</v>
      </c>
      <c r="J281" s="17" t="s">
        <v>3259</v>
      </c>
      <c r="K281" s="17" t="s">
        <v>3228</v>
      </c>
      <c r="L281" s="17" t="s">
        <v>3260</v>
      </c>
      <c r="M281" s="17" t="s">
        <v>2669</v>
      </c>
      <c r="N281" s="17" t="s">
        <v>3518</v>
      </c>
      <c r="O281" s="17" t="s">
        <v>7635</v>
      </c>
      <c r="P281" s="17" t="s">
        <v>3519</v>
      </c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>
      <c r="A282" s="17" t="s">
        <v>3520</v>
      </c>
      <c r="B282" s="17" t="s">
        <v>3520</v>
      </c>
      <c r="C282" s="17" t="s">
        <v>3521</v>
      </c>
      <c r="D282" s="17" t="s">
        <v>2669</v>
      </c>
      <c r="E282" s="17" t="s">
        <v>3258</v>
      </c>
      <c r="F282" s="17" t="s">
        <v>3520</v>
      </c>
      <c r="G282" s="17" t="s">
        <v>2671</v>
      </c>
      <c r="H282" s="17" t="s">
        <v>4312</v>
      </c>
      <c r="I282" s="17" t="s">
        <v>4237</v>
      </c>
      <c r="J282" s="17" t="s">
        <v>3259</v>
      </c>
      <c r="K282" s="17" t="s">
        <v>3234</v>
      </c>
      <c r="L282" s="17" t="s">
        <v>3260</v>
      </c>
      <c r="M282" s="17" t="s">
        <v>2669</v>
      </c>
      <c r="N282" s="17" t="s">
        <v>3520</v>
      </c>
      <c r="O282" s="17" t="s">
        <v>7635</v>
      </c>
      <c r="P282" s="17" t="s">
        <v>3522</v>
      </c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>
      <c r="A283" s="17" t="s">
        <v>3523</v>
      </c>
      <c r="B283" s="17" t="s">
        <v>3523</v>
      </c>
      <c r="C283" s="17" t="s">
        <v>3521</v>
      </c>
      <c r="D283" s="17" t="s">
        <v>2669</v>
      </c>
      <c r="E283" s="17" t="s">
        <v>3258</v>
      </c>
      <c r="F283" s="17" t="s">
        <v>3523</v>
      </c>
      <c r="G283" s="17" t="s">
        <v>2671</v>
      </c>
      <c r="H283" s="17" t="s">
        <v>6835</v>
      </c>
      <c r="I283" s="17" t="s">
        <v>4237</v>
      </c>
      <c r="J283" s="17" t="s">
        <v>3259</v>
      </c>
      <c r="K283" s="17" t="s">
        <v>3234</v>
      </c>
      <c r="L283" s="17" t="s">
        <v>3260</v>
      </c>
      <c r="M283" s="17" t="s">
        <v>2669</v>
      </c>
      <c r="N283" s="17" t="s">
        <v>3523</v>
      </c>
      <c r="O283" s="17" t="s">
        <v>7635</v>
      </c>
      <c r="P283" s="17" t="s">
        <v>3524</v>
      </c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>
      <c r="A284" s="17" t="s">
        <v>3525</v>
      </c>
      <c r="B284" s="17" t="s">
        <v>3525</v>
      </c>
      <c r="C284" s="17" t="s">
        <v>3526</v>
      </c>
      <c r="D284" s="17" t="s">
        <v>2669</v>
      </c>
      <c r="E284" s="17" t="s">
        <v>3258</v>
      </c>
      <c r="F284" s="17" t="s">
        <v>3525</v>
      </c>
      <c r="G284" s="17" t="s">
        <v>2671</v>
      </c>
      <c r="H284" s="17" t="s">
        <v>4312</v>
      </c>
      <c r="I284" s="17" t="s">
        <v>4237</v>
      </c>
      <c r="J284" s="17" t="s">
        <v>3259</v>
      </c>
      <c r="K284" s="17" t="s">
        <v>3240</v>
      </c>
      <c r="L284" s="17" t="s">
        <v>3260</v>
      </c>
      <c r="M284" s="17" t="s">
        <v>2669</v>
      </c>
      <c r="N284" s="17" t="s">
        <v>3525</v>
      </c>
      <c r="O284" s="17" t="s">
        <v>7635</v>
      </c>
      <c r="P284" s="17" t="s">
        <v>3527</v>
      </c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>
      <c r="A285" s="17" t="s">
        <v>3528</v>
      </c>
      <c r="B285" s="17" t="s">
        <v>3528</v>
      </c>
      <c r="C285" s="17" t="s">
        <v>3526</v>
      </c>
      <c r="D285" s="17" t="s">
        <v>2669</v>
      </c>
      <c r="E285" s="17" t="s">
        <v>3258</v>
      </c>
      <c r="F285" s="17" t="s">
        <v>3528</v>
      </c>
      <c r="G285" s="17" t="s">
        <v>2671</v>
      </c>
      <c r="H285" s="17" t="s">
        <v>6835</v>
      </c>
      <c r="I285" s="17" t="s">
        <v>4237</v>
      </c>
      <c r="J285" s="17" t="s">
        <v>3259</v>
      </c>
      <c r="K285" s="17" t="s">
        <v>3240</v>
      </c>
      <c r="L285" s="17" t="s">
        <v>3260</v>
      </c>
      <c r="M285" s="17" t="s">
        <v>2669</v>
      </c>
      <c r="N285" s="17" t="s">
        <v>3528</v>
      </c>
      <c r="O285" s="17" t="s">
        <v>7635</v>
      </c>
      <c r="P285" s="17" t="s">
        <v>3529</v>
      </c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>
      <c r="A286" s="17" t="s">
        <v>3530</v>
      </c>
      <c r="B286" s="17" t="s">
        <v>3530</v>
      </c>
      <c r="C286" s="17" t="s">
        <v>3531</v>
      </c>
      <c r="D286" s="17" t="s">
        <v>2669</v>
      </c>
      <c r="E286" s="17" t="s">
        <v>3258</v>
      </c>
      <c r="F286" s="17" t="s">
        <v>3530</v>
      </c>
      <c r="G286" s="17" t="s">
        <v>2671</v>
      </c>
      <c r="H286" s="17" t="s">
        <v>4312</v>
      </c>
      <c r="I286" s="17" t="s">
        <v>4237</v>
      </c>
      <c r="J286" s="17" t="s">
        <v>3259</v>
      </c>
      <c r="K286" s="17" t="s">
        <v>3246</v>
      </c>
      <c r="L286" s="17" t="s">
        <v>3260</v>
      </c>
      <c r="M286" s="17" t="s">
        <v>2669</v>
      </c>
      <c r="N286" s="17" t="s">
        <v>3530</v>
      </c>
      <c r="O286" s="17" t="s">
        <v>7635</v>
      </c>
      <c r="P286" s="17" t="s">
        <v>3532</v>
      </c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>
      <c r="A287" s="17" t="s">
        <v>3533</v>
      </c>
      <c r="B287" s="17" t="s">
        <v>3533</v>
      </c>
      <c r="C287" s="17" t="s">
        <v>3531</v>
      </c>
      <c r="D287" s="17" t="s">
        <v>2669</v>
      </c>
      <c r="E287" s="17" t="s">
        <v>3258</v>
      </c>
      <c r="F287" s="17" t="s">
        <v>3533</v>
      </c>
      <c r="G287" s="17" t="s">
        <v>2671</v>
      </c>
      <c r="H287" s="17" t="s">
        <v>6835</v>
      </c>
      <c r="I287" s="17" t="s">
        <v>4237</v>
      </c>
      <c r="J287" s="17" t="s">
        <v>3259</v>
      </c>
      <c r="K287" s="17" t="s">
        <v>3246</v>
      </c>
      <c r="L287" s="17" t="s">
        <v>3260</v>
      </c>
      <c r="M287" s="17" t="s">
        <v>2669</v>
      </c>
      <c r="N287" s="17" t="s">
        <v>3533</v>
      </c>
      <c r="O287" s="17" t="s">
        <v>7635</v>
      </c>
      <c r="P287" s="17" t="s">
        <v>3534</v>
      </c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>
      <c r="A288" s="17" t="s">
        <v>3535</v>
      </c>
      <c r="B288" s="17" t="s">
        <v>3535</v>
      </c>
      <c r="C288" s="17" t="s">
        <v>3536</v>
      </c>
      <c r="D288" s="17" t="s">
        <v>2669</v>
      </c>
      <c r="E288" s="17" t="s">
        <v>3258</v>
      </c>
      <c r="F288" s="17" t="s">
        <v>3535</v>
      </c>
      <c r="G288" s="17" t="s">
        <v>2671</v>
      </c>
      <c r="H288" s="17" t="s">
        <v>4312</v>
      </c>
      <c r="I288" s="17" t="s">
        <v>4237</v>
      </c>
      <c r="J288" s="17" t="s">
        <v>3259</v>
      </c>
      <c r="K288" s="17" t="s">
        <v>3252</v>
      </c>
      <c r="L288" s="17" t="s">
        <v>3260</v>
      </c>
      <c r="M288" s="17" t="s">
        <v>2669</v>
      </c>
      <c r="N288" s="17" t="s">
        <v>3535</v>
      </c>
      <c r="O288" s="17" t="s">
        <v>7635</v>
      </c>
      <c r="P288" s="17" t="s">
        <v>3537</v>
      </c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>
      <c r="A289" s="17" t="s">
        <v>3538</v>
      </c>
      <c r="B289" s="17" t="s">
        <v>3538</v>
      </c>
      <c r="C289" s="17" t="s">
        <v>3536</v>
      </c>
      <c r="D289" s="17" t="s">
        <v>2669</v>
      </c>
      <c r="E289" s="17" t="s">
        <v>3258</v>
      </c>
      <c r="F289" s="17" t="s">
        <v>3538</v>
      </c>
      <c r="G289" s="17" t="s">
        <v>2671</v>
      </c>
      <c r="H289" s="17" t="s">
        <v>6835</v>
      </c>
      <c r="I289" s="17" t="s">
        <v>4237</v>
      </c>
      <c r="J289" s="17" t="s">
        <v>3259</v>
      </c>
      <c r="K289" s="17" t="s">
        <v>3252</v>
      </c>
      <c r="L289" s="17" t="s">
        <v>3260</v>
      </c>
      <c r="M289" s="17" t="s">
        <v>2669</v>
      </c>
      <c r="N289" s="17" t="s">
        <v>3538</v>
      </c>
      <c r="O289" s="17" t="s">
        <v>7635</v>
      </c>
      <c r="P289" s="17" t="s">
        <v>3539</v>
      </c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>
      <c r="A290" s="17" t="s">
        <v>3541</v>
      </c>
      <c r="B290" s="17" t="s">
        <v>3541</v>
      </c>
      <c r="C290" s="17" t="s">
        <v>3542</v>
      </c>
      <c r="D290" s="17" t="s">
        <v>2669</v>
      </c>
      <c r="E290" s="17" t="s">
        <v>3543</v>
      </c>
      <c r="F290" s="17" t="s">
        <v>3541</v>
      </c>
      <c r="G290" s="17" t="s">
        <v>2671</v>
      </c>
      <c r="H290" s="17" t="s">
        <v>4312</v>
      </c>
      <c r="I290" s="17" t="s">
        <v>4237</v>
      </c>
      <c r="J290" s="17" t="s">
        <v>3544</v>
      </c>
      <c r="K290" s="17" t="s">
        <v>2674</v>
      </c>
      <c r="L290" s="17" t="s">
        <v>3545</v>
      </c>
      <c r="M290" s="17" t="s">
        <v>2669</v>
      </c>
      <c r="N290" s="17" t="s">
        <v>3541</v>
      </c>
      <c r="O290" s="17" t="s">
        <v>7635</v>
      </c>
      <c r="P290" s="17" t="s">
        <v>3546</v>
      </c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>
      <c r="A291" s="17" t="s">
        <v>3547</v>
      </c>
      <c r="B291" s="17" t="s">
        <v>3547</v>
      </c>
      <c r="C291" s="17" t="s">
        <v>3542</v>
      </c>
      <c r="D291" s="17" t="s">
        <v>2669</v>
      </c>
      <c r="E291" s="17" t="s">
        <v>3543</v>
      </c>
      <c r="F291" s="17" t="s">
        <v>3547</v>
      </c>
      <c r="G291" s="17" t="s">
        <v>2671</v>
      </c>
      <c r="H291" s="17" t="s">
        <v>6835</v>
      </c>
      <c r="I291" s="17" t="s">
        <v>4237</v>
      </c>
      <c r="J291" s="17" t="s">
        <v>3544</v>
      </c>
      <c r="K291" s="17" t="s">
        <v>2674</v>
      </c>
      <c r="L291" s="17" t="s">
        <v>3545</v>
      </c>
      <c r="M291" s="17" t="s">
        <v>2669</v>
      </c>
      <c r="N291" s="17" t="s">
        <v>3547</v>
      </c>
      <c r="O291" s="17" t="s">
        <v>7635</v>
      </c>
      <c r="P291" s="17" t="s">
        <v>3548</v>
      </c>
      <c r="Q291" s="17" t="s">
        <v>2669</v>
      </c>
      <c r="R291" s="17" t="s">
        <v>3549</v>
      </c>
      <c r="S291" s="17" t="s">
        <v>7635</v>
      </c>
      <c r="T291" s="17" t="s">
        <v>3550</v>
      </c>
      <c r="U291" s="17"/>
      <c r="V291" s="17"/>
      <c r="W291" s="17"/>
      <c r="X291" s="17"/>
      <c r="Y291" s="17"/>
    </row>
    <row r="292" spans="1:25">
      <c r="A292" s="17" t="s">
        <v>3551</v>
      </c>
      <c r="B292" s="17" t="s">
        <v>3551</v>
      </c>
      <c r="C292" s="17" t="s">
        <v>3552</v>
      </c>
      <c r="D292" s="17" t="s">
        <v>2669</v>
      </c>
      <c r="E292" s="17" t="s">
        <v>3543</v>
      </c>
      <c r="F292" s="17" t="s">
        <v>3551</v>
      </c>
      <c r="G292" s="17" t="s">
        <v>2671</v>
      </c>
      <c r="H292" s="17" t="s">
        <v>4312</v>
      </c>
      <c r="I292" s="17" t="s">
        <v>4237</v>
      </c>
      <c r="J292" s="17" t="s">
        <v>3544</v>
      </c>
      <c r="K292" s="17" t="s">
        <v>2684</v>
      </c>
      <c r="L292" s="17" t="s">
        <v>3545</v>
      </c>
      <c r="M292" s="17" t="s">
        <v>2669</v>
      </c>
      <c r="N292" s="17" t="s">
        <v>3551</v>
      </c>
      <c r="O292" s="17" t="s">
        <v>7635</v>
      </c>
      <c r="P292" s="17" t="s">
        <v>3553</v>
      </c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>
      <c r="A293" s="17" t="s">
        <v>3554</v>
      </c>
      <c r="B293" s="17" t="s">
        <v>3554</v>
      </c>
      <c r="C293" s="17" t="s">
        <v>3552</v>
      </c>
      <c r="D293" s="17" t="s">
        <v>2669</v>
      </c>
      <c r="E293" s="17" t="s">
        <v>3543</v>
      </c>
      <c r="F293" s="17" t="s">
        <v>3554</v>
      </c>
      <c r="G293" s="17" t="s">
        <v>2671</v>
      </c>
      <c r="H293" s="17" t="s">
        <v>6835</v>
      </c>
      <c r="I293" s="17" t="s">
        <v>4237</v>
      </c>
      <c r="J293" s="17" t="s">
        <v>3544</v>
      </c>
      <c r="K293" s="17" t="s">
        <v>2684</v>
      </c>
      <c r="L293" s="17" t="s">
        <v>3545</v>
      </c>
      <c r="M293" s="17" t="s">
        <v>2669</v>
      </c>
      <c r="N293" s="17" t="s">
        <v>3554</v>
      </c>
      <c r="O293" s="17" t="s">
        <v>7635</v>
      </c>
      <c r="P293" s="17" t="s">
        <v>3555</v>
      </c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>
      <c r="A294" s="17" t="s">
        <v>3556</v>
      </c>
      <c r="B294" s="17" t="s">
        <v>3556</v>
      </c>
      <c r="C294" s="17" t="s">
        <v>3557</v>
      </c>
      <c r="D294" s="17" t="s">
        <v>2669</v>
      </c>
      <c r="E294" s="17" t="s">
        <v>3543</v>
      </c>
      <c r="F294" s="17" t="s">
        <v>3556</v>
      </c>
      <c r="G294" s="17" t="s">
        <v>2671</v>
      </c>
      <c r="H294" s="17" t="s">
        <v>4312</v>
      </c>
      <c r="I294" s="17" t="s">
        <v>4237</v>
      </c>
      <c r="J294" s="17" t="s">
        <v>3544</v>
      </c>
      <c r="K294" s="17" t="s">
        <v>2693</v>
      </c>
      <c r="L294" s="17" t="s">
        <v>3545</v>
      </c>
      <c r="M294" s="17" t="s">
        <v>2669</v>
      </c>
      <c r="N294" s="17" t="s">
        <v>3556</v>
      </c>
      <c r="O294" s="17" t="s">
        <v>7635</v>
      </c>
      <c r="P294" s="17" t="s">
        <v>3558</v>
      </c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>
      <c r="A295" s="17" t="s">
        <v>3559</v>
      </c>
      <c r="B295" s="17" t="s">
        <v>3559</v>
      </c>
      <c r="C295" s="17" t="s">
        <v>3557</v>
      </c>
      <c r="D295" s="17" t="s">
        <v>2669</v>
      </c>
      <c r="E295" s="17" t="s">
        <v>3543</v>
      </c>
      <c r="F295" s="17" t="s">
        <v>3559</v>
      </c>
      <c r="G295" s="17" t="s">
        <v>2671</v>
      </c>
      <c r="H295" s="17" t="s">
        <v>6835</v>
      </c>
      <c r="I295" s="17" t="s">
        <v>4237</v>
      </c>
      <c r="J295" s="17" t="s">
        <v>3544</v>
      </c>
      <c r="K295" s="17" t="s">
        <v>2693</v>
      </c>
      <c r="L295" s="17" t="s">
        <v>3545</v>
      </c>
      <c r="M295" s="17" t="s">
        <v>2669</v>
      </c>
      <c r="N295" s="17" t="s">
        <v>3559</v>
      </c>
      <c r="O295" s="17" t="s">
        <v>7635</v>
      </c>
      <c r="P295" s="17" t="s">
        <v>3560</v>
      </c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>
      <c r="A296" s="17" t="s">
        <v>3561</v>
      </c>
      <c r="B296" s="17" t="s">
        <v>3561</v>
      </c>
      <c r="C296" s="17" t="s">
        <v>3562</v>
      </c>
      <c r="D296" s="17" t="s">
        <v>2669</v>
      </c>
      <c r="E296" s="17" t="s">
        <v>3543</v>
      </c>
      <c r="F296" s="17" t="s">
        <v>3561</v>
      </c>
      <c r="G296" s="17" t="s">
        <v>2671</v>
      </c>
      <c r="H296" s="17" t="s">
        <v>4312</v>
      </c>
      <c r="I296" s="17" t="s">
        <v>4237</v>
      </c>
      <c r="J296" s="17" t="s">
        <v>3544</v>
      </c>
      <c r="K296" s="17" t="s">
        <v>2699</v>
      </c>
      <c r="L296" s="17" t="s">
        <v>3545</v>
      </c>
      <c r="M296" s="17" t="s">
        <v>2669</v>
      </c>
      <c r="N296" s="17" t="s">
        <v>3561</v>
      </c>
      <c r="O296" s="17" t="s">
        <v>7635</v>
      </c>
      <c r="P296" s="17" t="s">
        <v>3563</v>
      </c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>
      <c r="A297" s="17" t="s">
        <v>3564</v>
      </c>
      <c r="B297" s="17" t="s">
        <v>3564</v>
      </c>
      <c r="C297" s="17" t="s">
        <v>3562</v>
      </c>
      <c r="D297" s="17" t="s">
        <v>2669</v>
      </c>
      <c r="E297" s="17" t="s">
        <v>3543</v>
      </c>
      <c r="F297" s="17" t="s">
        <v>3564</v>
      </c>
      <c r="G297" s="17" t="s">
        <v>2671</v>
      </c>
      <c r="H297" s="17" t="s">
        <v>6835</v>
      </c>
      <c r="I297" s="17" t="s">
        <v>4237</v>
      </c>
      <c r="J297" s="17" t="s">
        <v>3544</v>
      </c>
      <c r="K297" s="17" t="s">
        <v>2699</v>
      </c>
      <c r="L297" s="17" t="s">
        <v>3545</v>
      </c>
      <c r="M297" s="17" t="s">
        <v>2669</v>
      </c>
      <c r="N297" s="17" t="s">
        <v>3564</v>
      </c>
      <c r="O297" s="17" t="s">
        <v>7635</v>
      </c>
      <c r="P297" s="17" t="s">
        <v>3565</v>
      </c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>
      <c r="A298" s="17" t="s">
        <v>3566</v>
      </c>
      <c r="B298" s="17" t="s">
        <v>3566</v>
      </c>
      <c r="C298" s="17" t="s">
        <v>3567</v>
      </c>
      <c r="D298" s="17" t="s">
        <v>2669</v>
      </c>
      <c r="E298" s="17" t="s">
        <v>3543</v>
      </c>
      <c r="F298" s="17" t="s">
        <v>3566</v>
      </c>
      <c r="G298" s="17" t="s">
        <v>2671</v>
      </c>
      <c r="H298" s="17" t="s">
        <v>4312</v>
      </c>
      <c r="I298" s="17" t="s">
        <v>4237</v>
      </c>
      <c r="J298" s="17" t="s">
        <v>3544</v>
      </c>
      <c r="K298" s="17" t="s">
        <v>2703</v>
      </c>
      <c r="L298" s="17" t="s">
        <v>3545</v>
      </c>
      <c r="M298" s="17" t="s">
        <v>2669</v>
      </c>
      <c r="N298" s="17" t="s">
        <v>3566</v>
      </c>
      <c r="O298" s="17" t="s">
        <v>7635</v>
      </c>
      <c r="P298" s="17" t="s">
        <v>3568</v>
      </c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>
      <c r="A299" s="17" t="s">
        <v>3569</v>
      </c>
      <c r="B299" s="17" t="s">
        <v>3569</v>
      </c>
      <c r="C299" s="17" t="s">
        <v>3567</v>
      </c>
      <c r="D299" s="17" t="s">
        <v>2669</v>
      </c>
      <c r="E299" s="17" t="s">
        <v>3543</v>
      </c>
      <c r="F299" s="17" t="s">
        <v>3569</v>
      </c>
      <c r="G299" s="17" t="s">
        <v>2671</v>
      </c>
      <c r="H299" s="17" t="s">
        <v>6835</v>
      </c>
      <c r="I299" s="17" t="s">
        <v>4237</v>
      </c>
      <c r="J299" s="17" t="s">
        <v>3544</v>
      </c>
      <c r="K299" s="17" t="s">
        <v>2703</v>
      </c>
      <c r="L299" s="17" t="s">
        <v>3545</v>
      </c>
      <c r="M299" s="17" t="s">
        <v>2669</v>
      </c>
      <c r="N299" s="17" t="s">
        <v>3569</v>
      </c>
      <c r="O299" s="17" t="s">
        <v>7635</v>
      </c>
      <c r="P299" s="17" t="s">
        <v>3570</v>
      </c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>
      <c r="A300" s="17" t="s">
        <v>3571</v>
      </c>
      <c r="B300" s="17" t="s">
        <v>3571</v>
      </c>
      <c r="C300" s="17" t="s">
        <v>3572</v>
      </c>
      <c r="D300" s="17" t="s">
        <v>2669</v>
      </c>
      <c r="E300" s="17" t="s">
        <v>3543</v>
      </c>
      <c r="F300" s="17" t="s">
        <v>3571</v>
      </c>
      <c r="G300" s="17" t="s">
        <v>2671</v>
      </c>
      <c r="H300" s="17" t="s">
        <v>4312</v>
      </c>
      <c r="I300" s="17" t="s">
        <v>4237</v>
      </c>
      <c r="J300" s="17" t="s">
        <v>3544</v>
      </c>
      <c r="K300" s="17" t="s">
        <v>2707</v>
      </c>
      <c r="L300" s="17" t="s">
        <v>3545</v>
      </c>
      <c r="M300" s="17" t="s">
        <v>2669</v>
      </c>
      <c r="N300" s="17" t="s">
        <v>3571</v>
      </c>
      <c r="O300" s="17" t="s">
        <v>7635</v>
      </c>
      <c r="P300" s="17" t="s">
        <v>3573</v>
      </c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>
      <c r="A301" s="17" t="s">
        <v>3574</v>
      </c>
      <c r="B301" s="17" t="s">
        <v>3574</v>
      </c>
      <c r="C301" s="17" t="s">
        <v>3572</v>
      </c>
      <c r="D301" s="17" t="s">
        <v>2669</v>
      </c>
      <c r="E301" s="17" t="s">
        <v>3543</v>
      </c>
      <c r="F301" s="17" t="s">
        <v>3574</v>
      </c>
      <c r="G301" s="17" t="s">
        <v>2671</v>
      </c>
      <c r="H301" s="17" t="s">
        <v>6835</v>
      </c>
      <c r="I301" s="17" t="s">
        <v>4237</v>
      </c>
      <c r="J301" s="17" t="s">
        <v>3544</v>
      </c>
      <c r="K301" s="17" t="s">
        <v>2707</v>
      </c>
      <c r="L301" s="17" t="s">
        <v>3545</v>
      </c>
      <c r="M301" s="17" t="s">
        <v>2669</v>
      </c>
      <c r="N301" s="17" t="s">
        <v>3574</v>
      </c>
      <c r="O301" s="17" t="s">
        <v>7635</v>
      </c>
      <c r="P301" s="17" t="s">
        <v>3575</v>
      </c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>
      <c r="A302" s="17" t="s">
        <v>3576</v>
      </c>
      <c r="B302" s="17" t="s">
        <v>3576</v>
      </c>
      <c r="C302" s="17" t="s">
        <v>3577</v>
      </c>
      <c r="D302" s="17" t="s">
        <v>2669</v>
      </c>
      <c r="E302" s="17" t="s">
        <v>3543</v>
      </c>
      <c r="F302" s="17" t="s">
        <v>3576</v>
      </c>
      <c r="G302" s="17" t="s">
        <v>2671</v>
      </c>
      <c r="H302" s="17" t="s">
        <v>4312</v>
      </c>
      <c r="I302" s="17" t="s">
        <v>4237</v>
      </c>
      <c r="J302" s="17" t="s">
        <v>3544</v>
      </c>
      <c r="K302" s="17" t="s">
        <v>2713</v>
      </c>
      <c r="L302" s="17" t="s">
        <v>3545</v>
      </c>
      <c r="M302" s="17" t="s">
        <v>2669</v>
      </c>
      <c r="N302" s="17" t="s">
        <v>3576</v>
      </c>
      <c r="O302" s="17" t="s">
        <v>7635</v>
      </c>
      <c r="P302" s="17" t="s">
        <v>3578</v>
      </c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>
      <c r="A303" s="17" t="s">
        <v>3579</v>
      </c>
      <c r="B303" s="17" t="s">
        <v>3579</v>
      </c>
      <c r="C303" s="17" t="s">
        <v>3580</v>
      </c>
      <c r="D303" s="17" t="s">
        <v>2669</v>
      </c>
      <c r="E303" s="17" t="s">
        <v>3543</v>
      </c>
      <c r="F303" s="17" t="s">
        <v>3579</v>
      </c>
      <c r="G303" s="17" t="s">
        <v>2671</v>
      </c>
      <c r="H303" s="17" t="s">
        <v>6835</v>
      </c>
      <c r="I303" s="17" t="s">
        <v>4237</v>
      </c>
      <c r="J303" s="17" t="s">
        <v>3544</v>
      </c>
      <c r="K303" s="17" t="s">
        <v>2713</v>
      </c>
      <c r="L303" s="17" t="s">
        <v>3581</v>
      </c>
      <c r="M303" s="17" t="s">
        <v>2669</v>
      </c>
      <c r="N303" s="17" t="s">
        <v>3582</v>
      </c>
      <c r="O303" s="17" t="s">
        <v>7635</v>
      </c>
      <c r="P303" s="17" t="s">
        <v>3583</v>
      </c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>
      <c r="A304" s="17" t="s">
        <v>3584</v>
      </c>
      <c r="B304" s="17" t="s">
        <v>3584</v>
      </c>
      <c r="C304" s="17" t="s">
        <v>3585</v>
      </c>
      <c r="D304" s="17" t="s">
        <v>2669</v>
      </c>
      <c r="E304" s="17" t="s">
        <v>3543</v>
      </c>
      <c r="F304" s="17" t="s">
        <v>3584</v>
      </c>
      <c r="G304" s="17" t="s">
        <v>2671</v>
      </c>
      <c r="H304" s="17" t="s">
        <v>4312</v>
      </c>
      <c r="I304" s="17" t="s">
        <v>4237</v>
      </c>
      <c r="J304" s="17" t="s">
        <v>3544</v>
      </c>
      <c r="K304" s="17" t="s">
        <v>2720</v>
      </c>
      <c r="L304" s="17" t="s">
        <v>3545</v>
      </c>
      <c r="M304" s="17" t="s">
        <v>2669</v>
      </c>
      <c r="N304" s="17" t="s">
        <v>3584</v>
      </c>
      <c r="O304" s="17" t="s">
        <v>7635</v>
      </c>
      <c r="P304" s="17" t="s">
        <v>3586</v>
      </c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>
      <c r="A305" s="17" t="s">
        <v>3587</v>
      </c>
      <c r="B305" s="17" t="s">
        <v>3587</v>
      </c>
      <c r="C305" s="17" t="s">
        <v>3585</v>
      </c>
      <c r="D305" s="17" t="s">
        <v>2669</v>
      </c>
      <c r="E305" s="17" t="s">
        <v>3543</v>
      </c>
      <c r="F305" s="17" t="s">
        <v>3587</v>
      </c>
      <c r="G305" s="17" t="s">
        <v>2671</v>
      </c>
      <c r="H305" s="17" t="s">
        <v>6835</v>
      </c>
      <c r="I305" s="17" t="s">
        <v>4237</v>
      </c>
      <c r="J305" s="17" t="s">
        <v>3544</v>
      </c>
      <c r="K305" s="17" t="s">
        <v>2720</v>
      </c>
      <c r="L305" s="17" t="s">
        <v>3545</v>
      </c>
      <c r="M305" s="17" t="s">
        <v>2669</v>
      </c>
      <c r="N305" s="17" t="s">
        <v>3587</v>
      </c>
      <c r="O305" s="17" t="s">
        <v>7635</v>
      </c>
      <c r="P305" s="17" t="s">
        <v>3588</v>
      </c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>
      <c r="A306" s="17" t="s">
        <v>3589</v>
      </c>
      <c r="B306" s="17" t="s">
        <v>3589</v>
      </c>
      <c r="C306" s="17" t="s">
        <v>3590</v>
      </c>
      <c r="D306" s="17" t="s">
        <v>2669</v>
      </c>
      <c r="E306" s="17" t="s">
        <v>3543</v>
      </c>
      <c r="F306" s="17" t="s">
        <v>3589</v>
      </c>
      <c r="G306" s="17" t="s">
        <v>2671</v>
      </c>
      <c r="H306" s="17" t="s">
        <v>4312</v>
      </c>
      <c r="I306" s="17" t="s">
        <v>4237</v>
      </c>
      <c r="J306" s="17" t="s">
        <v>3544</v>
      </c>
      <c r="K306" s="17" t="s">
        <v>2729</v>
      </c>
      <c r="L306" s="17" t="s">
        <v>3545</v>
      </c>
      <c r="M306" s="17" t="s">
        <v>2669</v>
      </c>
      <c r="N306" s="17" t="s">
        <v>3589</v>
      </c>
      <c r="O306" s="17" t="s">
        <v>7635</v>
      </c>
      <c r="P306" s="17" t="s">
        <v>3591</v>
      </c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>
      <c r="A307" s="17" t="s">
        <v>3592</v>
      </c>
      <c r="B307" s="17" t="s">
        <v>3592</v>
      </c>
      <c r="C307" s="17" t="s">
        <v>3590</v>
      </c>
      <c r="D307" s="17" t="s">
        <v>2669</v>
      </c>
      <c r="E307" s="17" t="s">
        <v>3543</v>
      </c>
      <c r="F307" s="17" t="s">
        <v>3592</v>
      </c>
      <c r="G307" s="17" t="s">
        <v>2671</v>
      </c>
      <c r="H307" s="17" t="s">
        <v>6835</v>
      </c>
      <c r="I307" s="17" t="s">
        <v>4237</v>
      </c>
      <c r="J307" s="17" t="s">
        <v>3544</v>
      </c>
      <c r="K307" s="17" t="s">
        <v>2729</v>
      </c>
      <c r="L307" s="17" t="s">
        <v>3545</v>
      </c>
      <c r="M307" s="17" t="s">
        <v>2669</v>
      </c>
      <c r="N307" s="17" t="s">
        <v>3592</v>
      </c>
      <c r="O307" s="17" t="s">
        <v>7635</v>
      </c>
      <c r="P307" s="17" t="s">
        <v>3593</v>
      </c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>
      <c r="A308" s="17" t="s">
        <v>3594</v>
      </c>
      <c r="B308" s="17" t="s">
        <v>3594</v>
      </c>
      <c r="C308" s="17" t="s">
        <v>3595</v>
      </c>
      <c r="D308" s="17" t="s">
        <v>2669</v>
      </c>
      <c r="E308" s="17" t="s">
        <v>3543</v>
      </c>
      <c r="F308" s="17" t="s">
        <v>3594</v>
      </c>
      <c r="G308" s="17" t="s">
        <v>2671</v>
      </c>
      <c r="H308" s="17" t="s">
        <v>4312</v>
      </c>
      <c r="I308" s="17" t="s">
        <v>4237</v>
      </c>
      <c r="J308" s="17" t="s">
        <v>3544</v>
      </c>
      <c r="K308" s="17" t="s">
        <v>2738</v>
      </c>
      <c r="L308" s="17" t="s">
        <v>3545</v>
      </c>
      <c r="M308" s="17" t="s">
        <v>2669</v>
      </c>
      <c r="N308" s="17" t="s">
        <v>3594</v>
      </c>
      <c r="O308" s="17" t="s">
        <v>7635</v>
      </c>
      <c r="P308" s="17" t="s">
        <v>3596</v>
      </c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>
      <c r="A309" s="17" t="s">
        <v>3597</v>
      </c>
      <c r="B309" s="17" t="s">
        <v>3597</v>
      </c>
      <c r="C309" s="17" t="s">
        <v>3595</v>
      </c>
      <c r="D309" s="17" t="s">
        <v>2669</v>
      </c>
      <c r="E309" s="17" t="s">
        <v>3543</v>
      </c>
      <c r="F309" s="17" t="s">
        <v>3597</v>
      </c>
      <c r="G309" s="17" t="s">
        <v>2671</v>
      </c>
      <c r="H309" s="17" t="s">
        <v>6835</v>
      </c>
      <c r="I309" s="17" t="s">
        <v>4237</v>
      </c>
      <c r="J309" s="17" t="s">
        <v>3544</v>
      </c>
      <c r="K309" s="17" t="s">
        <v>2738</v>
      </c>
      <c r="L309" s="17" t="s">
        <v>3545</v>
      </c>
      <c r="M309" s="17" t="s">
        <v>2669</v>
      </c>
      <c r="N309" s="17" t="s">
        <v>3597</v>
      </c>
      <c r="O309" s="17" t="s">
        <v>7635</v>
      </c>
      <c r="P309" s="17" t="s">
        <v>3598</v>
      </c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>
      <c r="A310" s="17" t="s">
        <v>3599</v>
      </c>
      <c r="B310" s="17" t="s">
        <v>3599</v>
      </c>
      <c r="C310" s="17" t="s">
        <v>3600</v>
      </c>
      <c r="D310" s="17" t="s">
        <v>2669</v>
      </c>
      <c r="E310" s="17" t="s">
        <v>3543</v>
      </c>
      <c r="F310" s="17" t="s">
        <v>3599</v>
      </c>
      <c r="G310" s="17" t="s">
        <v>2671</v>
      </c>
      <c r="H310" s="17" t="s">
        <v>4312</v>
      </c>
      <c r="I310" s="17" t="s">
        <v>4237</v>
      </c>
      <c r="J310" s="17" t="s">
        <v>3544</v>
      </c>
      <c r="K310" s="17" t="s">
        <v>2742</v>
      </c>
      <c r="L310" s="17" t="s">
        <v>3545</v>
      </c>
      <c r="M310" s="17" t="s">
        <v>2669</v>
      </c>
      <c r="N310" s="17" t="s">
        <v>3599</v>
      </c>
      <c r="O310" s="17" t="s">
        <v>7635</v>
      </c>
      <c r="P310" s="17" t="s">
        <v>3601</v>
      </c>
      <c r="Q310" s="17" t="s">
        <v>2669</v>
      </c>
      <c r="R310" s="17" t="s">
        <v>3602</v>
      </c>
      <c r="S310" s="17" t="s">
        <v>7635</v>
      </c>
      <c r="T310" s="17" t="s">
        <v>3603</v>
      </c>
      <c r="U310" s="17"/>
      <c r="V310" s="17"/>
      <c r="W310" s="17"/>
      <c r="X310" s="17"/>
      <c r="Y310" s="17"/>
    </row>
    <row r="311" spans="1:25">
      <c r="A311" s="17" t="s">
        <v>3604</v>
      </c>
      <c r="B311" s="17" t="s">
        <v>3604</v>
      </c>
      <c r="C311" s="17" t="s">
        <v>3600</v>
      </c>
      <c r="D311" s="17" t="s">
        <v>2669</v>
      </c>
      <c r="E311" s="17" t="s">
        <v>3543</v>
      </c>
      <c r="F311" s="17" t="s">
        <v>3604</v>
      </c>
      <c r="G311" s="17" t="s">
        <v>2671</v>
      </c>
      <c r="H311" s="17" t="s">
        <v>6835</v>
      </c>
      <c r="I311" s="17" t="s">
        <v>4237</v>
      </c>
      <c r="J311" s="17" t="s">
        <v>3544</v>
      </c>
      <c r="K311" s="17" t="s">
        <v>2742</v>
      </c>
      <c r="L311" s="17" t="s">
        <v>3545</v>
      </c>
      <c r="M311" s="17" t="s">
        <v>2669</v>
      </c>
      <c r="N311" s="17" t="s">
        <v>3604</v>
      </c>
      <c r="O311" s="17" t="s">
        <v>7635</v>
      </c>
      <c r="P311" s="17" t="s">
        <v>3605</v>
      </c>
      <c r="Q311" s="17" t="s">
        <v>2669</v>
      </c>
      <c r="R311" s="17" t="s">
        <v>3606</v>
      </c>
      <c r="S311" s="17" t="s">
        <v>7635</v>
      </c>
      <c r="T311" s="17" t="s">
        <v>3607</v>
      </c>
      <c r="U311" s="17"/>
      <c r="V311" s="17"/>
      <c r="W311" s="17"/>
      <c r="X311" s="17"/>
      <c r="Y311" s="17"/>
    </row>
    <row r="312" spans="1:25">
      <c r="A312" s="17" t="s">
        <v>3608</v>
      </c>
      <c r="B312" s="17" t="s">
        <v>3608</v>
      </c>
      <c r="C312" s="17" t="s">
        <v>3609</v>
      </c>
      <c r="D312" s="17" t="s">
        <v>2669</v>
      </c>
      <c r="E312" s="17" t="s">
        <v>3543</v>
      </c>
      <c r="F312" s="17" t="s">
        <v>3608</v>
      </c>
      <c r="G312" s="17" t="s">
        <v>2671</v>
      </c>
      <c r="H312" s="17" t="s">
        <v>4312</v>
      </c>
      <c r="I312" s="17" t="s">
        <v>4237</v>
      </c>
      <c r="J312" s="17" t="s">
        <v>3544</v>
      </c>
      <c r="K312" s="17" t="s">
        <v>2751</v>
      </c>
      <c r="L312" s="17" t="s">
        <v>3545</v>
      </c>
      <c r="M312" s="17" t="s">
        <v>2669</v>
      </c>
      <c r="N312" s="17" t="s">
        <v>3608</v>
      </c>
      <c r="O312" s="17" t="s">
        <v>7635</v>
      </c>
      <c r="P312" s="17" t="s">
        <v>3610</v>
      </c>
      <c r="Q312" s="17" t="s">
        <v>2669</v>
      </c>
      <c r="R312" s="17" t="s">
        <v>3611</v>
      </c>
      <c r="S312" s="17" t="s">
        <v>7635</v>
      </c>
      <c r="T312" s="17" t="s">
        <v>3612</v>
      </c>
      <c r="U312" s="17"/>
      <c r="V312" s="17"/>
      <c r="W312" s="17"/>
      <c r="X312" s="17"/>
      <c r="Y312" s="17"/>
    </row>
    <row r="313" spans="1:25">
      <c r="A313" s="17" t="s">
        <v>3613</v>
      </c>
      <c r="B313" s="17" t="s">
        <v>3613</v>
      </c>
      <c r="C313" s="17" t="s">
        <v>3609</v>
      </c>
      <c r="D313" s="17" t="s">
        <v>2669</v>
      </c>
      <c r="E313" s="17" t="s">
        <v>3543</v>
      </c>
      <c r="F313" s="17" t="s">
        <v>3613</v>
      </c>
      <c r="G313" s="17" t="s">
        <v>2671</v>
      </c>
      <c r="H313" s="17" t="s">
        <v>6835</v>
      </c>
      <c r="I313" s="17" t="s">
        <v>4237</v>
      </c>
      <c r="J313" s="17" t="s">
        <v>3544</v>
      </c>
      <c r="K313" s="17" t="s">
        <v>2751</v>
      </c>
      <c r="L313" s="17" t="s">
        <v>3545</v>
      </c>
      <c r="M313" s="17" t="s">
        <v>2669</v>
      </c>
      <c r="N313" s="17" t="s">
        <v>3613</v>
      </c>
      <c r="O313" s="17" t="s">
        <v>7635</v>
      </c>
      <c r="P313" s="17" t="s">
        <v>3614</v>
      </c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>
      <c r="A314" s="17" t="s">
        <v>3615</v>
      </c>
      <c r="B314" s="17" t="s">
        <v>3615</v>
      </c>
      <c r="C314" s="17" t="s">
        <v>3616</v>
      </c>
      <c r="D314" s="17" t="s">
        <v>2669</v>
      </c>
      <c r="E314" s="17" t="s">
        <v>3543</v>
      </c>
      <c r="F314" s="17" t="s">
        <v>3615</v>
      </c>
      <c r="G314" s="17" t="s">
        <v>2671</v>
      </c>
      <c r="H314" s="17" t="s">
        <v>4312</v>
      </c>
      <c r="I314" s="17" t="s">
        <v>4237</v>
      </c>
      <c r="J314" s="17" t="s">
        <v>3544</v>
      </c>
      <c r="K314" s="17" t="s">
        <v>2760</v>
      </c>
      <c r="L314" s="17" t="s">
        <v>3545</v>
      </c>
      <c r="M314" s="17" t="s">
        <v>2669</v>
      </c>
      <c r="N314" s="17" t="s">
        <v>3615</v>
      </c>
      <c r="O314" s="17" t="s">
        <v>7635</v>
      </c>
      <c r="P314" s="17" t="s">
        <v>3617</v>
      </c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>
      <c r="A315" s="17" t="s">
        <v>3618</v>
      </c>
      <c r="B315" s="17" t="s">
        <v>3618</v>
      </c>
      <c r="C315" s="17" t="s">
        <v>3616</v>
      </c>
      <c r="D315" s="17" t="s">
        <v>2669</v>
      </c>
      <c r="E315" s="17" t="s">
        <v>3543</v>
      </c>
      <c r="F315" s="17" t="s">
        <v>3618</v>
      </c>
      <c r="G315" s="17" t="s">
        <v>2671</v>
      </c>
      <c r="H315" s="17" t="s">
        <v>6835</v>
      </c>
      <c r="I315" s="17" t="s">
        <v>4237</v>
      </c>
      <c r="J315" s="17" t="s">
        <v>3544</v>
      </c>
      <c r="K315" s="17" t="s">
        <v>2760</v>
      </c>
      <c r="L315" s="17" t="s">
        <v>3545</v>
      </c>
      <c r="M315" s="17" t="s">
        <v>2669</v>
      </c>
      <c r="N315" s="17" t="s">
        <v>3618</v>
      </c>
      <c r="O315" s="17" t="s">
        <v>7635</v>
      </c>
      <c r="P315" s="17" t="s">
        <v>3619</v>
      </c>
      <c r="Q315" s="17" t="s">
        <v>2669</v>
      </c>
      <c r="R315" s="17" t="s">
        <v>3620</v>
      </c>
      <c r="S315" s="17" t="s">
        <v>7635</v>
      </c>
      <c r="T315" s="17" t="s">
        <v>3621</v>
      </c>
      <c r="U315" s="17"/>
      <c r="V315" s="17"/>
      <c r="W315" s="17"/>
      <c r="X315" s="17"/>
      <c r="Y315" s="17"/>
    </row>
    <row r="316" spans="1:25">
      <c r="A316" s="17" t="s">
        <v>3622</v>
      </c>
      <c r="B316" s="17" t="s">
        <v>3622</v>
      </c>
      <c r="C316" s="17" t="s">
        <v>3623</v>
      </c>
      <c r="D316" s="17" t="s">
        <v>2669</v>
      </c>
      <c r="E316" s="17" t="s">
        <v>3543</v>
      </c>
      <c r="F316" s="17" t="s">
        <v>3622</v>
      </c>
      <c r="G316" s="17" t="s">
        <v>2671</v>
      </c>
      <c r="H316" s="17" t="s">
        <v>4312</v>
      </c>
      <c r="I316" s="17" t="s">
        <v>4237</v>
      </c>
      <c r="J316" s="17" t="s">
        <v>3544</v>
      </c>
      <c r="K316" s="17" t="s">
        <v>2769</v>
      </c>
      <c r="L316" s="17" t="s">
        <v>3545</v>
      </c>
      <c r="M316" s="17" t="s">
        <v>2669</v>
      </c>
      <c r="N316" s="17" t="s">
        <v>3622</v>
      </c>
      <c r="O316" s="17" t="s">
        <v>7635</v>
      </c>
      <c r="P316" s="17" t="s">
        <v>3624</v>
      </c>
      <c r="Q316" s="17" t="s">
        <v>2669</v>
      </c>
      <c r="R316" s="17" t="s">
        <v>3625</v>
      </c>
      <c r="S316" s="17" t="s">
        <v>7635</v>
      </c>
      <c r="T316" s="17" t="s">
        <v>3626</v>
      </c>
      <c r="U316" s="17"/>
      <c r="V316" s="17"/>
      <c r="W316" s="17"/>
      <c r="X316" s="17"/>
      <c r="Y316" s="17"/>
    </row>
    <row r="317" spans="1:25">
      <c r="A317" s="17" t="s">
        <v>3627</v>
      </c>
      <c r="B317" s="17" t="s">
        <v>3627</v>
      </c>
      <c r="C317" s="17" t="s">
        <v>3623</v>
      </c>
      <c r="D317" s="17" t="s">
        <v>2669</v>
      </c>
      <c r="E317" s="17" t="s">
        <v>3543</v>
      </c>
      <c r="F317" s="17" t="s">
        <v>3627</v>
      </c>
      <c r="G317" s="17" t="s">
        <v>2671</v>
      </c>
      <c r="H317" s="17" t="s">
        <v>6835</v>
      </c>
      <c r="I317" s="17" t="s">
        <v>4237</v>
      </c>
      <c r="J317" s="17" t="s">
        <v>3544</v>
      </c>
      <c r="K317" s="17" t="s">
        <v>2769</v>
      </c>
      <c r="L317" s="17" t="s">
        <v>3545</v>
      </c>
      <c r="M317" s="17" t="s">
        <v>2669</v>
      </c>
      <c r="N317" s="17" t="s">
        <v>3627</v>
      </c>
      <c r="O317" s="17" t="s">
        <v>7635</v>
      </c>
      <c r="P317" s="17" t="s">
        <v>3628</v>
      </c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>
      <c r="A318" s="17" t="s">
        <v>3629</v>
      </c>
      <c r="B318" s="17" t="s">
        <v>3629</v>
      </c>
      <c r="C318" s="17" t="s">
        <v>3630</v>
      </c>
      <c r="D318" s="17" t="s">
        <v>2669</v>
      </c>
      <c r="E318" s="17" t="s">
        <v>3543</v>
      </c>
      <c r="F318" s="17" t="s">
        <v>3629</v>
      </c>
      <c r="G318" s="17" t="s">
        <v>2671</v>
      </c>
      <c r="H318" s="17" t="s">
        <v>4312</v>
      </c>
      <c r="I318" s="17" t="s">
        <v>4237</v>
      </c>
      <c r="J318" s="17" t="s">
        <v>3544</v>
      </c>
      <c r="K318" s="17" t="s">
        <v>2778</v>
      </c>
      <c r="L318" s="17" t="s">
        <v>3545</v>
      </c>
      <c r="M318" s="17" t="s">
        <v>2669</v>
      </c>
      <c r="N318" s="17" t="s">
        <v>3629</v>
      </c>
      <c r="O318" s="17" t="s">
        <v>7635</v>
      </c>
      <c r="P318" s="17" t="s">
        <v>3631</v>
      </c>
      <c r="Q318" s="17" t="s">
        <v>2669</v>
      </c>
      <c r="R318" s="17" t="s">
        <v>3632</v>
      </c>
      <c r="S318" s="17" t="s">
        <v>7635</v>
      </c>
      <c r="T318" s="17" t="s">
        <v>3633</v>
      </c>
      <c r="U318" s="17"/>
      <c r="V318" s="17"/>
      <c r="W318" s="17"/>
      <c r="X318" s="17"/>
      <c r="Y318" s="17"/>
    </row>
    <row r="319" spans="1:25">
      <c r="A319" s="17" t="s">
        <v>3634</v>
      </c>
      <c r="B319" s="17" t="s">
        <v>3634</v>
      </c>
      <c r="C319" s="17" t="s">
        <v>3630</v>
      </c>
      <c r="D319" s="17" t="s">
        <v>2669</v>
      </c>
      <c r="E319" s="17" t="s">
        <v>3543</v>
      </c>
      <c r="F319" s="17" t="s">
        <v>3634</v>
      </c>
      <c r="G319" s="17" t="s">
        <v>2671</v>
      </c>
      <c r="H319" s="17" t="s">
        <v>6835</v>
      </c>
      <c r="I319" s="17" t="s">
        <v>4237</v>
      </c>
      <c r="J319" s="17" t="s">
        <v>3544</v>
      </c>
      <c r="K319" s="17" t="s">
        <v>2778</v>
      </c>
      <c r="L319" s="17" t="s">
        <v>3545</v>
      </c>
      <c r="M319" s="17" t="s">
        <v>2669</v>
      </c>
      <c r="N319" s="17" t="s">
        <v>3634</v>
      </c>
      <c r="O319" s="17" t="s">
        <v>7635</v>
      </c>
      <c r="P319" s="17" t="s">
        <v>3635</v>
      </c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>
      <c r="A320" s="17" t="s">
        <v>3636</v>
      </c>
      <c r="B320" s="17" t="s">
        <v>3636</v>
      </c>
      <c r="C320" s="17" t="s">
        <v>3637</v>
      </c>
      <c r="D320" s="17" t="s">
        <v>2669</v>
      </c>
      <c r="E320" s="17" t="s">
        <v>3543</v>
      </c>
      <c r="F320" s="17" t="s">
        <v>3636</v>
      </c>
      <c r="G320" s="17" t="s">
        <v>2671</v>
      </c>
      <c r="H320" s="17" t="s">
        <v>4312</v>
      </c>
      <c r="I320" s="17" t="s">
        <v>4237</v>
      </c>
      <c r="J320" s="17" t="s">
        <v>3544</v>
      </c>
      <c r="K320" s="17" t="s">
        <v>2787</v>
      </c>
      <c r="L320" s="17" t="s">
        <v>3545</v>
      </c>
      <c r="M320" s="17" t="s">
        <v>2669</v>
      </c>
      <c r="N320" s="17" t="s">
        <v>3636</v>
      </c>
      <c r="O320" s="17" t="s">
        <v>7635</v>
      </c>
      <c r="P320" s="17" t="s">
        <v>3638</v>
      </c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>
      <c r="A321" s="17" t="s">
        <v>3639</v>
      </c>
      <c r="B321" s="17" t="s">
        <v>3639</v>
      </c>
      <c r="C321" s="17" t="s">
        <v>3637</v>
      </c>
      <c r="D321" s="17" t="s">
        <v>2669</v>
      </c>
      <c r="E321" s="17" t="s">
        <v>3543</v>
      </c>
      <c r="F321" s="17" t="s">
        <v>3639</v>
      </c>
      <c r="G321" s="17" t="s">
        <v>2671</v>
      </c>
      <c r="H321" s="17" t="s">
        <v>6835</v>
      </c>
      <c r="I321" s="17" t="s">
        <v>4237</v>
      </c>
      <c r="J321" s="17" t="s">
        <v>3544</v>
      </c>
      <c r="K321" s="17" t="s">
        <v>2787</v>
      </c>
      <c r="L321" s="17" t="s">
        <v>3545</v>
      </c>
      <c r="M321" s="17" t="s">
        <v>2669</v>
      </c>
      <c r="N321" s="17" t="s">
        <v>3639</v>
      </c>
      <c r="O321" s="17" t="s">
        <v>7635</v>
      </c>
      <c r="P321" s="17" t="s">
        <v>3640</v>
      </c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>
      <c r="A322" s="17" t="s">
        <v>3641</v>
      </c>
      <c r="B322" s="17" t="s">
        <v>3641</v>
      </c>
      <c r="C322" s="17" t="s">
        <v>3642</v>
      </c>
      <c r="D322" s="17" t="s">
        <v>2669</v>
      </c>
      <c r="E322" s="17" t="s">
        <v>3543</v>
      </c>
      <c r="F322" s="17" t="s">
        <v>3641</v>
      </c>
      <c r="G322" s="17" t="s">
        <v>2671</v>
      </c>
      <c r="H322" s="17" t="s">
        <v>4312</v>
      </c>
      <c r="I322" s="17" t="s">
        <v>4237</v>
      </c>
      <c r="J322" s="17" t="s">
        <v>3544</v>
      </c>
      <c r="K322" s="17" t="s">
        <v>2791</v>
      </c>
      <c r="L322" s="17" t="s">
        <v>3545</v>
      </c>
      <c r="M322" s="17" t="s">
        <v>2669</v>
      </c>
      <c r="N322" s="17" t="s">
        <v>3641</v>
      </c>
      <c r="O322" s="17" t="s">
        <v>7635</v>
      </c>
      <c r="P322" s="17" t="s">
        <v>3643</v>
      </c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>
      <c r="A323" s="17" t="s">
        <v>3644</v>
      </c>
      <c r="B323" s="17" t="s">
        <v>3644</v>
      </c>
      <c r="C323" s="17" t="s">
        <v>3642</v>
      </c>
      <c r="D323" s="17" t="s">
        <v>2669</v>
      </c>
      <c r="E323" s="17" t="s">
        <v>3543</v>
      </c>
      <c r="F323" s="17" t="s">
        <v>3644</v>
      </c>
      <c r="G323" s="17" t="s">
        <v>2671</v>
      </c>
      <c r="H323" s="17" t="s">
        <v>6835</v>
      </c>
      <c r="I323" s="17" t="s">
        <v>4237</v>
      </c>
      <c r="J323" s="17" t="s">
        <v>3544</v>
      </c>
      <c r="K323" s="17" t="s">
        <v>2791</v>
      </c>
      <c r="L323" s="17" t="s">
        <v>3545</v>
      </c>
      <c r="M323" s="17" t="s">
        <v>2669</v>
      </c>
      <c r="N323" s="17" t="s">
        <v>3644</v>
      </c>
      <c r="O323" s="17" t="s">
        <v>7635</v>
      </c>
      <c r="P323" s="17" t="s">
        <v>3645</v>
      </c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>
      <c r="A324" s="17" t="s">
        <v>3646</v>
      </c>
      <c r="B324" s="17" t="s">
        <v>3646</v>
      </c>
      <c r="C324" s="17" t="s">
        <v>3647</v>
      </c>
      <c r="D324" s="17" t="s">
        <v>2669</v>
      </c>
      <c r="E324" s="17" t="s">
        <v>3543</v>
      </c>
      <c r="F324" s="17" t="s">
        <v>3646</v>
      </c>
      <c r="G324" s="17" t="s">
        <v>2671</v>
      </c>
      <c r="H324" s="17" t="s">
        <v>4312</v>
      </c>
      <c r="I324" s="17" t="s">
        <v>4237</v>
      </c>
      <c r="J324" s="17" t="s">
        <v>3544</v>
      </c>
      <c r="K324" s="17" t="s">
        <v>2800</v>
      </c>
      <c r="L324" s="17" t="s">
        <v>3545</v>
      </c>
      <c r="M324" s="17" t="s">
        <v>2669</v>
      </c>
      <c r="N324" s="17" t="s">
        <v>3646</v>
      </c>
      <c r="O324" s="17" t="s">
        <v>7635</v>
      </c>
      <c r="P324" s="17" t="s">
        <v>3648</v>
      </c>
      <c r="Q324" s="17" t="s">
        <v>2669</v>
      </c>
      <c r="R324" s="17" t="s">
        <v>3649</v>
      </c>
      <c r="S324" s="17" t="s">
        <v>7635</v>
      </c>
      <c r="T324" s="17" t="s">
        <v>3650</v>
      </c>
      <c r="U324" s="17"/>
      <c r="V324" s="17"/>
      <c r="W324" s="17"/>
      <c r="X324" s="17"/>
      <c r="Y324" s="17"/>
    </row>
    <row r="325" spans="1:25">
      <c r="A325" s="17" t="s">
        <v>3651</v>
      </c>
      <c r="B325" s="17" t="s">
        <v>3651</v>
      </c>
      <c r="C325" s="17" t="s">
        <v>3647</v>
      </c>
      <c r="D325" s="17" t="s">
        <v>2669</v>
      </c>
      <c r="E325" s="17" t="s">
        <v>3543</v>
      </c>
      <c r="F325" s="17" t="s">
        <v>3651</v>
      </c>
      <c r="G325" s="17" t="s">
        <v>2671</v>
      </c>
      <c r="H325" s="17" t="s">
        <v>6835</v>
      </c>
      <c r="I325" s="17" t="s">
        <v>4237</v>
      </c>
      <c r="J325" s="17" t="s">
        <v>3544</v>
      </c>
      <c r="K325" s="17" t="s">
        <v>2800</v>
      </c>
      <c r="L325" s="17" t="s">
        <v>3545</v>
      </c>
      <c r="M325" s="17" t="s">
        <v>2669</v>
      </c>
      <c r="N325" s="17" t="s">
        <v>3651</v>
      </c>
      <c r="O325" s="17" t="s">
        <v>7635</v>
      </c>
      <c r="P325" s="17" t="s">
        <v>3652</v>
      </c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>
      <c r="A326" s="17" t="s">
        <v>3653</v>
      </c>
      <c r="B326" s="17" t="s">
        <v>3653</v>
      </c>
      <c r="C326" s="17" t="s">
        <v>3654</v>
      </c>
      <c r="D326" s="17" t="s">
        <v>2669</v>
      </c>
      <c r="E326" s="17" t="s">
        <v>3543</v>
      </c>
      <c r="F326" s="17" t="s">
        <v>3653</v>
      </c>
      <c r="G326" s="17" t="s">
        <v>2671</v>
      </c>
      <c r="H326" s="17" t="s">
        <v>4312</v>
      </c>
      <c r="I326" s="17" t="s">
        <v>4237</v>
      </c>
      <c r="J326" s="17" t="s">
        <v>3544</v>
      </c>
      <c r="K326" s="17" t="s">
        <v>2809</v>
      </c>
      <c r="L326" s="17" t="s">
        <v>3545</v>
      </c>
      <c r="M326" s="17" t="s">
        <v>2669</v>
      </c>
      <c r="N326" s="17" t="s">
        <v>3653</v>
      </c>
      <c r="O326" s="17" t="s">
        <v>7635</v>
      </c>
      <c r="P326" s="17" t="s">
        <v>3655</v>
      </c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>
      <c r="A327" s="17" t="s">
        <v>3656</v>
      </c>
      <c r="B327" s="17" t="s">
        <v>3656</v>
      </c>
      <c r="C327" s="17" t="s">
        <v>3654</v>
      </c>
      <c r="D327" s="17" t="s">
        <v>2669</v>
      </c>
      <c r="E327" s="17" t="s">
        <v>3543</v>
      </c>
      <c r="F327" s="17" t="s">
        <v>3656</v>
      </c>
      <c r="G327" s="17" t="s">
        <v>2671</v>
      </c>
      <c r="H327" s="17" t="s">
        <v>6835</v>
      </c>
      <c r="I327" s="17" t="s">
        <v>4237</v>
      </c>
      <c r="J327" s="17" t="s">
        <v>3544</v>
      </c>
      <c r="K327" s="17" t="s">
        <v>2809</v>
      </c>
      <c r="L327" s="17" t="s">
        <v>3545</v>
      </c>
      <c r="M327" s="17" t="s">
        <v>2669</v>
      </c>
      <c r="N327" s="17" t="s">
        <v>3656</v>
      </c>
      <c r="O327" s="17" t="s">
        <v>7635</v>
      </c>
      <c r="P327" s="17" t="s">
        <v>3657</v>
      </c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>
      <c r="A328" s="17" t="s">
        <v>3658</v>
      </c>
      <c r="B328" s="17" t="s">
        <v>3658</v>
      </c>
      <c r="C328" s="17" t="s">
        <v>3659</v>
      </c>
      <c r="D328" s="17" t="s">
        <v>2669</v>
      </c>
      <c r="E328" s="17" t="s">
        <v>3543</v>
      </c>
      <c r="F328" s="17" t="s">
        <v>3658</v>
      </c>
      <c r="G328" s="17" t="s">
        <v>2671</v>
      </c>
      <c r="H328" s="17" t="s">
        <v>4312</v>
      </c>
      <c r="I328" s="17" t="s">
        <v>4237</v>
      </c>
      <c r="J328" s="17" t="s">
        <v>3544</v>
      </c>
      <c r="K328" s="17" t="s">
        <v>2818</v>
      </c>
      <c r="L328" s="17" t="s">
        <v>3545</v>
      </c>
      <c r="M328" s="17" t="s">
        <v>2669</v>
      </c>
      <c r="N328" s="17" t="s">
        <v>3658</v>
      </c>
      <c r="O328" s="17" t="s">
        <v>7635</v>
      </c>
      <c r="P328" s="17" t="s">
        <v>3660</v>
      </c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>
      <c r="A329" s="17" t="s">
        <v>3661</v>
      </c>
      <c r="B329" s="17" t="s">
        <v>3661</v>
      </c>
      <c r="C329" s="17" t="s">
        <v>3659</v>
      </c>
      <c r="D329" s="17" t="s">
        <v>2669</v>
      </c>
      <c r="E329" s="17" t="s">
        <v>3543</v>
      </c>
      <c r="F329" s="17" t="s">
        <v>3661</v>
      </c>
      <c r="G329" s="17" t="s">
        <v>2671</v>
      </c>
      <c r="H329" s="17" t="s">
        <v>6835</v>
      </c>
      <c r="I329" s="17" t="s">
        <v>4237</v>
      </c>
      <c r="J329" s="17" t="s">
        <v>3544</v>
      </c>
      <c r="K329" s="17" t="s">
        <v>2818</v>
      </c>
      <c r="L329" s="17" t="s">
        <v>3545</v>
      </c>
      <c r="M329" s="17" t="s">
        <v>2669</v>
      </c>
      <c r="N329" s="17" t="s">
        <v>3661</v>
      </c>
      <c r="O329" s="17" t="s">
        <v>7635</v>
      </c>
      <c r="P329" s="17" t="s">
        <v>3662</v>
      </c>
      <c r="Q329" s="17" t="s">
        <v>2669</v>
      </c>
      <c r="R329" s="17" t="s">
        <v>3663</v>
      </c>
      <c r="S329" s="17" t="s">
        <v>7635</v>
      </c>
      <c r="T329" s="17" t="s">
        <v>3664</v>
      </c>
      <c r="U329" s="17"/>
      <c r="V329" s="17"/>
      <c r="W329" s="17"/>
      <c r="X329" s="17"/>
      <c r="Y329" s="17"/>
    </row>
    <row r="330" spans="1:25">
      <c r="A330" s="17" t="s">
        <v>3665</v>
      </c>
      <c r="B330" s="17" t="s">
        <v>3665</v>
      </c>
      <c r="C330" s="17" t="s">
        <v>3666</v>
      </c>
      <c r="D330" s="17" t="s">
        <v>2669</v>
      </c>
      <c r="E330" s="17" t="s">
        <v>3543</v>
      </c>
      <c r="F330" s="17" t="s">
        <v>3665</v>
      </c>
      <c r="G330" s="17" t="s">
        <v>2671</v>
      </c>
      <c r="H330" s="17" t="s">
        <v>4312</v>
      </c>
      <c r="I330" s="17" t="s">
        <v>4237</v>
      </c>
      <c r="J330" s="17" t="s">
        <v>3544</v>
      </c>
      <c r="K330" s="17" t="s">
        <v>2827</v>
      </c>
      <c r="L330" s="17" t="s">
        <v>3545</v>
      </c>
      <c r="M330" s="17" t="s">
        <v>2669</v>
      </c>
      <c r="N330" s="17" t="s">
        <v>3665</v>
      </c>
      <c r="O330" s="17" t="s">
        <v>7635</v>
      </c>
      <c r="P330" s="17" t="s">
        <v>3667</v>
      </c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>
      <c r="A331" s="17" t="s">
        <v>3668</v>
      </c>
      <c r="B331" s="17" t="s">
        <v>3668</v>
      </c>
      <c r="C331" s="17" t="s">
        <v>3666</v>
      </c>
      <c r="D331" s="17" t="s">
        <v>2669</v>
      </c>
      <c r="E331" s="17" t="s">
        <v>3543</v>
      </c>
      <c r="F331" s="17" t="s">
        <v>3668</v>
      </c>
      <c r="G331" s="17" t="s">
        <v>2671</v>
      </c>
      <c r="H331" s="17" t="s">
        <v>6835</v>
      </c>
      <c r="I331" s="17" t="s">
        <v>4237</v>
      </c>
      <c r="J331" s="17" t="s">
        <v>3544</v>
      </c>
      <c r="K331" s="17" t="s">
        <v>2827</v>
      </c>
      <c r="L331" s="17" t="s">
        <v>3545</v>
      </c>
      <c r="M331" s="17" t="s">
        <v>2669</v>
      </c>
      <c r="N331" s="17" t="s">
        <v>3668</v>
      </c>
      <c r="O331" s="17" t="s">
        <v>7635</v>
      </c>
      <c r="P331" s="17" t="s">
        <v>3669</v>
      </c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>
      <c r="A332" s="17" t="s">
        <v>3670</v>
      </c>
      <c r="B332" s="17" t="s">
        <v>3670</v>
      </c>
      <c r="C332" s="17" t="s">
        <v>3671</v>
      </c>
      <c r="D332" s="17" t="s">
        <v>2669</v>
      </c>
      <c r="E332" s="17" t="s">
        <v>3543</v>
      </c>
      <c r="F332" s="17" t="s">
        <v>3670</v>
      </c>
      <c r="G332" s="17" t="s">
        <v>2671</v>
      </c>
      <c r="H332" s="17" t="s">
        <v>4312</v>
      </c>
      <c r="I332" s="17" t="s">
        <v>4237</v>
      </c>
      <c r="J332" s="17" t="s">
        <v>3544</v>
      </c>
      <c r="K332" s="17" t="s">
        <v>2836</v>
      </c>
      <c r="L332" s="17" t="s">
        <v>3545</v>
      </c>
      <c r="M332" s="17" t="s">
        <v>2669</v>
      </c>
      <c r="N332" s="17" t="s">
        <v>3670</v>
      </c>
      <c r="O332" s="17" t="s">
        <v>7635</v>
      </c>
      <c r="P332" s="17" t="s">
        <v>3672</v>
      </c>
      <c r="Q332" s="17" t="s">
        <v>2669</v>
      </c>
      <c r="R332" s="17" t="s">
        <v>3673</v>
      </c>
      <c r="S332" s="17" t="s">
        <v>7635</v>
      </c>
      <c r="T332" s="17" t="s">
        <v>3674</v>
      </c>
      <c r="U332" s="17"/>
      <c r="V332" s="17"/>
      <c r="W332" s="17"/>
      <c r="X332" s="17"/>
      <c r="Y332" s="17"/>
    </row>
    <row r="333" spans="1:25">
      <c r="A333" s="17" t="s">
        <v>3675</v>
      </c>
      <c r="B333" s="17" t="s">
        <v>3675</v>
      </c>
      <c r="C333" s="17" t="s">
        <v>3671</v>
      </c>
      <c r="D333" s="17" t="s">
        <v>2669</v>
      </c>
      <c r="E333" s="17" t="s">
        <v>3543</v>
      </c>
      <c r="F333" s="17" t="s">
        <v>3675</v>
      </c>
      <c r="G333" s="17" t="s">
        <v>2671</v>
      </c>
      <c r="H333" s="17" t="s">
        <v>6835</v>
      </c>
      <c r="I333" s="17" t="s">
        <v>4237</v>
      </c>
      <c r="J333" s="17" t="s">
        <v>3544</v>
      </c>
      <c r="K333" s="17" t="s">
        <v>2836</v>
      </c>
      <c r="L333" s="17" t="s">
        <v>3545</v>
      </c>
      <c r="M333" s="17" t="s">
        <v>2669</v>
      </c>
      <c r="N333" s="17" t="s">
        <v>3675</v>
      </c>
      <c r="O333" s="17" t="s">
        <v>7635</v>
      </c>
      <c r="P333" s="17" t="s">
        <v>3676</v>
      </c>
      <c r="Q333" s="17" t="s">
        <v>2669</v>
      </c>
      <c r="R333" s="17" t="s">
        <v>3677</v>
      </c>
      <c r="S333" s="17" t="s">
        <v>7635</v>
      </c>
      <c r="T333" s="17" t="s">
        <v>3678</v>
      </c>
      <c r="U333" s="17"/>
      <c r="V333" s="17"/>
      <c r="W333" s="17"/>
      <c r="X333" s="17"/>
      <c r="Y333" s="17"/>
    </row>
    <row r="334" spans="1:25">
      <c r="A334" s="17" t="s">
        <v>3679</v>
      </c>
      <c r="B334" s="17" t="s">
        <v>3679</v>
      </c>
      <c r="C334" s="17" t="s">
        <v>3680</v>
      </c>
      <c r="D334" s="17" t="s">
        <v>2669</v>
      </c>
      <c r="E334" s="17" t="s">
        <v>3543</v>
      </c>
      <c r="F334" s="17" t="s">
        <v>3679</v>
      </c>
      <c r="G334" s="17" t="s">
        <v>2671</v>
      </c>
      <c r="H334" s="17" t="s">
        <v>4312</v>
      </c>
      <c r="I334" s="17" t="s">
        <v>4237</v>
      </c>
      <c r="J334" s="17" t="s">
        <v>3544</v>
      </c>
      <c r="K334" s="17" t="s">
        <v>2845</v>
      </c>
      <c r="L334" s="17" t="s">
        <v>3545</v>
      </c>
      <c r="M334" s="17" t="s">
        <v>2669</v>
      </c>
      <c r="N334" s="17" t="s">
        <v>3679</v>
      </c>
      <c r="O334" s="17" t="s">
        <v>7635</v>
      </c>
      <c r="P334" s="17" t="s">
        <v>3681</v>
      </c>
      <c r="Q334" s="17" t="s">
        <v>2669</v>
      </c>
      <c r="R334" s="17" t="s">
        <v>3682</v>
      </c>
      <c r="S334" s="17" t="s">
        <v>7635</v>
      </c>
      <c r="T334" s="17" t="s">
        <v>3683</v>
      </c>
      <c r="U334" s="17"/>
      <c r="V334" s="17"/>
      <c r="W334" s="17"/>
      <c r="X334" s="17"/>
      <c r="Y334" s="17"/>
    </row>
    <row r="335" spans="1:25">
      <c r="A335" s="17" t="s">
        <v>3684</v>
      </c>
      <c r="B335" s="17" t="s">
        <v>3684</v>
      </c>
      <c r="C335" s="17" t="s">
        <v>3680</v>
      </c>
      <c r="D335" s="17" t="s">
        <v>2669</v>
      </c>
      <c r="E335" s="17" t="s">
        <v>3543</v>
      </c>
      <c r="F335" s="17" t="s">
        <v>3684</v>
      </c>
      <c r="G335" s="17" t="s">
        <v>2671</v>
      </c>
      <c r="H335" s="17" t="s">
        <v>6835</v>
      </c>
      <c r="I335" s="17" t="s">
        <v>4237</v>
      </c>
      <c r="J335" s="17" t="s">
        <v>3544</v>
      </c>
      <c r="K335" s="17" t="s">
        <v>2845</v>
      </c>
      <c r="L335" s="17" t="s">
        <v>3545</v>
      </c>
      <c r="M335" s="17" t="s">
        <v>2669</v>
      </c>
      <c r="N335" s="17" t="s">
        <v>3684</v>
      </c>
      <c r="O335" s="17" t="s">
        <v>7635</v>
      </c>
      <c r="P335" s="17" t="s">
        <v>3685</v>
      </c>
      <c r="Q335" s="17" t="s">
        <v>2669</v>
      </c>
      <c r="R335" s="17" t="s">
        <v>3686</v>
      </c>
      <c r="S335" s="17" t="s">
        <v>7635</v>
      </c>
      <c r="T335" s="17" t="s">
        <v>3687</v>
      </c>
      <c r="U335" s="17"/>
      <c r="V335" s="17"/>
      <c r="W335" s="17"/>
      <c r="X335" s="17"/>
      <c r="Y335" s="17"/>
    </row>
    <row r="336" spans="1:25">
      <c r="A336" s="17" t="s">
        <v>3688</v>
      </c>
      <c r="B336" s="17" t="s">
        <v>3688</v>
      </c>
      <c r="C336" s="17" t="s">
        <v>3689</v>
      </c>
      <c r="D336" s="17" t="s">
        <v>2669</v>
      </c>
      <c r="E336" s="17" t="s">
        <v>3543</v>
      </c>
      <c r="F336" s="17" t="s">
        <v>3688</v>
      </c>
      <c r="G336" s="17" t="s">
        <v>2671</v>
      </c>
      <c r="H336" s="17" t="s">
        <v>4312</v>
      </c>
      <c r="I336" s="17" t="s">
        <v>4237</v>
      </c>
      <c r="J336" s="17" t="s">
        <v>3544</v>
      </c>
      <c r="K336" s="17" t="s">
        <v>2854</v>
      </c>
      <c r="L336" s="17" t="s">
        <v>3545</v>
      </c>
      <c r="M336" s="17" t="s">
        <v>2669</v>
      </c>
      <c r="N336" s="17" t="s">
        <v>3688</v>
      </c>
      <c r="O336" s="17" t="s">
        <v>7635</v>
      </c>
      <c r="P336" s="17" t="s">
        <v>3690</v>
      </c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>
      <c r="A337" s="17" t="s">
        <v>3691</v>
      </c>
      <c r="B337" s="17" t="s">
        <v>3691</v>
      </c>
      <c r="C337" s="17" t="s">
        <v>3689</v>
      </c>
      <c r="D337" s="17" t="s">
        <v>2669</v>
      </c>
      <c r="E337" s="17" t="s">
        <v>3543</v>
      </c>
      <c r="F337" s="17" t="s">
        <v>3691</v>
      </c>
      <c r="G337" s="17" t="s">
        <v>2671</v>
      </c>
      <c r="H337" s="17" t="s">
        <v>6835</v>
      </c>
      <c r="I337" s="17" t="s">
        <v>4237</v>
      </c>
      <c r="J337" s="17" t="s">
        <v>3544</v>
      </c>
      <c r="K337" s="17" t="s">
        <v>2854</v>
      </c>
      <c r="L337" s="17" t="s">
        <v>3545</v>
      </c>
      <c r="M337" s="17" t="s">
        <v>2669</v>
      </c>
      <c r="N337" s="17" t="s">
        <v>3691</v>
      </c>
      <c r="O337" s="17" t="s">
        <v>7635</v>
      </c>
      <c r="P337" s="17" t="s">
        <v>3692</v>
      </c>
      <c r="Q337" s="17" t="s">
        <v>2669</v>
      </c>
      <c r="R337" s="17" t="s">
        <v>3693</v>
      </c>
      <c r="S337" s="17" t="s">
        <v>7635</v>
      </c>
      <c r="T337" s="17" t="s">
        <v>3694</v>
      </c>
      <c r="U337" s="17"/>
      <c r="V337" s="17"/>
      <c r="W337" s="17"/>
      <c r="X337" s="17"/>
      <c r="Y337" s="17"/>
    </row>
    <row r="338" spans="1:25">
      <c r="A338" s="17" t="s">
        <v>3695</v>
      </c>
      <c r="B338" s="17" t="s">
        <v>3695</v>
      </c>
      <c r="C338" s="17" t="s">
        <v>3696</v>
      </c>
      <c r="D338" s="17" t="s">
        <v>2669</v>
      </c>
      <c r="E338" s="17" t="s">
        <v>3543</v>
      </c>
      <c r="F338" s="17" t="s">
        <v>3695</v>
      </c>
      <c r="G338" s="17" t="s">
        <v>2671</v>
      </c>
      <c r="H338" s="17" t="s">
        <v>4312</v>
      </c>
      <c r="I338" s="17" t="s">
        <v>4237</v>
      </c>
      <c r="J338" s="17" t="s">
        <v>3544</v>
      </c>
      <c r="K338" s="17" t="s">
        <v>2864</v>
      </c>
      <c r="L338" s="17" t="s">
        <v>3545</v>
      </c>
      <c r="M338" s="17" t="s">
        <v>2669</v>
      </c>
      <c r="N338" s="17" t="s">
        <v>3695</v>
      </c>
      <c r="O338" s="17" t="s">
        <v>7635</v>
      </c>
      <c r="P338" s="17" t="s">
        <v>3697</v>
      </c>
      <c r="Q338" s="17" t="s">
        <v>2669</v>
      </c>
      <c r="R338" s="17" t="s">
        <v>3698</v>
      </c>
      <c r="S338" s="17" t="s">
        <v>7635</v>
      </c>
      <c r="T338" s="17" t="s">
        <v>3699</v>
      </c>
      <c r="U338" s="17"/>
      <c r="V338" s="17"/>
      <c r="W338" s="17"/>
      <c r="X338" s="17"/>
      <c r="Y338" s="17"/>
    </row>
    <row r="339" spans="1:25">
      <c r="A339" s="17" t="s">
        <v>3700</v>
      </c>
      <c r="B339" s="17" t="s">
        <v>3700</v>
      </c>
      <c r="C339" s="17" t="s">
        <v>3696</v>
      </c>
      <c r="D339" s="17" t="s">
        <v>2669</v>
      </c>
      <c r="E339" s="17" t="s">
        <v>3543</v>
      </c>
      <c r="F339" s="17" t="s">
        <v>3700</v>
      </c>
      <c r="G339" s="17" t="s">
        <v>2671</v>
      </c>
      <c r="H339" s="17" t="s">
        <v>6835</v>
      </c>
      <c r="I339" s="17" t="s">
        <v>4237</v>
      </c>
      <c r="J339" s="17" t="s">
        <v>3544</v>
      </c>
      <c r="K339" s="17" t="s">
        <v>2864</v>
      </c>
      <c r="L339" s="17" t="s">
        <v>3545</v>
      </c>
      <c r="M339" s="17" t="s">
        <v>2669</v>
      </c>
      <c r="N339" s="17" t="s">
        <v>3700</v>
      </c>
      <c r="O339" s="17" t="s">
        <v>7635</v>
      </c>
      <c r="P339" s="17" t="s">
        <v>3701</v>
      </c>
      <c r="Q339" s="17" t="s">
        <v>2669</v>
      </c>
      <c r="R339" s="17" t="s">
        <v>3702</v>
      </c>
      <c r="S339" s="17" t="s">
        <v>7635</v>
      </c>
      <c r="T339" s="17" t="s">
        <v>3703</v>
      </c>
      <c r="U339" s="17"/>
      <c r="V339" s="17"/>
      <c r="W339" s="17"/>
      <c r="X339" s="17"/>
      <c r="Y339" s="17"/>
    </row>
    <row r="340" spans="1:25">
      <c r="A340" s="17" t="s">
        <v>3704</v>
      </c>
      <c r="B340" s="17" t="s">
        <v>3704</v>
      </c>
      <c r="C340" s="17" t="s">
        <v>3705</v>
      </c>
      <c r="D340" s="17" t="s">
        <v>2669</v>
      </c>
      <c r="E340" s="17" t="s">
        <v>3543</v>
      </c>
      <c r="F340" s="17" t="s">
        <v>3704</v>
      </c>
      <c r="G340" s="17" t="s">
        <v>2671</v>
      </c>
      <c r="H340" s="17" t="s">
        <v>4312</v>
      </c>
      <c r="I340" s="17" t="s">
        <v>4237</v>
      </c>
      <c r="J340" s="17" t="s">
        <v>3544</v>
      </c>
      <c r="K340" s="17" t="s">
        <v>2873</v>
      </c>
      <c r="L340" s="17" t="s">
        <v>3545</v>
      </c>
      <c r="M340" s="17" t="s">
        <v>2669</v>
      </c>
      <c r="N340" s="17" t="s">
        <v>3704</v>
      </c>
      <c r="O340" s="17" t="s">
        <v>7635</v>
      </c>
      <c r="P340" s="17" t="s">
        <v>3706</v>
      </c>
      <c r="Q340" s="17" t="s">
        <v>2669</v>
      </c>
      <c r="R340" s="17" t="s">
        <v>3707</v>
      </c>
      <c r="S340" s="17" t="s">
        <v>7635</v>
      </c>
      <c r="T340" s="17" t="s">
        <v>3708</v>
      </c>
      <c r="U340" s="17"/>
      <c r="V340" s="17"/>
      <c r="W340" s="17"/>
      <c r="X340" s="17"/>
      <c r="Y340" s="17"/>
    </row>
    <row r="341" spans="1:25">
      <c r="A341" s="17" t="s">
        <v>3709</v>
      </c>
      <c r="B341" s="17" t="s">
        <v>3709</v>
      </c>
      <c r="C341" s="17" t="s">
        <v>3705</v>
      </c>
      <c r="D341" s="17" t="s">
        <v>2669</v>
      </c>
      <c r="E341" s="17" t="s">
        <v>3543</v>
      </c>
      <c r="F341" s="17" t="s">
        <v>3709</v>
      </c>
      <c r="G341" s="17" t="s">
        <v>2671</v>
      </c>
      <c r="H341" s="17" t="s">
        <v>6835</v>
      </c>
      <c r="I341" s="17" t="s">
        <v>4237</v>
      </c>
      <c r="J341" s="17" t="s">
        <v>3544</v>
      </c>
      <c r="K341" s="17" t="s">
        <v>2873</v>
      </c>
      <c r="L341" s="17" t="s">
        <v>3545</v>
      </c>
      <c r="M341" s="17" t="s">
        <v>2669</v>
      </c>
      <c r="N341" s="17" t="s">
        <v>3709</v>
      </c>
      <c r="O341" s="17" t="s">
        <v>7635</v>
      </c>
      <c r="P341" s="17" t="s">
        <v>3710</v>
      </c>
      <c r="Q341" s="17" t="s">
        <v>2669</v>
      </c>
      <c r="R341" s="17" t="s">
        <v>3711</v>
      </c>
      <c r="S341" s="17" t="s">
        <v>7635</v>
      </c>
      <c r="T341" s="17" t="s">
        <v>3712</v>
      </c>
      <c r="U341" s="17"/>
      <c r="V341" s="17"/>
      <c r="W341" s="17"/>
      <c r="X341" s="17"/>
      <c r="Y341" s="17"/>
    </row>
    <row r="342" spans="1:25">
      <c r="A342" s="17" t="s">
        <v>3713</v>
      </c>
      <c r="B342" s="17" t="s">
        <v>3713</v>
      </c>
      <c r="C342" s="17" t="s">
        <v>3714</v>
      </c>
      <c r="D342" s="17" t="s">
        <v>2669</v>
      </c>
      <c r="E342" s="17" t="s">
        <v>3543</v>
      </c>
      <c r="F342" s="17" t="s">
        <v>3713</v>
      </c>
      <c r="G342" s="17" t="s">
        <v>2671</v>
      </c>
      <c r="H342" s="17" t="s">
        <v>4312</v>
      </c>
      <c r="I342" s="17" t="s">
        <v>4237</v>
      </c>
      <c r="J342" s="17" t="s">
        <v>3544</v>
      </c>
      <c r="K342" s="17" t="s">
        <v>2882</v>
      </c>
      <c r="L342" s="17" t="s">
        <v>3545</v>
      </c>
      <c r="M342" s="17" t="s">
        <v>2669</v>
      </c>
      <c r="N342" s="17" t="s">
        <v>3713</v>
      </c>
      <c r="O342" s="17" t="s">
        <v>7635</v>
      </c>
      <c r="P342" s="17" t="s">
        <v>3715</v>
      </c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>
      <c r="A343" s="17" t="s">
        <v>3716</v>
      </c>
      <c r="B343" s="17" t="s">
        <v>3716</v>
      </c>
      <c r="C343" s="17" t="s">
        <v>3714</v>
      </c>
      <c r="D343" s="17" t="s">
        <v>2669</v>
      </c>
      <c r="E343" s="17" t="s">
        <v>3543</v>
      </c>
      <c r="F343" s="17" t="s">
        <v>3716</v>
      </c>
      <c r="G343" s="17" t="s">
        <v>2671</v>
      </c>
      <c r="H343" s="17" t="s">
        <v>6835</v>
      </c>
      <c r="I343" s="17" t="s">
        <v>4237</v>
      </c>
      <c r="J343" s="17" t="s">
        <v>3544</v>
      </c>
      <c r="K343" s="17" t="s">
        <v>2882</v>
      </c>
      <c r="L343" s="17" t="s">
        <v>3545</v>
      </c>
      <c r="M343" s="17" t="s">
        <v>2669</v>
      </c>
      <c r="N343" s="17" t="s">
        <v>3716</v>
      </c>
      <c r="O343" s="17" t="s">
        <v>7635</v>
      </c>
      <c r="P343" s="17" t="s">
        <v>3717</v>
      </c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>
      <c r="A344" s="17" t="s">
        <v>3718</v>
      </c>
      <c r="B344" s="17" t="s">
        <v>3718</v>
      </c>
      <c r="C344" s="17" t="s">
        <v>3719</v>
      </c>
      <c r="D344" s="17" t="s">
        <v>2669</v>
      </c>
      <c r="E344" s="17" t="s">
        <v>3543</v>
      </c>
      <c r="F344" s="17" t="s">
        <v>3718</v>
      </c>
      <c r="G344" s="17" t="s">
        <v>2671</v>
      </c>
      <c r="H344" s="17" t="s">
        <v>4312</v>
      </c>
      <c r="I344" s="17" t="s">
        <v>4237</v>
      </c>
      <c r="J344" s="17" t="s">
        <v>3544</v>
      </c>
      <c r="K344" s="17" t="s">
        <v>2889</v>
      </c>
      <c r="L344" s="17" t="s">
        <v>3545</v>
      </c>
      <c r="M344" s="17" t="s">
        <v>2669</v>
      </c>
      <c r="N344" s="17" t="s">
        <v>3718</v>
      </c>
      <c r="O344" s="17" t="s">
        <v>7635</v>
      </c>
      <c r="P344" s="17" t="s">
        <v>3720</v>
      </c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>
      <c r="A345" s="17" t="s">
        <v>3721</v>
      </c>
      <c r="B345" s="17" t="s">
        <v>3721</v>
      </c>
      <c r="C345" s="17" t="s">
        <v>3719</v>
      </c>
      <c r="D345" s="17" t="s">
        <v>2669</v>
      </c>
      <c r="E345" s="17" t="s">
        <v>3543</v>
      </c>
      <c r="F345" s="17" t="s">
        <v>3721</v>
      </c>
      <c r="G345" s="17" t="s">
        <v>2671</v>
      </c>
      <c r="H345" s="17" t="s">
        <v>6835</v>
      </c>
      <c r="I345" s="17" t="s">
        <v>4237</v>
      </c>
      <c r="J345" s="17" t="s">
        <v>3544</v>
      </c>
      <c r="K345" s="17" t="s">
        <v>2889</v>
      </c>
      <c r="L345" s="17" t="s">
        <v>3545</v>
      </c>
      <c r="M345" s="17" t="s">
        <v>2669</v>
      </c>
      <c r="N345" s="17" t="s">
        <v>3721</v>
      </c>
      <c r="O345" s="17" t="s">
        <v>7635</v>
      </c>
      <c r="P345" s="17" t="s">
        <v>3722</v>
      </c>
      <c r="Q345" s="17"/>
      <c r="R345" s="17"/>
      <c r="S345" s="17"/>
      <c r="T345" s="17"/>
      <c r="U345" s="17"/>
      <c r="V345" s="17"/>
      <c r="W345" s="17"/>
      <c r="X345" s="17"/>
      <c r="Y345" s="17"/>
    </row>
    <row r="346" spans="1:25">
      <c r="A346" s="17" t="s">
        <v>3723</v>
      </c>
      <c r="B346" s="17" t="s">
        <v>3723</v>
      </c>
      <c r="C346" s="17" t="s">
        <v>3724</v>
      </c>
      <c r="D346" s="17" t="s">
        <v>2669</v>
      </c>
      <c r="E346" s="17" t="s">
        <v>3543</v>
      </c>
      <c r="F346" s="17" t="s">
        <v>3723</v>
      </c>
      <c r="G346" s="17" t="s">
        <v>2671</v>
      </c>
      <c r="H346" s="17" t="s">
        <v>4312</v>
      </c>
      <c r="I346" s="17" t="s">
        <v>4237</v>
      </c>
      <c r="J346" s="17" t="s">
        <v>3544</v>
      </c>
      <c r="K346" s="17" t="s">
        <v>2893</v>
      </c>
      <c r="L346" s="17" t="s">
        <v>3545</v>
      </c>
      <c r="M346" s="17" t="s">
        <v>2669</v>
      </c>
      <c r="N346" s="17" t="s">
        <v>3723</v>
      </c>
      <c r="O346" s="17" t="s">
        <v>7635</v>
      </c>
      <c r="P346" s="17" t="s">
        <v>3725</v>
      </c>
      <c r="Q346" s="17"/>
      <c r="R346" s="17"/>
      <c r="S346" s="17"/>
      <c r="T346" s="17"/>
      <c r="U346" s="17"/>
      <c r="V346" s="17"/>
      <c r="W346" s="17"/>
      <c r="X346" s="17"/>
      <c r="Y346" s="17"/>
    </row>
    <row r="347" spans="1:25">
      <c r="A347" s="17" t="s">
        <v>3726</v>
      </c>
      <c r="B347" s="17" t="s">
        <v>3726</v>
      </c>
      <c r="C347" s="17" t="s">
        <v>3724</v>
      </c>
      <c r="D347" s="17" t="s">
        <v>2669</v>
      </c>
      <c r="E347" s="17" t="s">
        <v>3543</v>
      </c>
      <c r="F347" s="17" t="s">
        <v>3726</v>
      </c>
      <c r="G347" s="17" t="s">
        <v>2671</v>
      </c>
      <c r="H347" s="17" t="s">
        <v>6835</v>
      </c>
      <c r="I347" s="17" t="s">
        <v>4237</v>
      </c>
      <c r="J347" s="17" t="s">
        <v>3544</v>
      </c>
      <c r="K347" s="17" t="s">
        <v>2893</v>
      </c>
      <c r="L347" s="17" t="s">
        <v>3545</v>
      </c>
      <c r="M347" s="17" t="s">
        <v>2669</v>
      </c>
      <c r="N347" s="17" t="s">
        <v>3726</v>
      </c>
      <c r="O347" s="17" t="s">
        <v>7635</v>
      </c>
      <c r="P347" s="17" t="s">
        <v>3727</v>
      </c>
      <c r="Q347" s="17" t="s">
        <v>2669</v>
      </c>
      <c r="R347" s="17" t="s">
        <v>3728</v>
      </c>
      <c r="S347" s="17" t="s">
        <v>7635</v>
      </c>
      <c r="T347" s="17" t="s">
        <v>3729</v>
      </c>
      <c r="U347" s="17"/>
      <c r="V347" s="17"/>
      <c r="W347" s="17"/>
      <c r="X347" s="17"/>
      <c r="Y347" s="17"/>
    </row>
    <row r="348" spans="1:25">
      <c r="A348" s="17" t="s">
        <v>3730</v>
      </c>
      <c r="B348" s="17" t="s">
        <v>3730</v>
      </c>
      <c r="C348" s="17" t="s">
        <v>3731</v>
      </c>
      <c r="D348" s="17" t="s">
        <v>2669</v>
      </c>
      <c r="E348" s="17" t="s">
        <v>3543</v>
      </c>
      <c r="F348" s="17" t="s">
        <v>3730</v>
      </c>
      <c r="G348" s="17" t="s">
        <v>2671</v>
      </c>
      <c r="H348" s="17" t="s">
        <v>4312</v>
      </c>
      <c r="I348" s="17" t="s">
        <v>4237</v>
      </c>
      <c r="J348" s="17" t="s">
        <v>3544</v>
      </c>
      <c r="K348" s="17" t="s">
        <v>2902</v>
      </c>
      <c r="L348" s="17" t="s">
        <v>3545</v>
      </c>
      <c r="M348" s="17" t="s">
        <v>2669</v>
      </c>
      <c r="N348" s="17" t="s">
        <v>3730</v>
      </c>
      <c r="O348" s="17" t="s">
        <v>7635</v>
      </c>
      <c r="P348" s="17" t="s">
        <v>3732</v>
      </c>
      <c r="Q348" s="17"/>
      <c r="R348" s="17"/>
      <c r="S348" s="17"/>
      <c r="T348" s="17"/>
      <c r="U348" s="17"/>
      <c r="V348" s="17"/>
      <c r="W348" s="17"/>
      <c r="X348" s="17"/>
      <c r="Y348" s="17"/>
    </row>
    <row r="349" spans="1:25">
      <c r="A349" s="17" t="s">
        <v>3733</v>
      </c>
      <c r="B349" s="17" t="s">
        <v>3733</v>
      </c>
      <c r="C349" s="17" t="s">
        <v>3731</v>
      </c>
      <c r="D349" s="17" t="s">
        <v>2669</v>
      </c>
      <c r="E349" s="17" t="s">
        <v>3543</v>
      </c>
      <c r="F349" s="17" t="s">
        <v>3733</v>
      </c>
      <c r="G349" s="17" t="s">
        <v>2671</v>
      </c>
      <c r="H349" s="17" t="s">
        <v>6835</v>
      </c>
      <c r="I349" s="17" t="s">
        <v>4237</v>
      </c>
      <c r="J349" s="17" t="s">
        <v>3544</v>
      </c>
      <c r="K349" s="17" t="s">
        <v>2902</v>
      </c>
      <c r="L349" s="17" t="s">
        <v>3545</v>
      </c>
      <c r="M349" s="17" t="s">
        <v>2669</v>
      </c>
      <c r="N349" s="17" t="s">
        <v>3733</v>
      </c>
      <c r="O349" s="17" t="s">
        <v>7635</v>
      </c>
      <c r="P349" s="17" t="s">
        <v>3734</v>
      </c>
      <c r="Q349" s="17" t="s">
        <v>2669</v>
      </c>
      <c r="R349" s="17" t="s">
        <v>3735</v>
      </c>
      <c r="S349" s="17" t="s">
        <v>7635</v>
      </c>
      <c r="T349" s="17" t="s">
        <v>3736</v>
      </c>
      <c r="U349" s="17"/>
      <c r="V349" s="17"/>
      <c r="W349" s="17"/>
      <c r="X349" s="17"/>
      <c r="Y349" s="17"/>
    </row>
    <row r="350" spans="1:25">
      <c r="A350" s="17" t="s">
        <v>3737</v>
      </c>
      <c r="B350" s="17" t="s">
        <v>3737</v>
      </c>
      <c r="C350" s="17" t="s">
        <v>3738</v>
      </c>
      <c r="D350" s="17" t="s">
        <v>2669</v>
      </c>
      <c r="E350" s="17" t="s">
        <v>3543</v>
      </c>
      <c r="F350" s="17" t="s">
        <v>3737</v>
      </c>
      <c r="G350" s="17" t="s">
        <v>2671</v>
      </c>
      <c r="H350" s="17" t="s">
        <v>4312</v>
      </c>
      <c r="I350" s="17" t="s">
        <v>4237</v>
      </c>
      <c r="J350" s="17" t="s">
        <v>3544</v>
      </c>
      <c r="K350" s="17" t="s">
        <v>2909</v>
      </c>
      <c r="L350" s="17" t="s">
        <v>3545</v>
      </c>
      <c r="M350" s="17" t="s">
        <v>2669</v>
      </c>
      <c r="N350" s="17" t="s">
        <v>3737</v>
      </c>
      <c r="O350" s="17" t="s">
        <v>7635</v>
      </c>
      <c r="P350" s="17" t="s">
        <v>3739</v>
      </c>
      <c r="Q350" s="17"/>
      <c r="R350" s="17"/>
      <c r="S350" s="17"/>
      <c r="T350" s="17"/>
      <c r="U350" s="17"/>
      <c r="V350" s="17"/>
      <c r="W350" s="17"/>
      <c r="X350" s="17"/>
      <c r="Y350" s="17"/>
    </row>
    <row r="351" spans="1:25">
      <c r="A351" s="17" t="s">
        <v>3740</v>
      </c>
      <c r="B351" s="17" t="s">
        <v>3740</v>
      </c>
      <c r="C351" s="17" t="s">
        <v>3738</v>
      </c>
      <c r="D351" s="17" t="s">
        <v>2669</v>
      </c>
      <c r="E351" s="17" t="s">
        <v>3543</v>
      </c>
      <c r="F351" s="17" t="s">
        <v>3740</v>
      </c>
      <c r="G351" s="17" t="s">
        <v>2671</v>
      </c>
      <c r="H351" s="17" t="s">
        <v>6835</v>
      </c>
      <c r="I351" s="17" t="s">
        <v>4237</v>
      </c>
      <c r="J351" s="17" t="s">
        <v>3544</v>
      </c>
      <c r="K351" s="17" t="s">
        <v>2909</v>
      </c>
      <c r="L351" s="17" t="s">
        <v>3545</v>
      </c>
      <c r="M351" s="17" t="s">
        <v>2669</v>
      </c>
      <c r="N351" s="17" t="s">
        <v>3740</v>
      </c>
      <c r="O351" s="17" t="s">
        <v>7635</v>
      </c>
      <c r="P351" s="17" t="s">
        <v>3741</v>
      </c>
      <c r="Q351" s="17"/>
      <c r="R351" s="17"/>
      <c r="S351" s="17"/>
      <c r="T351" s="17"/>
      <c r="U351" s="17"/>
      <c r="V351" s="17"/>
      <c r="W351" s="17"/>
      <c r="X351" s="17"/>
      <c r="Y351" s="17"/>
    </row>
    <row r="352" spans="1:25">
      <c r="A352" s="17" t="s">
        <v>3742</v>
      </c>
      <c r="B352" s="17" t="s">
        <v>3742</v>
      </c>
      <c r="C352" s="17" t="s">
        <v>3743</v>
      </c>
      <c r="D352" s="17" t="s">
        <v>2669</v>
      </c>
      <c r="E352" s="17" t="s">
        <v>3543</v>
      </c>
      <c r="F352" s="17" t="s">
        <v>3742</v>
      </c>
      <c r="G352" s="17" t="s">
        <v>2671</v>
      </c>
      <c r="H352" s="17" t="s">
        <v>4312</v>
      </c>
      <c r="I352" s="17" t="s">
        <v>4237</v>
      </c>
      <c r="J352" s="17" t="s">
        <v>3544</v>
      </c>
      <c r="K352" s="17" t="s">
        <v>2916</v>
      </c>
      <c r="L352" s="17" t="s">
        <v>3545</v>
      </c>
      <c r="M352" s="17" t="s">
        <v>2669</v>
      </c>
      <c r="N352" s="17" t="s">
        <v>3742</v>
      </c>
      <c r="O352" s="17" t="s">
        <v>7635</v>
      </c>
      <c r="P352" s="17" t="s">
        <v>3744</v>
      </c>
      <c r="Q352" s="17"/>
      <c r="R352" s="17"/>
      <c r="S352" s="17"/>
      <c r="T352" s="17"/>
      <c r="U352" s="17"/>
      <c r="V352" s="17"/>
      <c r="W352" s="17"/>
      <c r="X352" s="17"/>
      <c r="Y352" s="17"/>
    </row>
    <row r="353" spans="1:25">
      <c r="A353" s="17" t="s">
        <v>3745</v>
      </c>
      <c r="B353" s="17" t="s">
        <v>3745</v>
      </c>
      <c r="C353" s="17" t="s">
        <v>3743</v>
      </c>
      <c r="D353" s="17" t="s">
        <v>2669</v>
      </c>
      <c r="E353" s="17" t="s">
        <v>3543</v>
      </c>
      <c r="F353" s="17" t="s">
        <v>3745</v>
      </c>
      <c r="G353" s="17" t="s">
        <v>2671</v>
      </c>
      <c r="H353" s="17" t="s">
        <v>6835</v>
      </c>
      <c r="I353" s="17" t="s">
        <v>4237</v>
      </c>
      <c r="J353" s="17" t="s">
        <v>3544</v>
      </c>
      <c r="K353" s="17" t="s">
        <v>2916</v>
      </c>
      <c r="L353" s="17" t="s">
        <v>3545</v>
      </c>
      <c r="M353" s="17" t="s">
        <v>2669</v>
      </c>
      <c r="N353" s="17" t="s">
        <v>3745</v>
      </c>
      <c r="O353" s="17" t="s">
        <v>7635</v>
      </c>
      <c r="P353" s="17" t="s">
        <v>3746</v>
      </c>
      <c r="Q353" s="17" t="s">
        <v>2669</v>
      </c>
      <c r="R353" s="17" t="s">
        <v>3747</v>
      </c>
      <c r="S353" s="17" t="s">
        <v>7635</v>
      </c>
      <c r="T353" s="17" t="s">
        <v>3748</v>
      </c>
      <c r="U353" s="17"/>
      <c r="V353" s="17"/>
      <c r="W353" s="17"/>
      <c r="X353" s="17"/>
      <c r="Y353" s="17"/>
    </row>
    <row r="354" spans="1:25">
      <c r="A354" s="17" t="s">
        <v>3749</v>
      </c>
      <c r="B354" s="17" t="s">
        <v>3749</v>
      </c>
      <c r="C354" s="17" t="s">
        <v>3750</v>
      </c>
      <c r="D354" s="17" t="s">
        <v>2669</v>
      </c>
      <c r="E354" s="17" t="s">
        <v>3543</v>
      </c>
      <c r="F354" s="17" t="s">
        <v>3749</v>
      </c>
      <c r="G354" s="17" t="s">
        <v>2671</v>
      </c>
      <c r="H354" s="17" t="s">
        <v>4312</v>
      </c>
      <c r="I354" s="17" t="s">
        <v>4237</v>
      </c>
      <c r="J354" s="17" t="s">
        <v>3544</v>
      </c>
      <c r="K354" s="17" t="s">
        <v>2923</v>
      </c>
      <c r="L354" s="17" t="s">
        <v>3545</v>
      </c>
      <c r="M354" s="17" t="s">
        <v>2669</v>
      </c>
      <c r="N354" s="17" t="s">
        <v>3749</v>
      </c>
      <c r="O354" s="17" t="s">
        <v>7635</v>
      </c>
      <c r="P354" s="17" t="s">
        <v>3751</v>
      </c>
      <c r="Q354" s="17"/>
      <c r="R354" s="17"/>
      <c r="S354" s="17"/>
      <c r="T354" s="17"/>
      <c r="U354" s="17"/>
      <c r="V354" s="17"/>
      <c r="W354" s="17"/>
      <c r="X354" s="17"/>
      <c r="Y354" s="17"/>
    </row>
    <row r="355" spans="1:25">
      <c r="A355" s="17" t="s">
        <v>3752</v>
      </c>
      <c r="B355" s="17" t="s">
        <v>3752</v>
      </c>
      <c r="C355" s="17" t="s">
        <v>3750</v>
      </c>
      <c r="D355" s="17" t="s">
        <v>2669</v>
      </c>
      <c r="E355" s="17" t="s">
        <v>3543</v>
      </c>
      <c r="F355" s="17" t="s">
        <v>3752</v>
      </c>
      <c r="G355" s="17" t="s">
        <v>2671</v>
      </c>
      <c r="H355" s="17" t="s">
        <v>6835</v>
      </c>
      <c r="I355" s="17" t="s">
        <v>4237</v>
      </c>
      <c r="J355" s="17" t="s">
        <v>3544</v>
      </c>
      <c r="K355" s="17" t="s">
        <v>2923</v>
      </c>
      <c r="L355" s="17" t="s">
        <v>3545</v>
      </c>
      <c r="M355" s="17" t="s">
        <v>2669</v>
      </c>
      <c r="N355" s="17" t="s">
        <v>3752</v>
      </c>
      <c r="O355" s="17" t="s">
        <v>7635</v>
      </c>
      <c r="P355" s="17" t="s">
        <v>3753</v>
      </c>
      <c r="Q355" s="17"/>
      <c r="R355" s="17"/>
      <c r="S355" s="17"/>
      <c r="T355" s="17"/>
      <c r="U355" s="17"/>
      <c r="V355" s="17"/>
      <c r="W355" s="17"/>
      <c r="X355" s="17"/>
      <c r="Y355" s="17"/>
    </row>
    <row r="356" spans="1:25">
      <c r="A356" s="17" t="s">
        <v>3754</v>
      </c>
      <c r="B356" s="17" t="s">
        <v>3754</v>
      </c>
      <c r="C356" s="17" t="s">
        <v>3755</v>
      </c>
      <c r="D356" s="17" t="s">
        <v>2669</v>
      </c>
      <c r="E356" s="17" t="s">
        <v>3543</v>
      </c>
      <c r="F356" s="17" t="s">
        <v>3754</v>
      </c>
      <c r="G356" s="17" t="s">
        <v>2671</v>
      </c>
      <c r="H356" s="17" t="s">
        <v>4312</v>
      </c>
      <c r="I356" s="17" t="s">
        <v>4237</v>
      </c>
      <c r="J356" s="17" t="s">
        <v>3544</v>
      </c>
      <c r="K356" s="17" t="s">
        <v>2930</v>
      </c>
      <c r="L356" s="17" t="s">
        <v>3545</v>
      </c>
      <c r="M356" s="17" t="s">
        <v>2669</v>
      </c>
      <c r="N356" s="17" t="s">
        <v>3754</v>
      </c>
      <c r="O356" s="17" t="s">
        <v>7635</v>
      </c>
      <c r="P356" s="17" t="s">
        <v>3756</v>
      </c>
      <c r="Q356" s="17"/>
      <c r="R356" s="17"/>
      <c r="S356" s="17"/>
      <c r="T356" s="17"/>
      <c r="U356" s="17"/>
      <c r="V356" s="17"/>
      <c r="W356" s="17"/>
      <c r="X356" s="17"/>
      <c r="Y356" s="17"/>
    </row>
    <row r="357" spans="1:25">
      <c r="A357" s="17" t="s">
        <v>3757</v>
      </c>
      <c r="B357" s="17" t="s">
        <v>3757</v>
      </c>
      <c r="C357" s="17" t="s">
        <v>3755</v>
      </c>
      <c r="D357" s="17" t="s">
        <v>2669</v>
      </c>
      <c r="E357" s="17" t="s">
        <v>3543</v>
      </c>
      <c r="F357" s="17" t="s">
        <v>3757</v>
      </c>
      <c r="G357" s="17" t="s">
        <v>2671</v>
      </c>
      <c r="H357" s="17" t="s">
        <v>6835</v>
      </c>
      <c r="I357" s="17" t="s">
        <v>4237</v>
      </c>
      <c r="J357" s="17" t="s">
        <v>3544</v>
      </c>
      <c r="K357" s="17" t="s">
        <v>2930</v>
      </c>
      <c r="L357" s="17" t="s">
        <v>3545</v>
      </c>
      <c r="M357" s="17" t="s">
        <v>2669</v>
      </c>
      <c r="N357" s="17" t="s">
        <v>3757</v>
      </c>
      <c r="O357" s="17" t="s">
        <v>7635</v>
      </c>
      <c r="P357" s="17" t="s">
        <v>3758</v>
      </c>
      <c r="Q357" s="17"/>
      <c r="R357" s="17"/>
      <c r="S357" s="17"/>
      <c r="T357" s="17"/>
      <c r="U357" s="17"/>
      <c r="V357" s="17"/>
      <c r="W357" s="17"/>
      <c r="X357" s="17"/>
      <c r="Y357" s="17"/>
    </row>
    <row r="358" spans="1:25">
      <c r="A358" s="17" t="s">
        <v>3759</v>
      </c>
      <c r="B358" s="17" t="s">
        <v>3759</v>
      </c>
      <c r="C358" s="17" t="s">
        <v>3760</v>
      </c>
      <c r="D358" s="17" t="s">
        <v>2669</v>
      </c>
      <c r="E358" s="17" t="s">
        <v>3543</v>
      </c>
      <c r="F358" s="17" t="s">
        <v>3759</v>
      </c>
      <c r="G358" s="17" t="s">
        <v>2671</v>
      </c>
      <c r="H358" s="17" t="s">
        <v>4312</v>
      </c>
      <c r="I358" s="17" t="s">
        <v>4237</v>
      </c>
      <c r="J358" s="17" t="s">
        <v>3544</v>
      </c>
      <c r="K358" s="17" t="s">
        <v>2934</v>
      </c>
      <c r="L358" s="17" t="s">
        <v>3545</v>
      </c>
      <c r="M358" s="17" t="s">
        <v>2669</v>
      </c>
      <c r="N358" s="17" t="s">
        <v>3759</v>
      </c>
      <c r="O358" s="17" t="s">
        <v>7635</v>
      </c>
      <c r="P358" s="17" t="s">
        <v>3761</v>
      </c>
      <c r="Q358" s="17"/>
      <c r="R358" s="17"/>
      <c r="S358" s="17"/>
      <c r="T358" s="17"/>
      <c r="U358" s="17"/>
      <c r="V358" s="17"/>
      <c r="W358" s="17"/>
      <c r="X358" s="17"/>
      <c r="Y358" s="17"/>
    </row>
    <row r="359" spans="1:25">
      <c r="A359" s="17" t="s">
        <v>3762</v>
      </c>
      <c r="B359" s="17" t="s">
        <v>3762</v>
      </c>
      <c r="C359" s="17" t="s">
        <v>3760</v>
      </c>
      <c r="D359" s="17" t="s">
        <v>2669</v>
      </c>
      <c r="E359" s="17" t="s">
        <v>3543</v>
      </c>
      <c r="F359" s="17" t="s">
        <v>3762</v>
      </c>
      <c r="G359" s="17" t="s">
        <v>2671</v>
      </c>
      <c r="H359" s="17" t="s">
        <v>6835</v>
      </c>
      <c r="I359" s="17" t="s">
        <v>4237</v>
      </c>
      <c r="J359" s="17" t="s">
        <v>3544</v>
      </c>
      <c r="K359" s="17" t="s">
        <v>2934</v>
      </c>
      <c r="L359" s="17" t="s">
        <v>3545</v>
      </c>
      <c r="M359" s="17" t="s">
        <v>2669</v>
      </c>
      <c r="N359" s="17" t="s">
        <v>3762</v>
      </c>
      <c r="O359" s="17" t="s">
        <v>7635</v>
      </c>
      <c r="P359" s="17" t="s">
        <v>3763</v>
      </c>
      <c r="Q359" s="17"/>
      <c r="R359" s="17"/>
      <c r="S359" s="17"/>
      <c r="T359" s="17"/>
      <c r="U359" s="17"/>
      <c r="V359" s="17"/>
      <c r="W359" s="17"/>
      <c r="X359" s="17"/>
      <c r="Y359" s="17"/>
    </row>
    <row r="360" spans="1:25">
      <c r="A360" s="17" t="s">
        <v>3764</v>
      </c>
      <c r="B360" s="17" t="s">
        <v>3764</v>
      </c>
      <c r="C360" s="17" t="s">
        <v>3765</v>
      </c>
      <c r="D360" s="17" t="s">
        <v>2669</v>
      </c>
      <c r="E360" s="17" t="s">
        <v>3543</v>
      </c>
      <c r="F360" s="17" t="s">
        <v>3764</v>
      </c>
      <c r="G360" s="17" t="s">
        <v>2671</v>
      </c>
      <c r="H360" s="17" t="s">
        <v>4312</v>
      </c>
      <c r="I360" s="17" t="s">
        <v>4237</v>
      </c>
      <c r="J360" s="17" t="s">
        <v>3544</v>
      </c>
      <c r="K360" s="17" t="s">
        <v>2938</v>
      </c>
      <c r="L360" s="17" t="s">
        <v>3545</v>
      </c>
      <c r="M360" s="17" t="s">
        <v>2669</v>
      </c>
      <c r="N360" s="17" t="s">
        <v>3764</v>
      </c>
      <c r="O360" s="17" t="s">
        <v>7635</v>
      </c>
      <c r="P360" s="17" t="s">
        <v>3766</v>
      </c>
      <c r="Q360" s="17"/>
      <c r="R360" s="17"/>
      <c r="S360" s="17"/>
      <c r="T360" s="17"/>
      <c r="U360" s="17"/>
      <c r="V360" s="17"/>
      <c r="W360" s="17"/>
      <c r="X360" s="17"/>
      <c r="Y360" s="17"/>
    </row>
    <row r="361" spans="1:25">
      <c r="A361" s="17" t="s">
        <v>3767</v>
      </c>
      <c r="B361" s="17" t="s">
        <v>3767</v>
      </c>
      <c r="C361" s="17" t="s">
        <v>3765</v>
      </c>
      <c r="D361" s="17" t="s">
        <v>2669</v>
      </c>
      <c r="E361" s="17" t="s">
        <v>3543</v>
      </c>
      <c r="F361" s="17" t="s">
        <v>3767</v>
      </c>
      <c r="G361" s="17" t="s">
        <v>2671</v>
      </c>
      <c r="H361" s="17" t="s">
        <v>6835</v>
      </c>
      <c r="I361" s="17" t="s">
        <v>4237</v>
      </c>
      <c r="J361" s="17" t="s">
        <v>3544</v>
      </c>
      <c r="K361" s="17" t="s">
        <v>2938</v>
      </c>
      <c r="L361" s="17" t="s">
        <v>3545</v>
      </c>
      <c r="M361" s="17" t="s">
        <v>2669</v>
      </c>
      <c r="N361" s="17" t="s">
        <v>3767</v>
      </c>
      <c r="O361" s="17" t="s">
        <v>7635</v>
      </c>
      <c r="P361" s="17" t="s">
        <v>3768</v>
      </c>
      <c r="Q361" s="17"/>
      <c r="R361" s="17"/>
      <c r="S361" s="17"/>
      <c r="T361" s="17"/>
      <c r="U361" s="17"/>
      <c r="V361" s="17"/>
      <c r="W361" s="17"/>
      <c r="X361" s="17"/>
      <c r="Y361" s="17"/>
    </row>
    <row r="362" spans="1:25">
      <c r="A362" s="17" t="s">
        <v>3769</v>
      </c>
      <c r="B362" s="17" t="s">
        <v>3769</v>
      </c>
      <c r="C362" s="17" t="s">
        <v>3770</v>
      </c>
      <c r="D362" s="17" t="s">
        <v>2669</v>
      </c>
      <c r="E362" s="17" t="s">
        <v>3543</v>
      </c>
      <c r="F362" s="17" t="s">
        <v>3769</v>
      </c>
      <c r="G362" s="17" t="s">
        <v>2671</v>
      </c>
      <c r="H362" s="17" t="s">
        <v>4312</v>
      </c>
      <c r="I362" s="17" t="s">
        <v>4237</v>
      </c>
      <c r="J362" s="17" t="s">
        <v>3544</v>
      </c>
      <c r="K362" s="17" t="s">
        <v>3151</v>
      </c>
      <c r="L362" s="17" t="s">
        <v>3545</v>
      </c>
      <c r="M362" s="17" t="s">
        <v>2669</v>
      </c>
      <c r="N362" s="17" t="s">
        <v>3769</v>
      </c>
      <c r="O362" s="17" t="s">
        <v>7635</v>
      </c>
      <c r="P362" s="17" t="s">
        <v>3771</v>
      </c>
      <c r="Q362" s="17"/>
      <c r="R362" s="17"/>
      <c r="S362" s="17"/>
      <c r="T362" s="17"/>
      <c r="U362" s="17"/>
      <c r="V362" s="17"/>
      <c r="W362" s="17"/>
      <c r="X362" s="17"/>
      <c r="Y362" s="17"/>
    </row>
    <row r="363" spans="1:25">
      <c r="A363" s="17" t="s">
        <v>3772</v>
      </c>
      <c r="B363" s="17" t="s">
        <v>3772</v>
      </c>
      <c r="C363" s="17" t="s">
        <v>3770</v>
      </c>
      <c r="D363" s="17" t="s">
        <v>2669</v>
      </c>
      <c r="E363" s="17" t="s">
        <v>3543</v>
      </c>
      <c r="F363" s="17" t="s">
        <v>3772</v>
      </c>
      <c r="G363" s="17" t="s">
        <v>2671</v>
      </c>
      <c r="H363" s="17" t="s">
        <v>6835</v>
      </c>
      <c r="I363" s="17" t="s">
        <v>4237</v>
      </c>
      <c r="J363" s="17" t="s">
        <v>3544</v>
      </c>
      <c r="K363" s="17" t="s">
        <v>3151</v>
      </c>
      <c r="L363" s="17" t="s">
        <v>3545</v>
      </c>
      <c r="M363" s="17" t="s">
        <v>2669</v>
      </c>
      <c r="N363" s="17" t="s">
        <v>3772</v>
      </c>
      <c r="O363" s="17" t="s">
        <v>7635</v>
      </c>
      <c r="P363" s="17" t="s">
        <v>3773</v>
      </c>
      <c r="Q363" s="17"/>
      <c r="R363" s="17"/>
      <c r="S363" s="17"/>
      <c r="T363" s="17"/>
      <c r="U363" s="17"/>
      <c r="V363" s="17"/>
      <c r="W363" s="17"/>
      <c r="X363" s="17"/>
      <c r="Y363" s="17"/>
    </row>
    <row r="364" spans="1:25">
      <c r="A364" s="17" t="s">
        <v>3774</v>
      </c>
      <c r="B364" s="17" t="s">
        <v>3774</v>
      </c>
      <c r="C364" s="17" t="s">
        <v>3775</v>
      </c>
      <c r="D364" s="17" t="s">
        <v>2669</v>
      </c>
      <c r="E364" s="17" t="s">
        <v>3543</v>
      </c>
      <c r="F364" s="17" t="s">
        <v>3774</v>
      </c>
      <c r="G364" s="17" t="s">
        <v>2671</v>
      </c>
      <c r="H364" s="17" t="s">
        <v>4312</v>
      </c>
      <c r="I364" s="17" t="s">
        <v>4237</v>
      </c>
      <c r="J364" s="17" t="s">
        <v>3544</v>
      </c>
      <c r="K364" s="17" t="s">
        <v>2945</v>
      </c>
      <c r="L364" s="17" t="s">
        <v>3545</v>
      </c>
      <c r="M364" s="17" t="s">
        <v>2669</v>
      </c>
      <c r="N364" s="17" t="s">
        <v>3774</v>
      </c>
      <c r="O364" s="17" t="s">
        <v>7635</v>
      </c>
      <c r="P364" s="17" t="s">
        <v>3776</v>
      </c>
      <c r="Q364" s="17"/>
      <c r="R364" s="17"/>
      <c r="S364" s="17"/>
      <c r="T364" s="17"/>
      <c r="U364" s="17"/>
      <c r="V364" s="17"/>
      <c r="W364" s="17"/>
      <c r="X364" s="17"/>
      <c r="Y364" s="17"/>
    </row>
    <row r="365" spans="1:25">
      <c r="A365" s="17" t="s">
        <v>3777</v>
      </c>
      <c r="B365" s="17" t="s">
        <v>3777</v>
      </c>
      <c r="C365" s="17" t="s">
        <v>3775</v>
      </c>
      <c r="D365" s="17" t="s">
        <v>2669</v>
      </c>
      <c r="E365" s="17" t="s">
        <v>3543</v>
      </c>
      <c r="F365" s="17" t="s">
        <v>3777</v>
      </c>
      <c r="G365" s="17" t="s">
        <v>2671</v>
      </c>
      <c r="H365" s="17" t="s">
        <v>6835</v>
      </c>
      <c r="I365" s="17" t="s">
        <v>4237</v>
      </c>
      <c r="J365" s="17" t="s">
        <v>3544</v>
      </c>
      <c r="K365" s="17" t="s">
        <v>2945</v>
      </c>
      <c r="L365" s="17" t="s">
        <v>3545</v>
      </c>
      <c r="M365" s="17" t="s">
        <v>2669</v>
      </c>
      <c r="N365" s="17" t="s">
        <v>3777</v>
      </c>
      <c r="O365" s="17" t="s">
        <v>7635</v>
      </c>
      <c r="P365" s="17" t="s">
        <v>3778</v>
      </c>
      <c r="Q365" s="17"/>
      <c r="R365" s="17"/>
      <c r="S365" s="17"/>
      <c r="T365" s="17"/>
      <c r="U365" s="17"/>
      <c r="V365" s="17"/>
      <c r="W365" s="17"/>
      <c r="X365" s="17"/>
      <c r="Y365" s="17"/>
    </row>
    <row r="366" spans="1:25">
      <c r="A366" s="17" t="s">
        <v>3779</v>
      </c>
      <c r="B366" s="17" t="s">
        <v>3779</v>
      </c>
      <c r="C366" s="17" t="s">
        <v>3780</v>
      </c>
      <c r="D366" s="17" t="s">
        <v>2669</v>
      </c>
      <c r="E366" s="17" t="s">
        <v>3543</v>
      </c>
      <c r="F366" s="17" t="s">
        <v>3779</v>
      </c>
      <c r="G366" s="17" t="s">
        <v>2671</v>
      </c>
      <c r="H366" s="17" t="s">
        <v>4312</v>
      </c>
      <c r="I366" s="17" t="s">
        <v>4237</v>
      </c>
      <c r="J366" s="17" t="s">
        <v>3544</v>
      </c>
      <c r="K366" s="17" t="s">
        <v>3162</v>
      </c>
      <c r="L366" s="17" t="s">
        <v>3545</v>
      </c>
      <c r="M366" s="17" t="s">
        <v>2669</v>
      </c>
      <c r="N366" s="17" t="s">
        <v>3779</v>
      </c>
      <c r="O366" s="17" t="s">
        <v>7635</v>
      </c>
      <c r="P366" s="17" t="s">
        <v>3781</v>
      </c>
      <c r="Q366" s="17"/>
      <c r="R366" s="17"/>
      <c r="S366" s="17"/>
      <c r="T366" s="17"/>
      <c r="U366" s="17"/>
      <c r="V366" s="17"/>
      <c r="W366" s="17"/>
      <c r="X366" s="17"/>
      <c r="Y366" s="17"/>
    </row>
    <row r="367" spans="1:25">
      <c r="A367" s="17" t="s">
        <v>3782</v>
      </c>
      <c r="B367" s="17" t="s">
        <v>3782</v>
      </c>
      <c r="C367" s="17" t="s">
        <v>3780</v>
      </c>
      <c r="D367" s="17" t="s">
        <v>2669</v>
      </c>
      <c r="E367" s="17" t="s">
        <v>3543</v>
      </c>
      <c r="F367" s="17" t="s">
        <v>3782</v>
      </c>
      <c r="G367" s="17" t="s">
        <v>2671</v>
      </c>
      <c r="H367" s="17" t="s">
        <v>6835</v>
      </c>
      <c r="I367" s="17" t="s">
        <v>4237</v>
      </c>
      <c r="J367" s="17" t="s">
        <v>3544</v>
      </c>
      <c r="K367" s="17" t="s">
        <v>3162</v>
      </c>
      <c r="L367" s="17" t="s">
        <v>3545</v>
      </c>
      <c r="M367" s="17" t="s">
        <v>2669</v>
      </c>
      <c r="N367" s="17" t="s">
        <v>3782</v>
      </c>
      <c r="O367" s="17" t="s">
        <v>7635</v>
      </c>
      <c r="P367" s="17" t="s">
        <v>3783</v>
      </c>
      <c r="Q367" s="17"/>
      <c r="R367" s="17"/>
      <c r="S367" s="17"/>
      <c r="T367" s="17"/>
      <c r="U367" s="17"/>
      <c r="V367" s="17"/>
      <c r="W367" s="17"/>
      <c r="X367" s="17"/>
      <c r="Y367" s="17"/>
    </row>
    <row r="368" spans="1:25">
      <c r="A368" s="17" t="s">
        <v>3784</v>
      </c>
      <c r="B368" s="17" t="s">
        <v>3784</v>
      </c>
      <c r="C368" s="17" t="s">
        <v>3785</v>
      </c>
      <c r="D368" s="17" t="s">
        <v>2669</v>
      </c>
      <c r="E368" s="17" t="s">
        <v>3543</v>
      </c>
      <c r="F368" s="17" t="s">
        <v>3784</v>
      </c>
      <c r="G368" s="17" t="s">
        <v>2671</v>
      </c>
      <c r="H368" s="17" t="s">
        <v>4312</v>
      </c>
      <c r="I368" s="17" t="s">
        <v>4237</v>
      </c>
      <c r="J368" s="17" t="s">
        <v>3544</v>
      </c>
      <c r="K368" s="17" t="s">
        <v>3168</v>
      </c>
      <c r="L368" s="17" t="s">
        <v>3545</v>
      </c>
      <c r="M368" s="17" t="s">
        <v>2669</v>
      </c>
      <c r="N368" s="17" t="s">
        <v>3784</v>
      </c>
      <c r="O368" s="17" t="s">
        <v>7635</v>
      </c>
      <c r="P368" s="17" t="s">
        <v>3786</v>
      </c>
      <c r="Q368" s="17"/>
      <c r="R368" s="17"/>
      <c r="S368" s="17"/>
      <c r="T368" s="17"/>
      <c r="U368" s="17"/>
      <c r="V368" s="17"/>
      <c r="W368" s="17"/>
      <c r="X368" s="17"/>
      <c r="Y368" s="17"/>
    </row>
    <row r="369" spans="1:25">
      <c r="A369" s="17" t="s">
        <v>3787</v>
      </c>
      <c r="B369" s="17" t="s">
        <v>3787</v>
      </c>
      <c r="C369" s="17" t="s">
        <v>3785</v>
      </c>
      <c r="D369" s="17" t="s">
        <v>2669</v>
      </c>
      <c r="E369" s="17" t="s">
        <v>3543</v>
      </c>
      <c r="F369" s="17" t="s">
        <v>3787</v>
      </c>
      <c r="G369" s="17" t="s">
        <v>2671</v>
      </c>
      <c r="H369" s="17" t="s">
        <v>6835</v>
      </c>
      <c r="I369" s="17" t="s">
        <v>4237</v>
      </c>
      <c r="J369" s="17" t="s">
        <v>3544</v>
      </c>
      <c r="K369" s="17" t="s">
        <v>3168</v>
      </c>
      <c r="L369" s="17" t="s">
        <v>3545</v>
      </c>
      <c r="M369" s="17" t="s">
        <v>2669</v>
      </c>
      <c r="N369" s="17" t="s">
        <v>3787</v>
      </c>
      <c r="O369" s="17" t="s">
        <v>7635</v>
      </c>
      <c r="P369" s="17" t="s">
        <v>3788</v>
      </c>
      <c r="Q369" s="17"/>
      <c r="R369" s="17"/>
      <c r="S369" s="17"/>
      <c r="T369" s="17"/>
      <c r="U369" s="17"/>
      <c r="V369" s="17"/>
      <c r="W369" s="17"/>
      <c r="X369" s="17"/>
      <c r="Y369" s="17"/>
    </row>
    <row r="370" spans="1:25">
      <c r="A370" s="17" t="s">
        <v>3789</v>
      </c>
      <c r="B370" s="17" t="s">
        <v>3789</v>
      </c>
      <c r="C370" s="17" t="s">
        <v>3790</v>
      </c>
      <c r="D370" s="17" t="s">
        <v>2669</v>
      </c>
      <c r="E370" s="17" t="s">
        <v>3543</v>
      </c>
      <c r="F370" s="17" t="s">
        <v>3789</v>
      </c>
      <c r="G370" s="17" t="s">
        <v>2671</v>
      </c>
      <c r="H370" s="17" t="s">
        <v>4312</v>
      </c>
      <c r="I370" s="17" t="s">
        <v>4237</v>
      </c>
      <c r="J370" s="17" t="s">
        <v>3544</v>
      </c>
      <c r="K370" s="17" t="s">
        <v>3174</v>
      </c>
      <c r="L370" s="17" t="s">
        <v>3545</v>
      </c>
      <c r="M370" s="17" t="s">
        <v>2669</v>
      </c>
      <c r="N370" s="17" t="s">
        <v>3789</v>
      </c>
      <c r="O370" s="17" t="s">
        <v>7635</v>
      </c>
      <c r="P370" s="17" t="s">
        <v>3791</v>
      </c>
      <c r="Q370" s="17"/>
      <c r="R370" s="17"/>
      <c r="S370" s="17"/>
      <c r="T370" s="17"/>
      <c r="U370" s="17"/>
      <c r="V370" s="17"/>
      <c r="W370" s="17"/>
      <c r="X370" s="17"/>
      <c r="Y370" s="17"/>
    </row>
    <row r="371" spans="1:25">
      <c r="A371" s="17" t="s">
        <v>3792</v>
      </c>
      <c r="B371" s="17" t="s">
        <v>3792</v>
      </c>
      <c r="C371" s="17" t="s">
        <v>3790</v>
      </c>
      <c r="D371" s="17" t="s">
        <v>2669</v>
      </c>
      <c r="E371" s="17" t="s">
        <v>3543</v>
      </c>
      <c r="F371" s="17" t="s">
        <v>3792</v>
      </c>
      <c r="G371" s="17" t="s">
        <v>2671</v>
      </c>
      <c r="H371" s="17" t="s">
        <v>6835</v>
      </c>
      <c r="I371" s="17" t="s">
        <v>4237</v>
      </c>
      <c r="J371" s="17" t="s">
        <v>3544</v>
      </c>
      <c r="K371" s="17" t="s">
        <v>3174</v>
      </c>
      <c r="L371" s="17" t="s">
        <v>3545</v>
      </c>
      <c r="M371" s="17" t="s">
        <v>2669</v>
      </c>
      <c r="N371" s="17" t="s">
        <v>3792</v>
      </c>
      <c r="O371" s="17" t="s">
        <v>7635</v>
      </c>
      <c r="P371" s="17" t="s">
        <v>3793</v>
      </c>
      <c r="Q371" s="17"/>
      <c r="R371" s="17"/>
      <c r="S371" s="17"/>
      <c r="T371" s="17"/>
      <c r="U371" s="17"/>
      <c r="V371" s="17"/>
      <c r="W371" s="17"/>
      <c r="X371" s="17"/>
      <c r="Y371" s="17"/>
    </row>
    <row r="372" spans="1:25">
      <c r="A372" s="17" t="s">
        <v>3794</v>
      </c>
      <c r="B372" s="17" t="s">
        <v>3794</v>
      </c>
      <c r="C372" s="17" t="s">
        <v>3795</v>
      </c>
      <c r="D372" s="17" t="s">
        <v>2669</v>
      </c>
      <c r="E372" s="17" t="s">
        <v>3543</v>
      </c>
      <c r="F372" s="17" t="s">
        <v>3794</v>
      </c>
      <c r="G372" s="17" t="s">
        <v>2671</v>
      </c>
      <c r="H372" s="17" t="s">
        <v>4312</v>
      </c>
      <c r="I372" s="17" t="s">
        <v>4237</v>
      </c>
      <c r="J372" s="17" t="s">
        <v>3544</v>
      </c>
      <c r="K372" s="17" t="s">
        <v>3180</v>
      </c>
      <c r="L372" s="17" t="s">
        <v>3545</v>
      </c>
      <c r="M372" s="17" t="s">
        <v>2669</v>
      </c>
      <c r="N372" s="17" t="s">
        <v>3794</v>
      </c>
      <c r="O372" s="17" t="s">
        <v>7635</v>
      </c>
      <c r="P372" s="17" t="s">
        <v>3796</v>
      </c>
      <c r="Q372" s="17"/>
      <c r="R372" s="17"/>
      <c r="S372" s="17"/>
      <c r="T372" s="17"/>
      <c r="U372" s="17"/>
      <c r="V372" s="17"/>
      <c r="W372" s="17"/>
      <c r="X372" s="17"/>
      <c r="Y372" s="17"/>
    </row>
    <row r="373" spans="1:25">
      <c r="A373" s="17" t="s">
        <v>3797</v>
      </c>
      <c r="B373" s="17" t="s">
        <v>3797</v>
      </c>
      <c r="C373" s="17" t="s">
        <v>3795</v>
      </c>
      <c r="D373" s="17" t="s">
        <v>2669</v>
      </c>
      <c r="E373" s="17" t="s">
        <v>3543</v>
      </c>
      <c r="F373" s="17" t="s">
        <v>3797</v>
      </c>
      <c r="G373" s="17" t="s">
        <v>2671</v>
      </c>
      <c r="H373" s="17" t="s">
        <v>6835</v>
      </c>
      <c r="I373" s="17" t="s">
        <v>4237</v>
      </c>
      <c r="J373" s="17" t="s">
        <v>3544</v>
      </c>
      <c r="K373" s="17" t="s">
        <v>3180</v>
      </c>
      <c r="L373" s="17" t="s">
        <v>3545</v>
      </c>
      <c r="M373" s="17" t="s">
        <v>2669</v>
      </c>
      <c r="N373" s="17" t="s">
        <v>3797</v>
      </c>
      <c r="O373" s="17" t="s">
        <v>7635</v>
      </c>
      <c r="P373" s="17" t="s">
        <v>3798</v>
      </c>
      <c r="Q373" s="17"/>
      <c r="R373" s="17"/>
      <c r="S373" s="17"/>
      <c r="T373" s="17"/>
      <c r="U373" s="17"/>
      <c r="V373" s="17"/>
      <c r="W373" s="17"/>
      <c r="X373" s="17"/>
      <c r="Y373" s="17"/>
    </row>
    <row r="374" spans="1:25">
      <c r="A374" s="17" t="s">
        <v>3799</v>
      </c>
      <c r="B374" s="17" t="s">
        <v>3799</v>
      </c>
      <c r="C374" s="17" t="s">
        <v>3800</v>
      </c>
      <c r="D374" s="17" t="s">
        <v>2669</v>
      </c>
      <c r="E374" s="17" t="s">
        <v>3543</v>
      </c>
      <c r="F374" s="17" t="s">
        <v>3799</v>
      </c>
      <c r="G374" s="17" t="s">
        <v>2671</v>
      </c>
      <c r="H374" s="17" t="s">
        <v>4312</v>
      </c>
      <c r="I374" s="17" t="s">
        <v>4237</v>
      </c>
      <c r="J374" s="17" t="s">
        <v>3544</v>
      </c>
      <c r="K374" s="17" t="s">
        <v>3186</v>
      </c>
      <c r="L374" s="17" t="s">
        <v>3545</v>
      </c>
      <c r="M374" s="17" t="s">
        <v>2669</v>
      </c>
      <c r="N374" s="17" t="s">
        <v>3799</v>
      </c>
      <c r="O374" s="17" t="s">
        <v>7635</v>
      </c>
      <c r="P374" s="17" t="s">
        <v>3801</v>
      </c>
      <c r="Q374" s="17"/>
      <c r="R374" s="17"/>
      <c r="S374" s="17"/>
      <c r="T374" s="17"/>
      <c r="U374" s="17"/>
      <c r="V374" s="17"/>
      <c r="W374" s="17"/>
      <c r="X374" s="17"/>
      <c r="Y374" s="17"/>
    </row>
    <row r="375" spans="1:25">
      <c r="A375" s="17" t="s">
        <v>3802</v>
      </c>
      <c r="B375" s="17" t="s">
        <v>3802</v>
      </c>
      <c r="C375" s="17" t="s">
        <v>3800</v>
      </c>
      <c r="D375" s="17" t="s">
        <v>2669</v>
      </c>
      <c r="E375" s="17" t="s">
        <v>3543</v>
      </c>
      <c r="F375" s="17" t="s">
        <v>3802</v>
      </c>
      <c r="G375" s="17" t="s">
        <v>2671</v>
      </c>
      <c r="H375" s="17" t="s">
        <v>6835</v>
      </c>
      <c r="I375" s="17" t="s">
        <v>4237</v>
      </c>
      <c r="J375" s="17" t="s">
        <v>3544</v>
      </c>
      <c r="K375" s="17" t="s">
        <v>3186</v>
      </c>
      <c r="L375" s="17" t="s">
        <v>3545</v>
      </c>
      <c r="M375" s="17" t="s">
        <v>2669</v>
      </c>
      <c r="N375" s="17" t="s">
        <v>3802</v>
      </c>
      <c r="O375" s="17" t="s">
        <v>7635</v>
      </c>
      <c r="P375" s="17" t="s">
        <v>3803</v>
      </c>
      <c r="Q375" s="17"/>
      <c r="R375" s="17"/>
      <c r="S375" s="17"/>
      <c r="T375" s="17"/>
      <c r="U375" s="17"/>
      <c r="V375" s="17"/>
      <c r="W375" s="17"/>
      <c r="X375" s="17"/>
      <c r="Y375" s="17"/>
    </row>
    <row r="376" spans="1:25">
      <c r="A376" s="17" t="s">
        <v>3804</v>
      </c>
      <c r="B376" s="17" t="s">
        <v>3804</v>
      </c>
      <c r="C376" s="17" t="s">
        <v>3805</v>
      </c>
      <c r="D376" s="17" t="s">
        <v>2669</v>
      </c>
      <c r="E376" s="17" t="s">
        <v>3543</v>
      </c>
      <c r="F376" s="17" t="s">
        <v>3804</v>
      </c>
      <c r="G376" s="17" t="s">
        <v>2671</v>
      </c>
      <c r="H376" s="17" t="s">
        <v>4312</v>
      </c>
      <c r="I376" s="17" t="s">
        <v>4237</v>
      </c>
      <c r="J376" s="17" t="s">
        <v>3544</v>
      </c>
      <c r="K376" s="17" t="s">
        <v>2952</v>
      </c>
      <c r="L376" s="17" t="s">
        <v>3545</v>
      </c>
      <c r="M376" s="17" t="s">
        <v>2669</v>
      </c>
      <c r="N376" s="17" t="s">
        <v>3804</v>
      </c>
      <c r="O376" s="17" t="s">
        <v>7635</v>
      </c>
      <c r="P376" s="17" t="s">
        <v>3806</v>
      </c>
      <c r="Q376" s="17"/>
      <c r="R376" s="17"/>
      <c r="S376" s="17"/>
      <c r="T376" s="17"/>
      <c r="U376" s="17"/>
      <c r="V376" s="17"/>
      <c r="W376" s="17"/>
      <c r="X376" s="17"/>
      <c r="Y376" s="17"/>
    </row>
    <row r="377" spans="1:25">
      <c r="A377" s="17" t="s">
        <v>3807</v>
      </c>
      <c r="B377" s="17" t="s">
        <v>3807</v>
      </c>
      <c r="C377" s="17" t="s">
        <v>3805</v>
      </c>
      <c r="D377" s="17" t="s">
        <v>2669</v>
      </c>
      <c r="E377" s="17" t="s">
        <v>3543</v>
      </c>
      <c r="F377" s="17" t="s">
        <v>3807</v>
      </c>
      <c r="G377" s="17" t="s">
        <v>2671</v>
      </c>
      <c r="H377" s="17" t="s">
        <v>6835</v>
      </c>
      <c r="I377" s="17" t="s">
        <v>4237</v>
      </c>
      <c r="J377" s="17" t="s">
        <v>3544</v>
      </c>
      <c r="K377" s="17" t="s">
        <v>2952</v>
      </c>
      <c r="L377" s="17" t="s">
        <v>3545</v>
      </c>
      <c r="M377" s="17" t="s">
        <v>2669</v>
      </c>
      <c r="N377" s="17" t="s">
        <v>3807</v>
      </c>
      <c r="O377" s="17" t="s">
        <v>7635</v>
      </c>
      <c r="P377" s="17" t="s">
        <v>3808</v>
      </c>
      <c r="Q377" s="17"/>
      <c r="R377" s="17"/>
      <c r="S377" s="17"/>
      <c r="T377" s="17"/>
      <c r="U377" s="17"/>
      <c r="V377" s="17"/>
      <c r="W377" s="17"/>
      <c r="X377" s="17"/>
      <c r="Y377" s="17"/>
    </row>
    <row r="378" spans="1:25">
      <c r="A378" s="17" t="s">
        <v>3809</v>
      </c>
      <c r="B378" s="17" t="s">
        <v>3809</v>
      </c>
      <c r="C378" s="17" t="s">
        <v>3810</v>
      </c>
      <c r="D378" s="17" t="s">
        <v>2669</v>
      </c>
      <c r="E378" s="17" t="s">
        <v>3543</v>
      </c>
      <c r="F378" s="17" t="s">
        <v>3809</v>
      </c>
      <c r="G378" s="17" t="s">
        <v>2671</v>
      </c>
      <c r="H378" s="17" t="s">
        <v>4312</v>
      </c>
      <c r="I378" s="17" t="s">
        <v>4237</v>
      </c>
      <c r="J378" s="17" t="s">
        <v>3544</v>
      </c>
      <c r="K378" s="17" t="s">
        <v>3197</v>
      </c>
      <c r="L378" s="17" t="s">
        <v>3545</v>
      </c>
      <c r="M378" s="17" t="s">
        <v>2669</v>
      </c>
      <c r="N378" s="17" t="s">
        <v>3809</v>
      </c>
      <c r="O378" s="17" t="s">
        <v>7635</v>
      </c>
      <c r="P378" s="17" t="s">
        <v>3811</v>
      </c>
      <c r="Q378" s="17"/>
      <c r="R378" s="17"/>
      <c r="S378" s="17"/>
      <c r="T378" s="17"/>
      <c r="U378" s="17"/>
      <c r="V378" s="17"/>
      <c r="W378" s="17"/>
      <c r="X378" s="17"/>
      <c r="Y378" s="17"/>
    </row>
    <row r="379" spans="1:25">
      <c r="A379" s="17" t="s">
        <v>3812</v>
      </c>
      <c r="B379" s="17" t="s">
        <v>3812</v>
      </c>
      <c r="C379" s="17" t="s">
        <v>3810</v>
      </c>
      <c r="D379" s="17" t="s">
        <v>2669</v>
      </c>
      <c r="E379" s="17" t="s">
        <v>3543</v>
      </c>
      <c r="F379" s="17" t="s">
        <v>3812</v>
      </c>
      <c r="G379" s="17" t="s">
        <v>2671</v>
      </c>
      <c r="H379" s="17" t="s">
        <v>6835</v>
      </c>
      <c r="I379" s="17" t="s">
        <v>4237</v>
      </c>
      <c r="J379" s="17" t="s">
        <v>3544</v>
      </c>
      <c r="K379" s="17" t="s">
        <v>3197</v>
      </c>
      <c r="L379" s="17" t="s">
        <v>3545</v>
      </c>
      <c r="M379" s="17" t="s">
        <v>2669</v>
      </c>
      <c r="N379" s="17" t="s">
        <v>3812</v>
      </c>
      <c r="O379" s="17" t="s">
        <v>7635</v>
      </c>
      <c r="P379" s="17" t="s">
        <v>3813</v>
      </c>
      <c r="Q379" s="17"/>
      <c r="R379" s="17"/>
      <c r="S379" s="17"/>
      <c r="T379" s="17"/>
      <c r="U379" s="17"/>
      <c r="V379" s="17"/>
      <c r="W379" s="17"/>
      <c r="X379" s="17"/>
      <c r="Y379" s="17"/>
    </row>
    <row r="380" spans="1:25">
      <c r="A380" s="17" t="s">
        <v>3814</v>
      </c>
      <c r="B380" s="17" t="s">
        <v>3814</v>
      </c>
      <c r="C380" s="17" t="s">
        <v>3815</v>
      </c>
      <c r="D380" s="17" t="s">
        <v>2669</v>
      </c>
      <c r="E380" s="17" t="s">
        <v>3543</v>
      </c>
      <c r="F380" s="17" t="s">
        <v>3814</v>
      </c>
      <c r="G380" s="17" t="s">
        <v>2671</v>
      </c>
      <c r="H380" s="17" t="s">
        <v>4312</v>
      </c>
      <c r="I380" s="17" t="s">
        <v>4237</v>
      </c>
      <c r="J380" s="17" t="s">
        <v>3544</v>
      </c>
      <c r="K380" s="17" t="s">
        <v>3203</v>
      </c>
      <c r="L380" s="17" t="s">
        <v>3545</v>
      </c>
      <c r="M380" s="17" t="s">
        <v>2669</v>
      </c>
      <c r="N380" s="17" t="s">
        <v>3814</v>
      </c>
      <c r="O380" s="17" t="s">
        <v>7635</v>
      </c>
      <c r="P380" s="17" t="s">
        <v>3816</v>
      </c>
      <c r="Q380" s="17"/>
      <c r="R380" s="17"/>
      <c r="S380" s="17"/>
      <c r="T380" s="17"/>
      <c r="U380" s="17"/>
      <c r="V380" s="17"/>
      <c r="W380" s="17"/>
      <c r="X380" s="17"/>
      <c r="Y380" s="17"/>
    </row>
    <row r="381" spans="1:25">
      <c r="A381" s="17" t="s">
        <v>3817</v>
      </c>
      <c r="B381" s="17" t="s">
        <v>3817</v>
      </c>
      <c r="C381" s="17" t="s">
        <v>3815</v>
      </c>
      <c r="D381" s="17" t="s">
        <v>2669</v>
      </c>
      <c r="E381" s="17" t="s">
        <v>3543</v>
      </c>
      <c r="F381" s="17" t="s">
        <v>3817</v>
      </c>
      <c r="G381" s="17" t="s">
        <v>2671</v>
      </c>
      <c r="H381" s="17" t="s">
        <v>6835</v>
      </c>
      <c r="I381" s="17" t="s">
        <v>4237</v>
      </c>
      <c r="J381" s="17" t="s">
        <v>3544</v>
      </c>
      <c r="K381" s="17" t="s">
        <v>3203</v>
      </c>
      <c r="L381" s="17" t="s">
        <v>3545</v>
      </c>
      <c r="M381" s="17" t="s">
        <v>2669</v>
      </c>
      <c r="N381" s="17" t="s">
        <v>3817</v>
      </c>
      <c r="O381" s="17" t="s">
        <v>7635</v>
      </c>
      <c r="P381" s="17" t="s">
        <v>3818</v>
      </c>
      <c r="Q381" s="17"/>
      <c r="R381" s="17"/>
      <c r="S381" s="17"/>
      <c r="T381" s="17"/>
      <c r="U381" s="17"/>
      <c r="V381" s="17"/>
      <c r="W381" s="17"/>
      <c r="X381" s="17"/>
      <c r="Y381" s="17"/>
    </row>
    <row r="382" spans="1:25">
      <c r="A382" s="17" t="s">
        <v>3819</v>
      </c>
      <c r="B382" s="17" t="s">
        <v>3819</v>
      </c>
      <c r="C382" s="17" t="s">
        <v>3820</v>
      </c>
      <c r="D382" s="17" t="s">
        <v>2669</v>
      </c>
      <c r="E382" s="17" t="s">
        <v>3543</v>
      </c>
      <c r="F382" s="17" t="s">
        <v>3819</v>
      </c>
      <c r="G382" s="17" t="s">
        <v>2671</v>
      </c>
      <c r="H382" s="17" t="s">
        <v>4312</v>
      </c>
      <c r="I382" s="17" t="s">
        <v>4237</v>
      </c>
      <c r="J382" s="17" t="s">
        <v>3544</v>
      </c>
      <c r="K382" s="17" t="s">
        <v>2956</v>
      </c>
      <c r="L382" s="17" t="s">
        <v>3545</v>
      </c>
      <c r="M382" s="17" t="s">
        <v>2669</v>
      </c>
      <c r="N382" s="17" t="s">
        <v>3819</v>
      </c>
      <c r="O382" s="17" t="s">
        <v>7635</v>
      </c>
      <c r="P382" s="17" t="s">
        <v>3821</v>
      </c>
      <c r="Q382" s="17"/>
      <c r="R382" s="17"/>
      <c r="S382" s="17"/>
      <c r="T382" s="17"/>
      <c r="U382" s="17"/>
      <c r="V382" s="17"/>
      <c r="W382" s="17"/>
      <c r="X382" s="17"/>
      <c r="Y382" s="17"/>
    </row>
    <row r="383" spans="1:25">
      <c r="A383" s="17" t="s">
        <v>3822</v>
      </c>
      <c r="B383" s="17" t="s">
        <v>3822</v>
      </c>
      <c r="C383" s="17" t="s">
        <v>3820</v>
      </c>
      <c r="D383" s="17" t="s">
        <v>2669</v>
      </c>
      <c r="E383" s="17" t="s">
        <v>3543</v>
      </c>
      <c r="F383" s="17" t="s">
        <v>3822</v>
      </c>
      <c r="G383" s="17" t="s">
        <v>2671</v>
      </c>
      <c r="H383" s="17" t="s">
        <v>6835</v>
      </c>
      <c r="I383" s="17" t="s">
        <v>4237</v>
      </c>
      <c r="J383" s="17" t="s">
        <v>3544</v>
      </c>
      <c r="K383" s="17" t="s">
        <v>2956</v>
      </c>
      <c r="L383" s="17" t="s">
        <v>3545</v>
      </c>
      <c r="M383" s="17" t="s">
        <v>2669</v>
      </c>
      <c r="N383" s="17" t="s">
        <v>3822</v>
      </c>
      <c r="O383" s="17" t="s">
        <v>7635</v>
      </c>
      <c r="P383" s="17" t="s">
        <v>3823</v>
      </c>
      <c r="Q383" s="17"/>
      <c r="R383" s="17"/>
      <c r="S383" s="17"/>
      <c r="T383" s="17"/>
      <c r="U383" s="17"/>
      <c r="V383" s="17"/>
      <c r="W383" s="17"/>
      <c r="X383" s="17"/>
      <c r="Y383" s="17"/>
    </row>
    <row r="384" spans="1:25">
      <c r="A384" s="17" t="s">
        <v>3824</v>
      </c>
      <c r="B384" s="17" t="s">
        <v>3824</v>
      </c>
      <c r="C384" s="17" t="s">
        <v>3825</v>
      </c>
      <c r="D384" s="17" t="s">
        <v>2669</v>
      </c>
      <c r="E384" s="17" t="s">
        <v>3543</v>
      </c>
      <c r="F384" s="17" t="s">
        <v>3824</v>
      </c>
      <c r="G384" s="17" t="s">
        <v>2671</v>
      </c>
      <c r="H384" s="17" t="s">
        <v>4312</v>
      </c>
      <c r="I384" s="17" t="s">
        <v>4237</v>
      </c>
      <c r="J384" s="17" t="s">
        <v>3544</v>
      </c>
      <c r="K384" s="17" t="s">
        <v>2960</v>
      </c>
      <c r="L384" s="17" t="s">
        <v>3545</v>
      </c>
      <c r="M384" s="17" t="s">
        <v>2669</v>
      </c>
      <c r="N384" s="17" t="s">
        <v>3824</v>
      </c>
      <c r="O384" s="17" t="s">
        <v>7635</v>
      </c>
      <c r="P384" s="17" t="s">
        <v>3826</v>
      </c>
      <c r="Q384" s="17"/>
      <c r="R384" s="17"/>
      <c r="S384" s="17"/>
      <c r="T384" s="17"/>
      <c r="U384" s="17"/>
      <c r="V384" s="17"/>
      <c r="W384" s="17"/>
      <c r="X384" s="17"/>
      <c r="Y384" s="17"/>
    </row>
    <row r="385" spans="1:25">
      <c r="A385" s="17" t="s">
        <v>3827</v>
      </c>
      <c r="B385" s="17" t="s">
        <v>3827</v>
      </c>
      <c r="C385" s="17" t="s">
        <v>3825</v>
      </c>
      <c r="D385" s="17" t="s">
        <v>2669</v>
      </c>
      <c r="E385" s="17" t="s">
        <v>3543</v>
      </c>
      <c r="F385" s="17" t="s">
        <v>3827</v>
      </c>
      <c r="G385" s="17" t="s">
        <v>2671</v>
      </c>
      <c r="H385" s="17" t="s">
        <v>6835</v>
      </c>
      <c r="I385" s="17" t="s">
        <v>4237</v>
      </c>
      <c r="J385" s="17" t="s">
        <v>3544</v>
      </c>
      <c r="K385" s="17" t="s">
        <v>2960</v>
      </c>
      <c r="L385" s="17" t="s">
        <v>3545</v>
      </c>
      <c r="M385" s="17" t="s">
        <v>2669</v>
      </c>
      <c r="N385" s="17" t="s">
        <v>3827</v>
      </c>
      <c r="O385" s="17" t="s">
        <v>7635</v>
      </c>
      <c r="P385" s="17" t="s">
        <v>3828</v>
      </c>
      <c r="Q385" s="17"/>
      <c r="R385" s="17"/>
      <c r="S385" s="17"/>
      <c r="T385" s="17"/>
      <c r="U385" s="17"/>
      <c r="V385" s="17"/>
      <c r="W385" s="17"/>
      <c r="X385" s="17"/>
      <c r="Y385" s="17"/>
    </row>
    <row r="386" spans="1:25">
      <c r="A386" s="17" t="s">
        <v>3829</v>
      </c>
      <c r="B386" s="17" t="s">
        <v>3829</v>
      </c>
      <c r="C386" s="17" t="s">
        <v>3830</v>
      </c>
      <c r="D386" s="17" t="s">
        <v>2669</v>
      </c>
      <c r="E386" s="17" t="s">
        <v>3543</v>
      </c>
      <c r="F386" s="17" t="s">
        <v>3829</v>
      </c>
      <c r="G386" s="17" t="s">
        <v>2671</v>
      </c>
      <c r="H386" s="17" t="s">
        <v>4312</v>
      </c>
      <c r="I386" s="17" t="s">
        <v>4237</v>
      </c>
      <c r="J386" s="17" t="s">
        <v>3544</v>
      </c>
      <c r="K386" s="17" t="s">
        <v>2964</v>
      </c>
      <c r="L386" s="17" t="s">
        <v>3545</v>
      </c>
      <c r="M386" s="17" t="s">
        <v>2669</v>
      </c>
      <c r="N386" s="17" t="s">
        <v>3829</v>
      </c>
      <c r="O386" s="17" t="s">
        <v>7635</v>
      </c>
      <c r="P386" s="17" t="s">
        <v>3831</v>
      </c>
      <c r="Q386" s="17"/>
      <c r="R386" s="17"/>
      <c r="S386" s="17"/>
      <c r="T386" s="17"/>
      <c r="U386" s="17"/>
      <c r="V386" s="17"/>
      <c r="W386" s="17"/>
      <c r="X386" s="17"/>
      <c r="Y386" s="17"/>
    </row>
    <row r="387" spans="1:25">
      <c r="A387" s="17" t="s">
        <v>3832</v>
      </c>
      <c r="B387" s="17" t="s">
        <v>3832</v>
      </c>
      <c r="C387" s="17" t="s">
        <v>3830</v>
      </c>
      <c r="D387" s="17" t="s">
        <v>2669</v>
      </c>
      <c r="E387" s="17" t="s">
        <v>3543</v>
      </c>
      <c r="F387" s="17" t="s">
        <v>3832</v>
      </c>
      <c r="G387" s="17" t="s">
        <v>2671</v>
      </c>
      <c r="H387" s="17" t="s">
        <v>6835</v>
      </c>
      <c r="I387" s="17" t="s">
        <v>4237</v>
      </c>
      <c r="J387" s="17" t="s">
        <v>3544</v>
      </c>
      <c r="K387" s="17" t="s">
        <v>2964</v>
      </c>
      <c r="L387" s="17" t="s">
        <v>3545</v>
      </c>
      <c r="M387" s="17" t="s">
        <v>2669</v>
      </c>
      <c r="N387" s="17" t="s">
        <v>3832</v>
      </c>
      <c r="O387" s="17" t="s">
        <v>7635</v>
      </c>
      <c r="P387" s="17" t="s">
        <v>3833</v>
      </c>
      <c r="Q387" s="17"/>
      <c r="R387" s="17"/>
      <c r="S387" s="17"/>
      <c r="T387" s="17"/>
      <c r="U387" s="17"/>
      <c r="V387" s="17"/>
      <c r="W387" s="17"/>
      <c r="X387" s="17"/>
      <c r="Y387" s="17"/>
    </row>
    <row r="388" spans="1:25">
      <c r="A388" s="17" t="s">
        <v>3834</v>
      </c>
      <c r="B388" s="17" t="s">
        <v>3834</v>
      </c>
      <c r="C388" s="17" t="s">
        <v>3835</v>
      </c>
      <c r="D388" s="17" t="s">
        <v>2669</v>
      </c>
      <c r="E388" s="17" t="s">
        <v>3543</v>
      </c>
      <c r="F388" s="17" t="s">
        <v>3834</v>
      </c>
      <c r="G388" s="17" t="s">
        <v>2671</v>
      </c>
      <c r="H388" s="17" t="s">
        <v>4312</v>
      </c>
      <c r="I388" s="17" t="s">
        <v>4237</v>
      </c>
      <c r="J388" s="17" t="s">
        <v>3544</v>
      </c>
      <c r="K388" s="17" t="s">
        <v>3228</v>
      </c>
      <c r="L388" s="17" t="s">
        <v>3545</v>
      </c>
      <c r="M388" s="17" t="s">
        <v>2669</v>
      </c>
      <c r="N388" s="17" t="s">
        <v>3834</v>
      </c>
      <c r="O388" s="17" t="s">
        <v>7635</v>
      </c>
      <c r="P388" s="17" t="s">
        <v>3836</v>
      </c>
      <c r="Q388" s="17"/>
      <c r="R388" s="17"/>
      <c r="S388" s="17"/>
      <c r="T388" s="17"/>
      <c r="U388" s="17"/>
      <c r="V388" s="17"/>
      <c r="W388" s="17"/>
      <c r="X388" s="17"/>
      <c r="Y388" s="17"/>
    </row>
    <row r="389" spans="1:25">
      <c r="A389" s="17" t="s">
        <v>3837</v>
      </c>
      <c r="B389" s="17" t="s">
        <v>3837</v>
      </c>
      <c r="C389" s="17" t="s">
        <v>3835</v>
      </c>
      <c r="D389" s="17" t="s">
        <v>2669</v>
      </c>
      <c r="E389" s="17" t="s">
        <v>3543</v>
      </c>
      <c r="F389" s="17" t="s">
        <v>3837</v>
      </c>
      <c r="G389" s="17" t="s">
        <v>2671</v>
      </c>
      <c r="H389" s="17" t="s">
        <v>6835</v>
      </c>
      <c r="I389" s="17" t="s">
        <v>4237</v>
      </c>
      <c r="J389" s="17" t="s">
        <v>3544</v>
      </c>
      <c r="K389" s="17" t="s">
        <v>3228</v>
      </c>
      <c r="L389" s="17" t="s">
        <v>3545</v>
      </c>
      <c r="M389" s="17" t="s">
        <v>2669</v>
      </c>
      <c r="N389" s="17" t="s">
        <v>3837</v>
      </c>
      <c r="O389" s="17" t="s">
        <v>7635</v>
      </c>
      <c r="P389" s="17" t="s">
        <v>3838</v>
      </c>
      <c r="Q389" s="17"/>
      <c r="R389" s="17"/>
      <c r="S389" s="17"/>
      <c r="T389" s="17"/>
      <c r="U389" s="17"/>
      <c r="V389" s="17"/>
      <c r="W389" s="17"/>
      <c r="X389" s="17"/>
      <c r="Y389" s="17"/>
    </row>
    <row r="390" spans="1:25">
      <c r="A390" s="17" t="s">
        <v>3839</v>
      </c>
      <c r="B390" s="17" t="s">
        <v>3839</v>
      </c>
      <c r="C390" s="17" t="s">
        <v>3840</v>
      </c>
      <c r="D390" s="17" t="s">
        <v>2669</v>
      </c>
      <c r="E390" s="17" t="s">
        <v>3543</v>
      </c>
      <c r="F390" s="17" t="s">
        <v>3839</v>
      </c>
      <c r="G390" s="17" t="s">
        <v>2671</v>
      </c>
      <c r="H390" s="17" t="s">
        <v>4312</v>
      </c>
      <c r="I390" s="17" t="s">
        <v>4237</v>
      </c>
      <c r="J390" s="17" t="s">
        <v>3544</v>
      </c>
      <c r="K390" s="17" t="s">
        <v>3234</v>
      </c>
      <c r="L390" s="17" t="s">
        <v>3545</v>
      </c>
      <c r="M390" s="17" t="s">
        <v>2669</v>
      </c>
      <c r="N390" s="17" t="s">
        <v>3839</v>
      </c>
      <c r="O390" s="17" t="s">
        <v>7635</v>
      </c>
      <c r="P390" s="17" t="s">
        <v>3841</v>
      </c>
      <c r="Q390" s="17"/>
      <c r="R390" s="17"/>
      <c r="S390" s="17"/>
      <c r="T390" s="17"/>
      <c r="U390" s="17"/>
      <c r="V390" s="17"/>
      <c r="W390" s="17"/>
      <c r="X390" s="17"/>
      <c r="Y390" s="17"/>
    </row>
    <row r="391" spans="1:25">
      <c r="A391" s="17" t="s">
        <v>3842</v>
      </c>
      <c r="B391" s="17" t="s">
        <v>3842</v>
      </c>
      <c r="C391" s="17" t="s">
        <v>3840</v>
      </c>
      <c r="D391" s="17" t="s">
        <v>2669</v>
      </c>
      <c r="E391" s="17" t="s">
        <v>3543</v>
      </c>
      <c r="F391" s="17" t="s">
        <v>3842</v>
      </c>
      <c r="G391" s="17" t="s">
        <v>2671</v>
      </c>
      <c r="H391" s="17" t="s">
        <v>6835</v>
      </c>
      <c r="I391" s="17" t="s">
        <v>4237</v>
      </c>
      <c r="J391" s="17" t="s">
        <v>3544</v>
      </c>
      <c r="K391" s="17" t="s">
        <v>3234</v>
      </c>
      <c r="L391" s="17" t="s">
        <v>3545</v>
      </c>
      <c r="M391" s="17" t="s">
        <v>2669</v>
      </c>
      <c r="N391" s="17" t="s">
        <v>3842</v>
      </c>
      <c r="O391" s="17" t="s">
        <v>7635</v>
      </c>
      <c r="P391" s="17" t="s">
        <v>3843</v>
      </c>
      <c r="Q391" s="17"/>
      <c r="R391" s="17"/>
      <c r="S391" s="17"/>
      <c r="T391" s="17"/>
      <c r="U391" s="17"/>
      <c r="V391" s="17"/>
      <c r="W391" s="17"/>
      <c r="X391" s="17"/>
      <c r="Y391" s="17"/>
    </row>
    <row r="392" spans="1:25">
      <c r="A392" s="17" t="s">
        <v>3844</v>
      </c>
      <c r="B392" s="17" t="s">
        <v>3844</v>
      </c>
      <c r="C392" s="17" t="s">
        <v>3845</v>
      </c>
      <c r="D392" s="17" t="s">
        <v>2669</v>
      </c>
      <c r="E392" s="17" t="s">
        <v>3543</v>
      </c>
      <c r="F392" s="17" t="s">
        <v>3844</v>
      </c>
      <c r="G392" s="17" t="s">
        <v>2671</v>
      </c>
      <c r="H392" s="17" t="s">
        <v>4312</v>
      </c>
      <c r="I392" s="17" t="s">
        <v>4237</v>
      </c>
      <c r="J392" s="17" t="s">
        <v>3544</v>
      </c>
      <c r="K392" s="17" t="s">
        <v>3240</v>
      </c>
      <c r="L392" s="17" t="s">
        <v>3545</v>
      </c>
      <c r="M392" s="17" t="s">
        <v>2669</v>
      </c>
      <c r="N392" s="17" t="s">
        <v>3844</v>
      </c>
      <c r="O392" s="17" t="s">
        <v>7635</v>
      </c>
      <c r="P392" s="17" t="s">
        <v>3846</v>
      </c>
      <c r="Q392" s="17"/>
      <c r="R392" s="17"/>
      <c r="S392" s="17"/>
      <c r="T392" s="17"/>
      <c r="U392" s="17"/>
      <c r="V392" s="17"/>
      <c r="W392" s="17"/>
      <c r="X392" s="17"/>
      <c r="Y392" s="17"/>
    </row>
    <row r="393" spans="1:25">
      <c r="A393" s="17" t="s">
        <v>3847</v>
      </c>
      <c r="B393" s="17" t="s">
        <v>3847</v>
      </c>
      <c r="C393" s="17" t="s">
        <v>3845</v>
      </c>
      <c r="D393" s="17" t="s">
        <v>2669</v>
      </c>
      <c r="E393" s="17" t="s">
        <v>3543</v>
      </c>
      <c r="F393" s="17" t="s">
        <v>3847</v>
      </c>
      <c r="G393" s="17" t="s">
        <v>2671</v>
      </c>
      <c r="H393" s="17" t="s">
        <v>6835</v>
      </c>
      <c r="I393" s="17" t="s">
        <v>4237</v>
      </c>
      <c r="J393" s="17" t="s">
        <v>3544</v>
      </c>
      <c r="K393" s="17" t="s">
        <v>3240</v>
      </c>
      <c r="L393" s="17" t="s">
        <v>3545</v>
      </c>
      <c r="M393" s="17" t="s">
        <v>2669</v>
      </c>
      <c r="N393" s="17" t="s">
        <v>3847</v>
      </c>
      <c r="O393" s="17" t="s">
        <v>7635</v>
      </c>
      <c r="P393" s="17" t="s">
        <v>3848</v>
      </c>
      <c r="Q393" s="17"/>
      <c r="R393" s="17"/>
      <c r="S393" s="17"/>
      <c r="T393" s="17"/>
      <c r="U393" s="17"/>
      <c r="V393" s="17"/>
      <c r="W393" s="17"/>
      <c r="X393" s="17"/>
      <c r="Y393" s="17"/>
    </row>
    <row r="394" spans="1:25">
      <c r="A394" s="17" t="s">
        <v>3849</v>
      </c>
      <c r="B394" s="17" t="s">
        <v>3849</v>
      </c>
      <c r="C394" s="17" t="s">
        <v>3850</v>
      </c>
      <c r="D394" s="17" t="s">
        <v>2669</v>
      </c>
      <c r="E394" s="17" t="s">
        <v>3543</v>
      </c>
      <c r="F394" s="17" t="s">
        <v>3849</v>
      </c>
      <c r="G394" s="17" t="s">
        <v>2671</v>
      </c>
      <c r="H394" s="17" t="s">
        <v>4312</v>
      </c>
      <c r="I394" s="17" t="s">
        <v>4237</v>
      </c>
      <c r="J394" s="17" t="s">
        <v>3544</v>
      </c>
      <c r="K394" s="17" t="s">
        <v>3246</v>
      </c>
      <c r="L394" s="17" t="s">
        <v>3545</v>
      </c>
      <c r="M394" s="17" t="s">
        <v>2669</v>
      </c>
      <c r="N394" s="17" t="s">
        <v>3849</v>
      </c>
      <c r="O394" s="17" t="s">
        <v>7635</v>
      </c>
      <c r="P394" s="17" t="s">
        <v>3851</v>
      </c>
      <c r="Q394" s="17"/>
      <c r="R394" s="17"/>
      <c r="S394" s="17"/>
      <c r="T394" s="17"/>
      <c r="U394" s="17"/>
      <c r="V394" s="17"/>
      <c r="W394" s="17"/>
      <c r="X394" s="17"/>
      <c r="Y394" s="17"/>
    </row>
    <row r="395" spans="1:25">
      <c r="A395" s="17" t="s">
        <v>3852</v>
      </c>
      <c r="B395" s="17" t="s">
        <v>3852</v>
      </c>
      <c r="C395" s="17" t="s">
        <v>3850</v>
      </c>
      <c r="D395" s="17" t="s">
        <v>2669</v>
      </c>
      <c r="E395" s="17" t="s">
        <v>3543</v>
      </c>
      <c r="F395" s="17" t="s">
        <v>3852</v>
      </c>
      <c r="G395" s="17" t="s">
        <v>2671</v>
      </c>
      <c r="H395" s="17" t="s">
        <v>6835</v>
      </c>
      <c r="I395" s="17" t="s">
        <v>4237</v>
      </c>
      <c r="J395" s="17" t="s">
        <v>3544</v>
      </c>
      <c r="K395" s="17" t="s">
        <v>3246</v>
      </c>
      <c r="L395" s="17" t="s">
        <v>3545</v>
      </c>
      <c r="M395" s="17" t="s">
        <v>2669</v>
      </c>
      <c r="N395" s="17" t="s">
        <v>3852</v>
      </c>
      <c r="O395" s="17" t="s">
        <v>7635</v>
      </c>
      <c r="P395" s="17" t="s">
        <v>3853</v>
      </c>
      <c r="Q395" s="17"/>
      <c r="R395" s="17"/>
      <c r="S395" s="17"/>
      <c r="T395" s="17"/>
      <c r="U395" s="17"/>
      <c r="V395" s="17"/>
      <c r="W395" s="17"/>
      <c r="X395" s="17"/>
      <c r="Y395" s="17"/>
    </row>
    <row r="396" spans="1:25">
      <c r="A396" s="17" t="s">
        <v>3854</v>
      </c>
      <c r="B396" s="17" t="s">
        <v>3854</v>
      </c>
      <c r="C396" s="17" t="s">
        <v>3855</v>
      </c>
      <c r="D396" s="17" t="s">
        <v>2669</v>
      </c>
      <c r="E396" s="17" t="s">
        <v>3543</v>
      </c>
      <c r="F396" s="17" t="s">
        <v>3854</v>
      </c>
      <c r="G396" s="17" t="s">
        <v>2671</v>
      </c>
      <c r="H396" s="17" t="s">
        <v>4312</v>
      </c>
      <c r="I396" s="17" t="s">
        <v>4237</v>
      </c>
      <c r="J396" s="17" t="s">
        <v>3544</v>
      </c>
      <c r="K396" s="17" t="s">
        <v>3252</v>
      </c>
      <c r="L396" s="17" t="s">
        <v>3545</v>
      </c>
      <c r="M396" s="17" t="s">
        <v>2669</v>
      </c>
      <c r="N396" s="17" t="s">
        <v>3854</v>
      </c>
      <c r="O396" s="17" t="s">
        <v>7635</v>
      </c>
      <c r="P396" s="17" t="s">
        <v>3856</v>
      </c>
      <c r="Q396" s="17"/>
      <c r="R396" s="17"/>
      <c r="S396" s="17"/>
      <c r="T396" s="17"/>
      <c r="U396" s="17"/>
      <c r="V396" s="17"/>
      <c r="W396" s="17"/>
      <c r="X396" s="17"/>
      <c r="Y396" s="17"/>
    </row>
    <row r="397" spans="1:25">
      <c r="A397" s="17" t="s">
        <v>3857</v>
      </c>
      <c r="B397" s="17" t="s">
        <v>3857</v>
      </c>
      <c r="C397" s="17" t="s">
        <v>3855</v>
      </c>
      <c r="D397" s="17" t="s">
        <v>2669</v>
      </c>
      <c r="E397" s="17" t="s">
        <v>3543</v>
      </c>
      <c r="F397" s="17" t="s">
        <v>3857</v>
      </c>
      <c r="G397" s="17" t="s">
        <v>2671</v>
      </c>
      <c r="H397" s="17" t="s">
        <v>6835</v>
      </c>
      <c r="I397" s="17" t="s">
        <v>4237</v>
      </c>
      <c r="J397" s="17" t="s">
        <v>3544</v>
      </c>
      <c r="K397" s="17" t="s">
        <v>3252</v>
      </c>
      <c r="L397" s="17" t="s">
        <v>3545</v>
      </c>
      <c r="M397" s="17" t="s">
        <v>2669</v>
      </c>
      <c r="N397" s="17" t="s">
        <v>3857</v>
      </c>
      <c r="O397" s="17" t="s">
        <v>7635</v>
      </c>
      <c r="P397" s="17" t="s">
        <v>3858</v>
      </c>
      <c r="Q397" s="17"/>
      <c r="R397" s="17"/>
      <c r="S397" s="17"/>
      <c r="T397" s="17"/>
      <c r="U397" s="17"/>
      <c r="V397" s="17"/>
      <c r="W397" s="17"/>
      <c r="X397" s="17"/>
      <c r="Y397" s="17"/>
    </row>
    <row r="398" spans="1:25">
      <c r="A398" s="17" t="s">
        <v>3871</v>
      </c>
      <c r="B398" s="17" t="s">
        <v>3871</v>
      </c>
      <c r="C398" s="17" t="s">
        <v>3872</v>
      </c>
      <c r="D398" s="17" t="s">
        <v>2669</v>
      </c>
      <c r="E398" s="17" t="s">
        <v>3543</v>
      </c>
      <c r="F398" s="17" t="s">
        <v>3871</v>
      </c>
      <c r="G398" s="17" t="s">
        <v>2671</v>
      </c>
      <c r="H398" s="17" t="s">
        <v>4312</v>
      </c>
      <c r="I398" s="17" t="s">
        <v>4237</v>
      </c>
      <c r="J398" s="17" t="s">
        <v>3544</v>
      </c>
      <c r="K398" s="17" t="s">
        <v>2684</v>
      </c>
      <c r="L398" s="17" t="s">
        <v>3873</v>
      </c>
      <c r="M398" s="17" t="s">
        <v>2669</v>
      </c>
      <c r="N398" s="17" t="s">
        <v>3874</v>
      </c>
      <c r="O398" s="17" t="s">
        <v>7635</v>
      </c>
      <c r="P398" s="17" t="s">
        <v>3875</v>
      </c>
      <c r="Q398" s="17"/>
      <c r="R398" s="17"/>
      <c r="S398" s="17"/>
      <c r="T398" s="17"/>
      <c r="U398" s="17"/>
      <c r="V398" s="17"/>
      <c r="W398" s="17"/>
      <c r="X398" s="17"/>
      <c r="Y398" s="17"/>
    </row>
    <row r="399" spans="1:25">
      <c r="A399" s="17" t="s">
        <v>3876</v>
      </c>
      <c r="B399" s="17" t="s">
        <v>3876</v>
      </c>
      <c r="C399" s="17" t="s">
        <v>3872</v>
      </c>
      <c r="D399" s="17" t="s">
        <v>2669</v>
      </c>
      <c r="E399" s="17" t="s">
        <v>3543</v>
      </c>
      <c r="F399" s="17" t="s">
        <v>3876</v>
      </c>
      <c r="G399" s="17" t="s">
        <v>2671</v>
      </c>
      <c r="H399" s="17" t="s">
        <v>6835</v>
      </c>
      <c r="I399" s="17" t="s">
        <v>4237</v>
      </c>
      <c r="J399" s="17" t="s">
        <v>3544</v>
      </c>
      <c r="K399" s="17" t="s">
        <v>2684</v>
      </c>
      <c r="L399" s="17" t="s">
        <v>3873</v>
      </c>
      <c r="M399" s="17" t="s">
        <v>2669</v>
      </c>
      <c r="N399" s="17" t="s">
        <v>3877</v>
      </c>
      <c r="O399" s="17" t="s">
        <v>7635</v>
      </c>
      <c r="P399" s="17" t="s">
        <v>3878</v>
      </c>
      <c r="Q399" s="17"/>
      <c r="R399" s="17"/>
      <c r="S399" s="17"/>
      <c r="T399" s="17"/>
      <c r="U399" s="17"/>
      <c r="V399" s="17"/>
      <c r="W399" s="17"/>
      <c r="X399" s="17"/>
      <c r="Y399" s="17"/>
    </row>
    <row r="400" spans="1:25">
      <c r="A400" s="17" t="s">
        <v>3879</v>
      </c>
      <c r="B400" s="17" t="s">
        <v>3879</v>
      </c>
      <c r="C400" s="17" t="s">
        <v>3880</v>
      </c>
      <c r="D400" s="17" t="s">
        <v>2669</v>
      </c>
      <c r="E400" s="17" t="s">
        <v>3543</v>
      </c>
      <c r="F400" s="17" t="s">
        <v>3879</v>
      </c>
      <c r="G400" s="17" t="s">
        <v>2671</v>
      </c>
      <c r="H400" s="17" t="s">
        <v>4312</v>
      </c>
      <c r="I400" s="17" t="s">
        <v>4237</v>
      </c>
      <c r="J400" s="17" t="s">
        <v>3544</v>
      </c>
      <c r="K400" s="17" t="s">
        <v>2693</v>
      </c>
      <c r="L400" s="17" t="s">
        <v>3873</v>
      </c>
      <c r="M400" s="17" t="s">
        <v>2669</v>
      </c>
      <c r="N400" s="17" t="s">
        <v>3881</v>
      </c>
      <c r="O400" s="17" t="s">
        <v>7635</v>
      </c>
      <c r="P400" s="17" t="s">
        <v>3882</v>
      </c>
      <c r="Q400" s="17"/>
      <c r="R400" s="17"/>
      <c r="S400" s="17"/>
      <c r="T400" s="17"/>
      <c r="U400" s="17"/>
      <c r="V400" s="17"/>
      <c r="W400" s="17"/>
      <c r="X400" s="17"/>
      <c r="Y400" s="17"/>
    </row>
    <row r="401" spans="1:25">
      <c r="A401" s="17" t="s">
        <v>3883</v>
      </c>
      <c r="B401" s="17" t="s">
        <v>3883</v>
      </c>
      <c r="C401" s="17" t="s">
        <v>3880</v>
      </c>
      <c r="D401" s="17" t="s">
        <v>2669</v>
      </c>
      <c r="E401" s="17" t="s">
        <v>3543</v>
      </c>
      <c r="F401" s="17" t="s">
        <v>3883</v>
      </c>
      <c r="G401" s="17" t="s">
        <v>2671</v>
      </c>
      <c r="H401" s="17" t="s">
        <v>6835</v>
      </c>
      <c r="I401" s="17" t="s">
        <v>4237</v>
      </c>
      <c r="J401" s="17" t="s">
        <v>3544</v>
      </c>
      <c r="K401" s="17" t="s">
        <v>2693</v>
      </c>
      <c r="L401" s="17" t="s">
        <v>3873</v>
      </c>
      <c r="M401" s="17" t="s">
        <v>2669</v>
      </c>
      <c r="N401" s="17" t="s">
        <v>3884</v>
      </c>
      <c r="O401" s="17" t="s">
        <v>7635</v>
      </c>
      <c r="P401" s="17" t="s">
        <v>3885</v>
      </c>
      <c r="Q401" s="17"/>
      <c r="R401" s="17"/>
      <c r="S401" s="17"/>
      <c r="T401" s="17"/>
      <c r="U401" s="17"/>
      <c r="V401" s="17"/>
      <c r="W401" s="17"/>
      <c r="X401" s="17"/>
      <c r="Y401" s="17"/>
    </row>
    <row r="402" spans="1:25">
      <c r="A402" s="17" t="s">
        <v>3886</v>
      </c>
      <c r="B402" s="17" t="s">
        <v>3886</v>
      </c>
      <c r="C402" s="17" t="s">
        <v>3887</v>
      </c>
      <c r="D402" s="17" t="s">
        <v>2669</v>
      </c>
      <c r="E402" s="17" t="s">
        <v>3543</v>
      </c>
      <c r="F402" s="17" t="s">
        <v>3886</v>
      </c>
      <c r="G402" s="17" t="s">
        <v>2671</v>
      </c>
      <c r="H402" s="17" t="s">
        <v>4312</v>
      </c>
      <c r="I402" s="17" t="s">
        <v>4237</v>
      </c>
      <c r="J402" s="17" t="s">
        <v>3544</v>
      </c>
      <c r="K402" s="17" t="s">
        <v>2699</v>
      </c>
      <c r="L402" s="17" t="s">
        <v>3873</v>
      </c>
      <c r="M402" s="17" t="s">
        <v>2669</v>
      </c>
      <c r="N402" s="17" t="s">
        <v>3888</v>
      </c>
      <c r="O402" s="17" t="s">
        <v>7635</v>
      </c>
      <c r="P402" s="17" t="s">
        <v>3889</v>
      </c>
      <c r="Q402" s="17"/>
      <c r="R402" s="17"/>
      <c r="S402" s="17"/>
      <c r="T402" s="17"/>
      <c r="U402" s="17"/>
      <c r="V402" s="17"/>
      <c r="W402" s="17"/>
      <c r="X402" s="17"/>
      <c r="Y402" s="17"/>
    </row>
    <row r="403" spans="1:25">
      <c r="A403" s="17" t="s">
        <v>3890</v>
      </c>
      <c r="B403" s="17" t="s">
        <v>3890</v>
      </c>
      <c r="C403" s="17" t="s">
        <v>3887</v>
      </c>
      <c r="D403" s="17" t="s">
        <v>2669</v>
      </c>
      <c r="E403" s="17" t="s">
        <v>3543</v>
      </c>
      <c r="F403" s="17" t="s">
        <v>3890</v>
      </c>
      <c r="G403" s="17" t="s">
        <v>2671</v>
      </c>
      <c r="H403" s="17" t="s">
        <v>6835</v>
      </c>
      <c r="I403" s="17" t="s">
        <v>4237</v>
      </c>
      <c r="J403" s="17" t="s">
        <v>3544</v>
      </c>
      <c r="K403" s="17" t="s">
        <v>2699</v>
      </c>
      <c r="L403" s="17" t="s">
        <v>3873</v>
      </c>
      <c r="M403" s="17" t="s">
        <v>2669</v>
      </c>
      <c r="N403" s="17" t="s">
        <v>3891</v>
      </c>
      <c r="O403" s="17" t="s">
        <v>7635</v>
      </c>
      <c r="P403" s="17" t="s">
        <v>3892</v>
      </c>
      <c r="Q403" s="17"/>
      <c r="R403" s="17"/>
      <c r="S403" s="17"/>
      <c r="T403" s="17"/>
      <c r="U403" s="17"/>
      <c r="V403" s="17"/>
      <c r="W403" s="17"/>
      <c r="X403" s="17"/>
      <c r="Y403" s="17"/>
    </row>
    <row r="404" spans="1:25">
      <c r="A404" s="17" t="s">
        <v>3893</v>
      </c>
      <c r="B404" s="17" t="s">
        <v>3893</v>
      </c>
      <c r="C404" s="17" t="s">
        <v>3894</v>
      </c>
      <c r="D404" s="17" t="s">
        <v>2669</v>
      </c>
      <c r="E404" s="17" t="s">
        <v>3543</v>
      </c>
      <c r="F404" s="17" t="s">
        <v>3893</v>
      </c>
      <c r="G404" s="17" t="s">
        <v>2671</v>
      </c>
      <c r="H404" s="17" t="s">
        <v>4312</v>
      </c>
      <c r="I404" s="17" t="s">
        <v>4237</v>
      </c>
      <c r="J404" s="17" t="s">
        <v>3544</v>
      </c>
      <c r="K404" s="17" t="s">
        <v>2703</v>
      </c>
      <c r="L404" s="17" t="s">
        <v>3873</v>
      </c>
      <c r="M404" s="17" t="s">
        <v>2669</v>
      </c>
      <c r="N404" s="17" t="s">
        <v>3895</v>
      </c>
      <c r="O404" s="17" t="s">
        <v>7635</v>
      </c>
      <c r="P404" s="17" t="s">
        <v>3896</v>
      </c>
      <c r="Q404" s="17"/>
      <c r="R404" s="17"/>
      <c r="S404" s="17"/>
      <c r="T404" s="17"/>
      <c r="U404" s="17"/>
      <c r="V404" s="17"/>
      <c r="W404" s="17"/>
      <c r="X404" s="17"/>
      <c r="Y404" s="17"/>
    </row>
    <row r="405" spans="1:25">
      <c r="A405" s="17" t="s">
        <v>3897</v>
      </c>
      <c r="B405" s="17" t="s">
        <v>3897</v>
      </c>
      <c r="C405" s="17" t="s">
        <v>3894</v>
      </c>
      <c r="D405" s="17" t="s">
        <v>2669</v>
      </c>
      <c r="E405" s="17" t="s">
        <v>3543</v>
      </c>
      <c r="F405" s="17" t="s">
        <v>3897</v>
      </c>
      <c r="G405" s="17" t="s">
        <v>2671</v>
      </c>
      <c r="H405" s="17" t="s">
        <v>6835</v>
      </c>
      <c r="I405" s="17" t="s">
        <v>4237</v>
      </c>
      <c r="J405" s="17" t="s">
        <v>3544</v>
      </c>
      <c r="K405" s="17" t="s">
        <v>2703</v>
      </c>
      <c r="L405" s="17" t="s">
        <v>3873</v>
      </c>
      <c r="M405" s="17" t="s">
        <v>2669</v>
      </c>
      <c r="N405" s="17" t="s">
        <v>3898</v>
      </c>
      <c r="O405" s="17" t="s">
        <v>7635</v>
      </c>
      <c r="P405" s="17" t="s">
        <v>3899</v>
      </c>
      <c r="Q405" s="17"/>
      <c r="R405" s="17"/>
      <c r="S405" s="17"/>
      <c r="T405" s="17"/>
      <c r="U405" s="17"/>
      <c r="V405" s="17"/>
      <c r="W405" s="17"/>
      <c r="X405" s="17"/>
      <c r="Y405" s="17"/>
    </row>
    <row r="406" spans="1:25">
      <c r="A406" s="17" t="s">
        <v>3900</v>
      </c>
      <c r="B406" s="17" t="s">
        <v>3900</v>
      </c>
      <c r="C406" s="17" t="s">
        <v>3901</v>
      </c>
      <c r="D406" s="17" t="s">
        <v>2669</v>
      </c>
      <c r="E406" s="17" t="s">
        <v>3543</v>
      </c>
      <c r="F406" s="17" t="s">
        <v>3900</v>
      </c>
      <c r="G406" s="17" t="s">
        <v>2671</v>
      </c>
      <c r="H406" s="17" t="s">
        <v>4312</v>
      </c>
      <c r="I406" s="17" t="s">
        <v>4237</v>
      </c>
      <c r="J406" s="17" t="s">
        <v>3544</v>
      </c>
      <c r="K406" s="17" t="s">
        <v>2707</v>
      </c>
      <c r="L406" s="17" t="s">
        <v>3873</v>
      </c>
      <c r="M406" s="17" t="s">
        <v>2669</v>
      </c>
      <c r="N406" s="17" t="s">
        <v>3902</v>
      </c>
      <c r="O406" s="17" t="s">
        <v>7635</v>
      </c>
      <c r="P406" s="17" t="s">
        <v>3903</v>
      </c>
      <c r="Q406" s="17"/>
      <c r="R406" s="17"/>
      <c r="S406" s="17"/>
      <c r="T406" s="17"/>
      <c r="U406" s="17"/>
      <c r="V406" s="17"/>
      <c r="W406" s="17"/>
      <c r="X406" s="17"/>
      <c r="Y406" s="17"/>
    </row>
    <row r="407" spans="1:25">
      <c r="A407" s="17" t="s">
        <v>3904</v>
      </c>
      <c r="B407" s="17" t="s">
        <v>3904</v>
      </c>
      <c r="C407" s="17" t="s">
        <v>3901</v>
      </c>
      <c r="D407" s="17" t="s">
        <v>2669</v>
      </c>
      <c r="E407" s="17" t="s">
        <v>3543</v>
      </c>
      <c r="F407" s="17" t="s">
        <v>3904</v>
      </c>
      <c r="G407" s="17" t="s">
        <v>2671</v>
      </c>
      <c r="H407" s="17" t="s">
        <v>6835</v>
      </c>
      <c r="I407" s="17" t="s">
        <v>4237</v>
      </c>
      <c r="J407" s="17" t="s">
        <v>3544</v>
      </c>
      <c r="K407" s="17" t="s">
        <v>2707</v>
      </c>
      <c r="L407" s="17" t="s">
        <v>3873</v>
      </c>
      <c r="M407" s="17" t="s">
        <v>2669</v>
      </c>
      <c r="N407" s="17" t="s">
        <v>3905</v>
      </c>
      <c r="O407" s="17" t="s">
        <v>7635</v>
      </c>
      <c r="P407" s="17" t="s">
        <v>3906</v>
      </c>
      <c r="Q407" s="17"/>
      <c r="R407" s="17"/>
      <c r="S407" s="17"/>
      <c r="T407" s="17"/>
      <c r="U407" s="17"/>
      <c r="V407" s="17"/>
      <c r="W407" s="17"/>
      <c r="X407" s="17"/>
      <c r="Y407" s="17"/>
    </row>
    <row r="408" spans="1:25">
      <c r="A408" s="17" t="s">
        <v>3907</v>
      </c>
      <c r="B408" s="17" t="s">
        <v>3907</v>
      </c>
      <c r="C408" s="17" t="s">
        <v>3908</v>
      </c>
      <c r="D408" s="17" t="s">
        <v>2669</v>
      </c>
      <c r="E408" s="17" t="s">
        <v>3543</v>
      </c>
      <c r="F408" s="17" t="s">
        <v>3907</v>
      </c>
      <c r="G408" s="17" t="s">
        <v>2671</v>
      </c>
      <c r="H408" s="17" t="s">
        <v>4312</v>
      </c>
      <c r="I408" s="17" t="s">
        <v>4237</v>
      </c>
      <c r="J408" s="17" t="s">
        <v>3544</v>
      </c>
      <c r="K408" s="17" t="s">
        <v>2713</v>
      </c>
      <c r="L408" s="17" t="s">
        <v>3873</v>
      </c>
      <c r="M408" s="17" t="s">
        <v>2669</v>
      </c>
      <c r="N408" s="17" t="s">
        <v>3909</v>
      </c>
      <c r="O408" s="17" t="s">
        <v>7635</v>
      </c>
      <c r="P408" s="17" t="s">
        <v>3910</v>
      </c>
      <c r="Q408" s="17"/>
      <c r="R408" s="17"/>
      <c r="S408" s="17"/>
      <c r="T408" s="17"/>
      <c r="U408" s="17"/>
      <c r="V408" s="17"/>
      <c r="W408" s="17"/>
      <c r="X408" s="17"/>
      <c r="Y408" s="17"/>
    </row>
    <row r="409" spans="1:25">
      <c r="A409" s="17" t="s">
        <v>3911</v>
      </c>
      <c r="B409" s="17" t="s">
        <v>3911</v>
      </c>
      <c r="C409" s="17" t="s">
        <v>3908</v>
      </c>
      <c r="D409" s="17" t="s">
        <v>2669</v>
      </c>
      <c r="E409" s="17" t="s">
        <v>3543</v>
      </c>
      <c r="F409" s="17" t="s">
        <v>3911</v>
      </c>
      <c r="G409" s="17" t="s">
        <v>2671</v>
      </c>
      <c r="H409" s="17" t="s">
        <v>6835</v>
      </c>
      <c r="I409" s="17" t="s">
        <v>4237</v>
      </c>
      <c r="J409" s="17" t="s">
        <v>3544</v>
      </c>
      <c r="K409" s="17" t="s">
        <v>2713</v>
      </c>
      <c r="L409" s="17" t="s">
        <v>3873</v>
      </c>
      <c r="M409" s="17" t="s">
        <v>2669</v>
      </c>
      <c r="N409" s="17" t="s">
        <v>3912</v>
      </c>
      <c r="O409" s="17" t="s">
        <v>7635</v>
      </c>
      <c r="P409" s="17" t="s">
        <v>3913</v>
      </c>
      <c r="Q409" s="17"/>
      <c r="R409" s="17"/>
      <c r="S409" s="17"/>
      <c r="T409" s="17"/>
      <c r="U409" s="17"/>
      <c r="V409" s="17"/>
      <c r="W409" s="17"/>
      <c r="X409" s="17"/>
      <c r="Y409" s="17"/>
    </row>
    <row r="410" spans="1:25">
      <c r="A410" s="17" t="s">
        <v>3914</v>
      </c>
      <c r="B410" s="17" t="s">
        <v>3914</v>
      </c>
      <c r="C410" s="17" t="s">
        <v>3915</v>
      </c>
      <c r="D410" s="17" t="s">
        <v>2669</v>
      </c>
      <c r="E410" s="17" t="s">
        <v>3543</v>
      </c>
      <c r="F410" s="17" t="s">
        <v>3914</v>
      </c>
      <c r="G410" s="17" t="s">
        <v>2671</v>
      </c>
      <c r="H410" s="17" t="s">
        <v>4312</v>
      </c>
      <c r="I410" s="17" t="s">
        <v>4237</v>
      </c>
      <c r="J410" s="17" t="s">
        <v>3544</v>
      </c>
      <c r="K410" s="17" t="s">
        <v>2720</v>
      </c>
      <c r="L410" s="17" t="s">
        <v>3873</v>
      </c>
      <c r="M410" s="17" t="s">
        <v>2669</v>
      </c>
      <c r="N410" s="17" t="s">
        <v>3916</v>
      </c>
      <c r="O410" s="17" t="s">
        <v>7635</v>
      </c>
      <c r="P410" s="17" t="s">
        <v>3917</v>
      </c>
      <c r="Q410" s="17"/>
      <c r="R410" s="17"/>
      <c r="S410" s="17"/>
      <c r="T410" s="17"/>
      <c r="U410" s="17"/>
      <c r="V410" s="17"/>
      <c r="W410" s="17"/>
      <c r="X410" s="17"/>
      <c r="Y410" s="17"/>
    </row>
    <row r="411" spans="1:25">
      <c r="A411" s="17" t="s">
        <v>3918</v>
      </c>
      <c r="B411" s="17" t="s">
        <v>3918</v>
      </c>
      <c r="C411" s="17" t="s">
        <v>3915</v>
      </c>
      <c r="D411" s="17" t="s">
        <v>2669</v>
      </c>
      <c r="E411" s="17" t="s">
        <v>3543</v>
      </c>
      <c r="F411" s="17" t="s">
        <v>3918</v>
      </c>
      <c r="G411" s="17" t="s">
        <v>2671</v>
      </c>
      <c r="H411" s="17" t="s">
        <v>6835</v>
      </c>
      <c r="I411" s="17" t="s">
        <v>4237</v>
      </c>
      <c r="J411" s="17" t="s">
        <v>3544</v>
      </c>
      <c r="K411" s="17" t="s">
        <v>2720</v>
      </c>
      <c r="L411" s="17" t="s">
        <v>3873</v>
      </c>
      <c r="M411" s="17" t="s">
        <v>2669</v>
      </c>
      <c r="N411" s="17" t="s">
        <v>3919</v>
      </c>
      <c r="O411" s="17" t="s">
        <v>7635</v>
      </c>
      <c r="P411" s="17" t="s">
        <v>3920</v>
      </c>
      <c r="Q411" s="17"/>
      <c r="R411" s="17"/>
      <c r="S411" s="17"/>
      <c r="T411" s="17"/>
      <c r="U411" s="17"/>
      <c r="V411" s="17"/>
      <c r="W411" s="17"/>
      <c r="X411" s="17"/>
      <c r="Y411" s="17"/>
    </row>
    <row r="412" spans="1:25">
      <c r="A412" s="17" t="s">
        <v>3921</v>
      </c>
      <c r="B412" s="17" t="s">
        <v>3921</v>
      </c>
      <c r="C412" s="17" t="s">
        <v>3922</v>
      </c>
      <c r="D412" s="17" t="s">
        <v>2669</v>
      </c>
      <c r="E412" s="17" t="s">
        <v>3543</v>
      </c>
      <c r="F412" s="17" t="s">
        <v>3921</v>
      </c>
      <c r="G412" s="17" t="s">
        <v>2671</v>
      </c>
      <c r="H412" s="17" t="s">
        <v>4312</v>
      </c>
      <c r="I412" s="17" t="s">
        <v>4237</v>
      </c>
      <c r="J412" s="17" t="s">
        <v>3544</v>
      </c>
      <c r="K412" s="17" t="s">
        <v>2729</v>
      </c>
      <c r="L412" s="17" t="s">
        <v>3873</v>
      </c>
      <c r="M412" s="17" t="s">
        <v>2669</v>
      </c>
      <c r="N412" s="17" t="s">
        <v>3923</v>
      </c>
      <c r="O412" s="17" t="s">
        <v>7635</v>
      </c>
      <c r="P412" s="17" t="s">
        <v>3924</v>
      </c>
      <c r="Q412" s="17"/>
      <c r="R412" s="17"/>
      <c r="S412" s="17"/>
      <c r="T412" s="17"/>
      <c r="U412" s="17"/>
      <c r="V412" s="17"/>
      <c r="W412" s="17"/>
      <c r="X412" s="17"/>
      <c r="Y412" s="17"/>
    </row>
    <row r="413" spans="1:25">
      <c r="A413" s="17" t="s">
        <v>3925</v>
      </c>
      <c r="B413" s="17" t="s">
        <v>3925</v>
      </c>
      <c r="C413" s="17" t="s">
        <v>3922</v>
      </c>
      <c r="D413" s="17" t="s">
        <v>2669</v>
      </c>
      <c r="E413" s="17" t="s">
        <v>3543</v>
      </c>
      <c r="F413" s="17" t="s">
        <v>3925</v>
      </c>
      <c r="G413" s="17" t="s">
        <v>2671</v>
      </c>
      <c r="H413" s="17" t="s">
        <v>6835</v>
      </c>
      <c r="I413" s="17" t="s">
        <v>4237</v>
      </c>
      <c r="J413" s="17" t="s">
        <v>3544</v>
      </c>
      <c r="K413" s="17" t="s">
        <v>2729</v>
      </c>
      <c r="L413" s="17" t="s">
        <v>3873</v>
      </c>
      <c r="M413" s="17" t="s">
        <v>2669</v>
      </c>
      <c r="N413" s="17" t="s">
        <v>3926</v>
      </c>
      <c r="O413" s="17" t="s">
        <v>7635</v>
      </c>
      <c r="P413" s="17" t="s">
        <v>3927</v>
      </c>
      <c r="Q413" s="17"/>
      <c r="R413" s="17"/>
      <c r="S413" s="17"/>
      <c r="T413" s="17"/>
      <c r="U413" s="17"/>
      <c r="V413" s="17"/>
      <c r="W413" s="17"/>
      <c r="X413" s="17"/>
      <c r="Y413" s="17"/>
    </row>
    <row r="414" spans="1:25">
      <c r="A414" s="17" t="s">
        <v>3928</v>
      </c>
      <c r="B414" s="17" t="s">
        <v>3928</v>
      </c>
      <c r="C414" s="17" t="s">
        <v>3929</v>
      </c>
      <c r="D414" s="17" t="s">
        <v>2669</v>
      </c>
      <c r="E414" s="17" t="s">
        <v>3543</v>
      </c>
      <c r="F414" s="17" t="s">
        <v>3928</v>
      </c>
      <c r="G414" s="17" t="s">
        <v>2671</v>
      </c>
      <c r="H414" s="17" t="s">
        <v>4312</v>
      </c>
      <c r="I414" s="17" t="s">
        <v>4237</v>
      </c>
      <c r="J414" s="17" t="s">
        <v>3544</v>
      </c>
      <c r="K414" s="17" t="s">
        <v>2738</v>
      </c>
      <c r="L414" s="17" t="s">
        <v>3873</v>
      </c>
      <c r="M414" s="17" t="s">
        <v>2669</v>
      </c>
      <c r="N414" s="17" t="s">
        <v>3930</v>
      </c>
      <c r="O414" s="17" t="s">
        <v>7635</v>
      </c>
      <c r="P414" s="17" t="s">
        <v>3931</v>
      </c>
      <c r="Q414" s="17"/>
      <c r="R414" s="17"/>
      <c r="S414" s="17"/>
      <c r="T414" s="17"/>
      <c r="U414" s="17"/>
      <c r="V414" s="17"/>
      <c r="W414" s="17"/>
      <c r="X414" s="17"/>
      <c r="Y414" s="17"/>
    </row>
    <row r="415" spans="1:25">
      <c r="A415" s="17" t="s">
        <v>3932</v>
      </c>
      <c r="B415" s="17" t="s">
        <v>3932</v>
      </c>
      <c r="C415" s="17" t="s">
        <v>3929</v>
      </c>
      <c r="D415" s="17" t="s">
        <v>2669</v>
      </c>
      <c r="E415" s="17" t="s">
        <v>3543</v>
      </c>
      <c r="F415" s="17" t="s">
        <v>3932</v>
      </c>
      <c r="G415" s="17" t="s">
        <v>2671</v>
      </c>
      <c r="H415" s="17" t="s">
        <v>6835</v>
      </c>
      <c r="I415" s="17" t="s">
        <v>4237</v>
      </c>
      <c r="J415" s="17" t="s">
        <v>3544</v>
      </c>
      <c r="K415" s="17" t="s">
        <v>2738</v>
      </c>
      <c r="L415" s="17" t="s">
        <v>3873</v>
      </c>
      <c r="M415" s="17" t="s">
        <v>2669</v>
      </c>
      <c r="N415" s="17" t="s">
        <v>3933</v>
      </c>
      <c r="O415" s="17" t="s">
        <v>7635</v>
      </c>
      <c r="P415" s="17" t="s">
        <v>3934</v>
      </c>
      <c r="Q415" s="17"/>
      <c r="R415" s="17"/>
      <c r="S415" s="17"/>
      <c r="T415" s="17"/>
      <c r="U415" s="17"/>
      <c r="V415" s="17"/>
      <c r="W415" s="17"/>
      <c r="X415" s="17"/>
      <c r="Y415" s="17"/>
    </row>
    <row r="416" spans="1:25">
      <c r="A416" s="17" t="s">
        <v>3935</v>
      </c>
      <c r="B416" s="17" t="s">
        <v>3935</v>
      </c>
      <c r="C416" s="17" t="s">
        <v>3936</v>
      </c>
      <c r="D416" s="17" t="s">
        <v>2669</v>
      </c>
      <c r="E416" s="17" t="s">
        <v>3543</v>
      </c>
      <c r="F416" s="17" t="s">
        <v>3935</v>
      </c>
      <c r="G416" s="17" t="s">
        <v>2671</v>
      </c>
      <c r="H416" s="17" t="s">
        <v>4312</v>
      </c>
      <c r="I416" s="17" t="s">
        <v>4237</v>
      </c>
      <c r="J416" s="17" t="s">
        <v>3544</v>
      </c>
      <c r="K416" s="17" t="s">
        <v>2742</v>
      </c>
      <c r="L416" s="17" t="s">
        <v>3873</v>
      </c>
      <c r="M416" s="17" t="s">
        <v>2669</v>
      </c>
      <c r="N416" s="17" t="s">
        <v>3937</v>
      </c>
      <c r="O416" s="17" t="s">
        <v>7635</v>
      </c>
      <c r="P416" s="17" t="s">
        <v>3938</v>
      </c>
      <c r="Q416" s="17" t="s">
        <v>2669</v>
      </c>
      <c r="R416" s="17" t="s">
        <v>3935</v>
      </c>
      <c r="S416" s="17" t="s">
        <v>7635</v>
      </c>
      <c r="T416" s="17" t="s">
        <v>3939</v>
      </c>
      <c r="U416" s="17"/>
      <c r="V416" s="17"/>
      <c r="W416" s="17"/>
      <c r="X416" s="17"/>
      <c r="Y416" s="17"/>
    </row>
    <row r="417" spans="1:25">
      <c r="A417" s="17" t="s">
        <v>3940</v>
      </c>
      <c r="B417" s="17" t="s">
        <v>3940</v>
      </c>
      <c r="C417" s="17" t="s">
        <v>3936</v>
      </c>
      <c r="D417" s="17" t="s">
        <v>2669</v>
      </c>
      <c r="E417" s="17" t="s">
        <v>3543</v>
      </c>
      <c r="F417" s="17" t="s">
        <v>3940</v>
      </c>
      <c r="G417" s="17" t="s">
        <v>2671</v>
      </c>
      <c r="H417" s="17" t="s">
        <v>6835</v>
      </c>
      <c r="I417" s="17" t="s">
        <v>4237</v>
      </c>
      <c r="J417" s="17" t="s">
        <v>3544</v>
      </c>
      <c r="K417" s="17" t="s">
        <v>2742</v>
      </c>
      <c r="L417" s="17" t="s">
        <v>3873</v>
      </c>
      <c r="M417" s="17" t="s">
        <v>2669</v>
      </c>
      <c r="N417" s="17" t="s">
        <v>3941</v>
      </c>
      <c r="O417" s="17" t="s">
        <v>7635</v>
      </c>
      <c r="P417" s="17" t="s">
        <v>3942</v>
      </c>
      <c r="Q417" s="17" t="s">
        <v>2669</v>
      </c>
      <c r="R417" s="17" t="s">
        <v>3940</v>
      </c>
      <c r="S417" s="17" t="s">
        <v>7635</v>
      </c>
      <c r="T417" s="17" t="s">
        <v>3943</v>
      </c>
      <c r="U417" s="17"/>
      <c r="V417" s="17"/>
      <c r="W417" s="17"/>
      <c r="X417" s="17"/>
      <c r="Y417" s="17"/>
    </row>
    <row r="418" spans="1:25">
      <c r="A418" s="17" t="s">
        <v>3944</v>
      </c>
      <c r="B418" s="17" t="s">
        <v>3944</v>
      </c>
      <c r="C418" s="17" t="s">
        <v>3945</v>
      </c>
      <c r="D418" s="17" t="s">
        <v>2669</v>
      </c>
      <c r="E418" s="17" t="s">
        <v>3543</v>
      </c>
      <c r="F418" s="17" t="s">
        <v>3944</v>
      </c>
      <c r="G418" s="17" t="s">
        <v>2671</v>
      </c>
      <c r="H418" s="17" t="s">
        <v>4312</v>
      </c>
      <c r="I418" s="17" t="s">
        <v>4237</v>
      </c>
      <c r="J418" s="17" t="s">
        <v>3544</v>
      </c>
      <c r="K418" s="17" t="s">
        <v>2751</v>
      </c>
      <c r="L418" s="17" t="s">
        <v>3873</v>
      </c>
      <c r="M418" s="17" t="s">
        <v>2669</v>
      </c>
      <c r="N418" s="17" t="s">
        <v>3946</v>
      </c>
      <c r="O418" s="17" t="s">
        <v>7635</v>
      </c>
      <c r="P418" s="17" t="s">
        <v>3947</v>
      </c>
      <c r="Q418" s="17" t="s">
        <v>2669</v>
      </c>
      <c r="R418" s="17" t="s">
        <v>3944</v>
      </c>
      <c r="S418" s="17" t="s">
        <v>7635</v>
      </c>
      <c r="T418" s="17" t="s">
        <v>3948</v>
      </c>
      <c r="U418" s="17"/>
      <c r="V418" s="17"/>
      <c r="W418" s="17"/>
      <c r="X418" s="17"/>
      <c r="Y418" s="17"/>
    </row>
    <row r="419" spans="1:25">
      <c r="A419" s="17" t="s">
        <v>3949</v>
      </c>
      <c r="B419" s="17" t="s">
        <v>3949</v>
      </c>
      <c r="C419" s="17" t="s">
        <v>3945</v>
      </c>
      <c r="D419" s="17" t="s">
        <v>2669</v>
      </c>
      <c r="E419" s="17" t="s">
        <v>3543</v>
      </c>
      <c r="F419" s="17" t="s">
        <v>3949</v>
      </c>
      <c r="G419" s="17" t="s">
        <v>2671</v>
      </c>
      <c r="H419" s="17" t="s">
        <v>6835</v>
      </c>
      <c r="I419" s="17" t="s">
        <v>4237</v>
      </c>
      <c r="J419" s="17" t="s">
        <v>3544</v>
      </c>
      <c r="K419" s="17" t="s">
        <v>2751</v>
      </c>
      <c r="L419" s="17" t="s">
        <v>3873</v>
      </c>
      <c r="M419" s="17" t="s">
        <v>2669</v>
      </c>
      <c r="N419" s="17" t="s">
        <v>3950</v>
      </c>
      <c r="O419" s="17" t="s">
        <v>7635</v>
      </c>
      <c r="P419" s="17" t="s">
        <v>3951</v>
      </c>
      <c r="Q419" s="17" t="s">
        <v>2669</v>
      </c>
      <c r="R419" s="17" t="s">
        <v>3949</v>
      </c>
      <c r="S419" s="17" t="s">
        <v>7635</v>
      </c>
      <c r="T419" s="17" t="s">
        <v>3952</v>
      </c>
      <c r="U419" s="17"/>
      <c r="V419" s="17"/>
      <c r="W419" s="17"/>
      <c r="X419" s="17"/>
      <c r="Y419" s="17"/>
    </row>
    <row r="420" spans="1:25">
      <c r="A420" s="17" t="s">
        <v>3953</v>
      </c>
      <c r="B420" s="17" t="s">
        <v>3953</v>
      </c>
      <c r="C420" s="17" t="s">
        <v>3954</v>
      </c>
      <c r="D420" s="17" t="s">
        <v>2669</v>
      </c>
      <c r="E420" s="17" t="s">
        <v>3543</v>
      </c>
      <c r="F420" s="17" t="s">
        <v>3953</v>
      </c>
      <c r="G420" s="17" t="s">
        <v>2671</v>
      </c>
      <c r="H420" s="17" t="s">
        <v>4312</v>
      </c>
      <c r="I420" s="17" t="s">
        <v>4237</v>
      </c>
      <c r="J420" s="17" t="s">
        <v>3544</v>
      </c>
      <c r="K420" s="17" t="s">
        <v>2760</v>
      </c>
      <c r="L420" s="17" t="s">
        <v>3873</v>
      </c>
      <c r="M420" s="17" t="s">
        <v>2669</v>
      </c>
      <c r="N420" s="17" t="s">
        <v>3955</v>
      </c>
      <c r="O420" s="17" t="s">
        <v>7635</v>
      </c>
      <c r="P420" s="17" t="s">
        <v>3956</v>
      </c>
      <c r="Q420" s="17" t="s">
        <v>2669</v>
      </c>
      <c r="R420" s="17" t="s">
        <v>3953</v>
      </c>
      <c r="S420" s="17" t="s">
        <v>7635</v>
      </c>
      <c r="T420" s="17" t="s">
        <v>3957</v>
      </c>
      <c r="U420" s="17"/>
      <c r="V420" s="17"/>
      <c r="W420" s="17"/>
      <c r="X420" s="17"/>
      <c r="Y420" s="17"/>
    </row>
    <row r="421" spans="1:25">
      <c r="A421" s="17" t="s">
        <v>3958</v>
      </c>
      <c r="B421" s="17" t="s">
        <v>3958</v>
      </c>
      <c r="C421" s="17" t="s">
        <v>3954</v>
      </c>
      <c r="D421" s="17" t="s">
        <v>2669</v>
      </c>
      <c r="E421" s="17" t="s">
        <v>3543</v>
      </c>
      <c r="F421" s="17" t="s">
        <v>3958</v>
      </c>
      <c r="G421" s="17" t="s">
        <v>2671</v>
      </c>
      <c r="H421" s="17" t="s">
        <v>6835</v>
      </c>
      <c r="I421" s="17" t="s">
        <v>4237</v>
      </c>
      <c r="J421" s="17" t="s">
        <v>3544</v>
      </c>
      <c r="K421" s="17" t="s">
        <v>2760</v>
      </c>
      <c r="L421" s="17" t="s">
        <v>3873</v>
      </c>
      <c r="M421" s="17" t="s">
        <v>2669</v>
      </c>
      <c r="N421" s="17" t="s">
        <v>3959</v>
      </c>
      <c r="O421" s="17" t="s">
        <v>7635</v>
      </c>
      <c r="P421" s="17" t="s">
        <v>3960</v>
      </c>
      <c r="Q421" s="17" t="s">
        <v>2669</v>
      </c>
      <c r="R421" s="17" t="s">
        <v>3958</v>
      </c>
      <c r="S421" s="17" t="s">
        <v>7635</v>
      </c>
      <c r="T421" s="17" t="s">
        <v>3961</v>
      </c>
      <c r="U421" s="17"/>
      <c r="V421" s="17"/>
      <c r="W421" s="17"/>
      <c r="X421" s="17"/>
      <c r="Y421" s="17"/>
    </row>
    <row r="422" spans="1:25">
      <c r="A422" s="17" t="s">
        <v>3962</v>
      </c>
      <c r="B422" s="17" t="s">
        <v>3962</v>
      </c>
      <c r="C422" s="17" t="s">
        <v>3963</v>
      </c>
      <c r="D422" s="17" t="s">
        <v>2669</v>
      </c>
      <c r="E422" s="17" t="s">
        <v>3543</v>
      </c>
      <c r="F422" s="17" t="s">
        <v>3962</v>
      </c>
      <c r="G422" s="17" t="s">
        <v>2671</v>
      </c>
      <c r="H422" s="17" t="s">
        <v>4312</v>
      </c>
      <c r="I422" s="17" t="s">
        <v>4237</v>
      </c>
      <c r="J422" s="17" t="s">
        <v>3544</v>
      </c>
      <c r="K422" s="17" t="s">
        <v>2769</v>
      </c>
      <c r="L422" s="17" t="s">
        <v>3873</v>
      </c>
      <c r="M422" s="17" t="s">
        <v>2669</v>
      </c>
      <c r="N422" s="17" t="s">
        <v>3964</v>
      </c>
      <c r="O422" s="17" t="s">
        <v>7635</v>
      </c>
      <c r="P422" s="17" t="s">
        <v>3965</v>
      </c>
      <c r="Q422" s="17" t="s">
        <v>2669</v>
      </c>
      <c r="R422" s="17" t="s">
        <v>3962</v>
      </c>
      <c r="S422" s="17" t="s">
        <v>7635</v>
      </c>
      <c r="T422" s="17" t="s">
        <v>3966</v>
      </c>
      <c r="U422" s="17"/>
      <c r="V422" s="17"/>
      <c r="W422" s="17"/>
      <c r="X422" s="17"/>
      <c r="Y422" s="17"/>
    </row>
    <row r="423" spans="1:25">
      <c r="A423" s="17" t="s">
        <v>3967</v>
      </c>
      <c r="B423" s="17" t="s">
        <v>3967</v>
      </c>
      <c r="C423" s="17" t="s">
        <v>3963</v>
      </c>
      <c r="D423" s="17" t="s">
        <v>2669</v>
      </c>
      <c r="E423" s="17" t="s">
        <v>3543</v>
      </c>
      <c r="F423" s="17" t="s">
        <v>3967</v>
      </c>
      <c r="G423" s="17" t="s">
        <v>2671</v>
      </c>
      <c r="H423" s="17" t="s">
        <v>6835</v>
      </c>
      <c r="I423" s="17" t="s">
        <v>4237</v>
      </c>
      <c r="J423" s="17" t="s">
        <v>3544</v>
      </c>
      <c r="K423" s="17" t="s">
        <v>2769</v>
      </c>
      <c r="L423" s="17" t="s">
        <v>3873</v>
      </c>
      <c r="M423" s="17" t="s">
        <v>2669</v>
      </c>
      <c r="N423" s="17" t="s">
        <v>3968</v>
      </c>
      <c r="O423" s="17" t="s">
        <v>7635</v>
      </c>
      <c r="P423" s="17" t="s">
        <v>3969</v>
      </c>
      <c r="Q423" s="17" t="s">
        <v>2669</v>
      </c>
      <c r="R423" s="17" t="s">
        <v>3967</v>
      </c>
      <c r="S423" s="17" t="s">
        <v>7635</v>
      </c>
      <c r="T423" s="17" t="s">
        <v>3970</v>
      </c>
      <c r="U423" s="17"/>
      <c r="V423" s="17"/>
      <c r="W423" s="17"/>
      <c r="X423" s="17"/>
      <c r="Y423" s="17"/>
    </row>
    <row r="424" spans="1:25">
      <c r="A424" s="17" t="s">
        <v>3971</v>
      </c>
      <c r="B424" s="17" t="s">
        <v>3971</v>
      </c>
      <c r="C424" s="17" t="s">
        <v>3630</v>
      </c>
      <c r="D424" s="17" t="s">
        <v>2669</v>
      </c>
      <c r="E424" s="17" t="s">
        <v>3543</v>
      </c>
      <c r="F424" s="17" t="s">
        <v>3971</v>
      </c>
      <c r="G424" s="17" t="s">
        <v>2671</v>
      </c>
      <c r="H424" s="17" t="s">
        <v>4312</v>
      </c>
      <c r="I424" s="17" t="s">
        <v>4237</v>
      </c>
      <c r="J424" s="17" t="s">
        <v>3544</v>
      </c>
      <c r="K424" s="17" t="s">
        <v>2778</v>
      </c>
      <c r="L424" s="17" t="s">
        <v>3972</v>
      </c>
      <c r="M424" s="17" t="s">
        <v>2669</v>
      </c>
      <c r="N424" s="17" t="s">
        <v>3971</v>
      </c>
      <c r="O424" s="17" t="s">
        <v>7635</v>
      </c>
      <c r="P424" s="17" t="s">
        <v>3973</v>
      </c>
      <c r="Q424" s="17"/>
      <c r="R424" s="17"/>
      <c r="S424" s="17"/>
      <c r="T424" s="17"/>
      <c r="U424" s="17"/>
      <c r="V424" s="17"/>
      <c r="W424" s="17"/>
      <c r="X424" s="17"/>
      <c r="Y424" s="17"/>
    </row>
    <row r="425" spans="1:25">
      <c r="A425" s="17" t="s">
        <v>3974</v>
      </c>
      <c r="B425" s="17" t="s">
        <v>3974</v>
      </c>
      <c r="C425" s="17" t="s">
        <v>3975</v>
      </c>
      <c r="D425" s="17" t="s">
        <v>2669</v>
      </c>
      <c r="E425" s="17" t="s">
        <v>3543</v>
      </c>
      <c r="F425" s="17" t="s">
        <v>3974</v>
      </c>
      <c r="G425" s="17" t="s">
        <v>2671</v>
      </c>
      <c r="H425" s="17" t="s">
        <v>6835</v>
      </c>
      <c r="I425" s="17" t="s">
        <v>4237</v>
      </c>
      <c r="J425" s="17" t="s">
        <v>3544</v>
      </c>
      <c r="K425" s="17" t="s">
        <v>2778</v>
      </c>
      <c r="L425" s="17" t="s">
        <v>3873</v>
      </c>
      <c r="M425" s="17" t="s">
        <v>2669</v>
      </c>
      <c r="N425" s="17" t="s">
        <v>3976</v>
      </c>
      <c r="O425" s="17" t="s">
        <v>7635</v>
      </c>
      <c r="P425" s="17" t="s">
        <v>3977</v>
      </c>
      <c r="Q425" s="17" t="s">
        <v>2669</v>
      </c>
      <c r="R425" s="17" t="s">
        <v>3974</v>
      </c>
      <c r="S425" s="17" t="s">
        <v>7635</v>
      </c>
      <c r="T425" s="17" t="s">
        <v>3978</v>
      </c>
      <c r="U425" s="17"/>
      <c r="V425" s="17"/>
      <c r="W425" s="17"/>
      <c r="X425" s="17"/>
      <c r="Y425" s="17"/>
    </row>
    <row r="426" spans="1:25">
      <c r="A426" s="17" t="s">
        <v>3979</v>
      </c>
      <c r="B426" s="17" t="s">
        <v>3979</v>
      </c>
      <c r="C426" s="17" t="s">
        <v>3980</v>
      </c>
      <c r="D426" s="17" t="s">
        <v>2669</v>
      </c>
      <c r="E426" s="17" t="s">
        <v>3543</v>
      </c>
      <c r="F426" s="17" t="s">
        <v>3979</v>
      </c>
      <c r="G426" s="17" t="s">
        <v>2671</v>
      </c>
      <c r="H426" s="17" t="s">
        <v>4312</v>
      </c>
      <c r="I426" s="17" t="s">
        <v>4237</v>
      </c>
      <c r="J426" s="17" t="s">
        <v>3544</v>
      </c>
      <c r="K426" s="17" t="s">
        <v>2787</v>
      </c>
      <c r="L426" s="17" t="s">
        <v>3873</v>
      </c>
      <c r="M426" s="17" t="s">
        <v>2669</v>
      </c>
      <c r="N426" s="17" t="s">
        <v>3981</v>
      </c>
      <c r="O426" s="17" t="s">
        <v>7635</v>
      </c>
      <c r="P426" s="17" t="s">
        <v>3982</v>
      </c>
      <c r="Q426" s="17" t="s">
        <v>2669</v>
      </c>
      <c r="R426" s="17" t="s">
        <v>3979</v>
      </c>
      <c r="S426" s="17" t="s">
        <v>7635</v>
      </c>
      <c r="T426" s="17" t="s">
        <v>3983</v>
      </c>
      <c r="U426" s="17"/>
      <c r="V426" s="17"/>
      <c r="W426" s="17"/>
      <c r="X426" s="17"/>
      <c r="Y426" s="17"/>
    </row>
    <row r="427" spans="1:25">
      <c r="A427" s="17" t="s">
        <v>3984</v>
      </c>
      <c r="B427" s="17" t="s">
        <v>3984</v>
      </c>
      <c r="C427" s="17" t="s">
        <v>3980</v>
      </c>
      <c r="D427" s="17" t="s">
        <v>2669</v>
      </c>
      <c r="E427" s="17" t="s">
        <v>3543</v>
      </c>
      <c r="F427" s="17" t="s">
        <v>3984</v>
      </c>
      <c r="G427" s="17" t="s">
        <v>2671</v>
      </c>
      <c r="H427" s="17" t="s">
        <v>6835</v>
      </c>
      <c r="I427" s="17" t="s">
        <v>4237</v>
      </c>
      <c r="J427" s="17" t="s">
        <v>3544</v>
      </c>
      <c r="K427" s="17" t="s">
        <v>2787</v>
      </c>
      <c r="L427" s="17" t="s">
        <v>3873</v>
      </c>
      <c r="M427" s="17" t="s">
        <v>2669</v>
      </c>
      <c r="N427" s="17" t="s">
        <v>3985</v>
      </c>
      <c r="O427" s="17" t="s">
        <v>7635</v>
      </c>
      <c r="P427" s="17" t="s">
        <v>3986</v>
      </c>
      <c r="Q427" s="17" t="s">
        <v>2669</v>
      </c>
      <c r="R427" s="17" t="s">
        <v>3984</v>
      </c>
      <c r="S427" s="17" t="s">
        <v>7635</v>
      </c>
      <c r="T427" s="17" t="s">
        <v>3987</v>
      </c>
      <c r="U427" s="17"/>
      <c r="V427" s="17"/>
      <c r="W427" s="17"/>
      <c r="X427" s="17"/>
      <c r="Y427" s="17"/>
    </row>
    <row r="428" spans="1:25">
      <c r="A428" s="17" t="s">
        <v>3988</v>
      </c>
      <c r="B428" s="17" t="s">
        <v>3988</v>
      </c>
      <c r="C428" s="17" t="s">
        <v>3989</v>
      </c>
      <c r="D428" s="17" t="s">
        <v>2669</v>
      </c>
      <c r="E428" s="17" t="s">
        <v>3543</v>
      </c>
      <c r="F428" s="17" t="s">
        <v>3988</v>
      </c>
      <c r="G428" s="17" t="s">
        <v>2671</v>
      </c>
      <c r="H428" s="17" t="s">
        <v>4312</v>
      </c>
      <c r="I428" s="17" t="s">
        <v>4237</v>
      </c>
      <c r="J428" s="17" t="s">
        <v>3544</v>
      </c>
      <c r="K428" s="17" t="s">
        <v>2791</v>
      </c>
      <c r="L428" s="17" t="s">
        <v>3873</v>
      </c>
      <c r="M428" s="17" t="s">
        <v>2669</v>
      </c>
      <c r="N428" s="17" t="s">
        <v>3990</v>
      </c>
      <c r="O428" s="17" t="s">
        <v>7635</v>
      </c>
      <c r="P428" s="17" t="s">
        <v>3991</v>
      </c>
      <c r="Q428" s="17" t="s">
        <v>2669</v>
      </c>
      <c r="R428" s="17" t="s">
        <v>3988</v>
      </c>
      <c r="S428" s="17" t="s">
        <v>7635</v>
      </c>
      <c r="T428" s="17" t="s">
        <v>3992</v>
      </c>
      <c r="U428" s="17"/>
      <c r="V428" s="17"/>
      <c r="W428" s="17"/>
      <c r="X428" s="17"/>
      <c r="Y428" s="17"/>
    </row>
    <row r="429" spans="1:25">
      <c r="A429" s="17" t="s">
        <v>3993</v>
      </c>
      <c r="B429" s="17" t="s">
        <v>3993</v>
      </c>
      <c r="C429" s="17" t="s">
        <v>3989</v>
      </c>
      <c r="D429" s="17" t="s">
        <v>2669</v>
      </c>
      <c r="E429" s="17" t="s">
        <v>3543</v>
      </c>
      <c r="F429" s="17" t="s">
        <v>3993</v>
      </c>
      <c r="G429" s="17" t="s">
        <v>2671</v>
      </c>
      <c r="H429" s="17" t="s">
        <v>6835</v>
      </c>
      <c r="I429" s="17" t="s">
        <v>4237</v>
      </c>
      <c r="J429" s="17" t="s">
        <v>3544</v>
      </c>
      <c r="K429" s="17" t="s">
        <v>2791</v>
      </c>
      <c r="L429" s="17" t="s">
        <v>3873</v>
      </c>
      <c r="M429" s="17" t="s">
        <v>2669</v>
      </c>
      <c r="N429" s="17" t="s">
        <v>3994</v>
      </c>
      <c r="O429" s="17" t="s">
        <v>7635</v>
      </c>
      <c r="P429" s="17" t="s">
        <v>3995</v>
      </c>
      <c r="Q429" s="17" t="s">
        <v>2669</v>
      </c>
      <c r="R429" s="17" t="s">
        <v>3993</v>
      </c>
      <c r="S429" s="17" t="s">
        <v>7635</v>
      </c>
      <c r="T429" s="17" t="s">
        <v>3996</v>
      </c>
      <c r="U429" s="17"/>
      <c r="V429" s="17"/>
      <c r="W429" s="17"/>
      <c r="X429" s="17"/>
      <c r="Y429" s="17"/>
    </row>
    <row r="430" spans="1:25">
      <c r="A430" s="17" t="s">
        <v>3997</v>
      </c>
      <c r="B430" s="17" t="s">
        <v>3997</v>
      </c>
      <c r="C430" s="17" t="s">
        <v>3998</v>
      </c>
      <c r="D430" s="17" t="s">
        <v>2669</v>
      </c>
      <c r="E430" s="17" t="s">
        <v>3543</v>
      </c>
      <c r="F430" s="17" t="s">
        <v>3997</v>
      </c>
      <c r="G430" s="17" t="s">
        <v>2671</v>
      </c>
      <c r="H430" s="17" t="s">
        <v>4312</v>
      </c>
      <c r="I430" s="17" t="s">
        <v>4237</v>
      </c>
      <c r="J430" s="17" t="s">
        <v>3544</v>
      </c>
      <c r="K430" s="17" t="s">
        <v>2800</v>
      </c>
      <c r="L430" s="17" t="s">
        <v>3873</v>
      </c>
      <c r="M430" s="17" t="s">
        <v>2669</v>
      </c>
      <c r="N430" s="17" t="s">
        <v>3999</v>
      </c>
      <c r="O430" s="17" t="s">
        <v>7635</v>
      </c>
      <c r="P430" s="17" t="s">
        <v>4000</v>
      </c>
      <c r="Q430" s="17" t="s">
        <v>2669</v>
      </c>
      <c r="R430" s="17" t="s">
        <v>3997</v>
      </c>
      <c r="S430" s="17" t="s">
        <v>7635</v>
      </c>
      <c r="T430" s="17" t="s">
        <v>4001</v>
      </c>
      <c r="U430" s="17"/>
      <c r="V430" s="17"/>
      <c r="W430" s="17"/>
      <c r="X430" s="17"/>
      <c r="Y430" s="17"/>
    </row>
    <row r="431" spans="1:25">
      <c r="A431" s="17" t="s">
        <v>4002</v>
      </c>
      <c r="B431" s="17" t="s">
        <v>4002</v>
      </c>
      <c r="C431" s="17" t="s">
        <v>3998</v>
      </c>
      <c r="D431" s="17" t="s">
        <v>2669</v>
      </c>
      <c r="E431" s="17" t="s">
        <v>3543</v>
      </c>
      <c r="F431" s="17" t="s">
        <v>4002</v>
      </c>
      <c r="G431" s="17" t="s">
        <v>2671</v>
      </c>
      <c r="H431" s="17" t="s">
        <v>6835</v>
      </c>
      <c r="I431" s="17" t="s">
        <v>4237</v>
      </c>
      <c r="J431" s="17" t="s">
        <v>3544</v>
      </c>
      <c r="K431" s="17" t="s">
        <v>2800</v>
      </c>
      <c r="L431" s="17" t="s">
        <v>3873</v>
      </c>
      <c r="M431" s="17" t="s">
        <v>2669</v>
      </c>
      <c r="N431" s="17" t="s">
        <v>4003</v>
      </c>
      <c r="O431" s="17" t="s">
        <v>7635</v>
      </c>
      <c r="P431" s="17" t="s">
        <v>4004</v>
      </c>
      <c r="Q431" s="17" t="s">
        <v>2669</v>
      </c>
      <c r="R431" s="17" t="s">
        <v>4002</v>
      </c>
      <c r="S431" s="17" t="s">
        <v>7635</v>
      </c>
      <c r="T431" s="17" t="s">
        <v>4005</v>
      </c>
      <c r="U431" s="17"/>
      <c r="V431" s="17"/>
      <c r="W431" s="17"/>
      <c r="X431" s="17"/>
      <c r="Y431" s="17"/>
    </row>
    <row r="432" spans="1:25">
      <c r="A432" s="17" t="s">
        <v>4006</v>
      </c>
      <c r="B432" s="17" t="s">
        <v>4006</v>
      </c>
      <c r="C432" s="17" t="s">
        <v>4007</v>
      </c>
      <c r="D432" s="17" t="s">
        <v>2669</v>
      </c>
      <c r="E432" s="17" t="s">
        <v>3543</v>
      </c>
      <c r="F432" s="17" t="s">
        <v>4006</v>
      </c>
      <c r="G432" s="17" t="s">
        <v>2671</v>
      </c>
      <c r="H432" s="17" t="s">
        <v>4312</v>
      </c>
      <c r="I432" s="17" t="s">
        <v>4237</v>
      </c>
      <c r="J432" s="17" t="s">
        <v>3544</v>
      </c>
      <c r="K432" s="17" t="s">
        <v>2809</v>
      </c>
      <c r="L432" s="17" t="s">
        <v>3873</v>
      </c>
      <c r="M432" s="17" t="s">
        <v>2669</v>
      </c>
      <c r="N432" s="17" t="s">
        <v>4008</v>
      </c>
      <c r="O432" s="17" t="s">
        <v>7635</v>
      </c>
      <c r="P432" s="17" t="s">
        <v>4009</v>
      </c>
      <c r="Q432" s="17" t="s">
        <v>2669</v>
      </c>
      <c r="R432" s="17" t="s">
        <v>4006</v>
      </c>
      <c r="S432" s="17" t="s">
        <v>7635</v>
      </c>
      <c r="T432" s="17" t="s">
        <v>4010</v>
      </c>
      <c r="U432" s="17"/>
      <c r="V432" s="17"/>
      <c r="W432" s="17"/>
      <c r="X432" s="17"/>
      <c r="Y432" s="17"/>
    </row>
    <row r="433" spans="1:25">
      <c r="A433" s="17" t="s">
        <v>4011</v>
      </c>
      <c r="B433" s="17" t="s">
        <v>4011</v>
      </c>
      <c r="C433" s="17" t="s">
        <v>4007</v>
      </c>
      <c r="D433" s="17" t="s">
        <v>2669</v>
      </c>
      <c r="E433" s="17" t="s">
        <v>3543</v>
      </c>
      <c r="F433" s="17" t="s">
        <v>4011</v>
      </c>
      <c r="G433" s="17" t="s">
        <v>2671</v>
      </c>
      <c r="H433" s="17" t="s">
        <v>6835</v>
      </c>
      <c r="I433" s="17" t="s">
        <v>4237</v>
      </c>
      <c r="J433" s="17" t="s">
        <v>3544</v>
      </c>
      <c r="K433" s="17" t="s">
        <v>2809</v>
      </c>
      <c r="L433" s="17" t="s">
        <v>3873</v>
      </c>
      <c r="M433" s="17" t="s">
        <v>2669</v>
      </c>
      <c r="N433" s="17" t="s">
        <v>4012</v>
      </c>
      <c r="O433" s="17" t="s">
        <v>7635</v>
      </c>
      <c r="P433" s="17" t="s">
        <v>4013</v>
      </c>
      <c r="Q433" s="17" t="s">
        <v>2669</v>
      </c>
      <c r="R433" s="17" t="s">
        <v>4011</v>
      </c>
      <c r="S433" s="17" t="s">
        <v>7635</v>
      </c>
      <c r="T433" s="17" t="s">
        <v>4014</v>
      </c>
      <c r="U433" s="17"/>
      <c r="V433" s="17"/>
      <c r="W433" s="17"/>
      <c r="X433" s="17"/>
      <c r="Y433" s="17"/>
    </row>
    <row r="434" spans="1:25">
      <c r="A434" s="17" t="s">
        <v>4015</v>
      </c>
      <c r="B434" s="17" t="s">
        <v>4015</v>
      </c>
      <c r="C434" s="17" t="s">
        <v>4016</v>
      </c>
      <c r="D434" s="17" t="s">
        <v>2669</v>
      </c>
      <c r="E434" s="17" t="s">
        <v>3543</v>
      </c>
      <c r="F434" s="17" t="s">
        <v>4015</v>
      </c>
      <c r="G434" s="17" t="s">
        <v>2671</v>
      </c>
      <c r="H434" s="17" t="s">
        <v>4312</v>
      </c>
      <c r="I434" s="17" t="s">
        <v>4237</v>
      </c>
      <c r="J434" s="17" t="s">
        <v>3544</v>
      </c>
      <c r="K434" s="17" t="s">
        <v>2818</v>
      </c>
      <c r="L434" s="17" t="s">
        <v>3873</v>
      </c>
      <c r="M434" s="17" t="s">
        <v>2669</v>
      </c>
      <c r="N434" s="17" t="s">
        <v>4017</v>
      </c>
      <c r="O434" s="17" t="s">
        <v>7635</v>
      </c>
      <c r="P434" s="17" t="s">
        <v>4018</v>
      </c>
      <c r="Q434" s="17" t="s">
        <v>2669</v>
      </c>
      <c r="R434" s="17" t="s">
        <v>4015</v>
      </c>
      <c r="S434" s="17" t="s">
        <v>7635</v>
      </c>
      <c r="T434" s="17" t="s">
        <v>4019</v>
      </c>
      <c r="U434" s="17"/>
      <c r="V434" s="17"/>
      <c r="W434" s="17"/>
      <c r="X434" s="17"/>
      <c r="Y434" s="17"/>
    </row>
    <row r="435" spans="1:25">
      <c r="A435" s="17" t="s">
        <v>4020</v>
      </c>
      <c r="B435" s="17" t="s">
        <v>4020</v>
      </c>
      <c r="C435" s="17" t="s">
        <v>4016</v>
      </c>
      <c r="D435" s="17" t="s">
        <v>2669</v>
      </c>
      <c r="E435" s="17" t="s">
        <v>3543</v>
      </c>
      <c r="F435" s="17" t="s">
        <v>4020</v>
      </c>
      <c r="G435" s="17" t="s">
        <v>2671</v>
      </c>
      <c r="H435" s="17" t="s">
        <v>6835</v>
      </c>
      <c r="I435" s="17" t="s">
        <v>4237</v>
      </c>
      <c r="J435" s="17" t="s">
        <v>3544</v>
      </c>
      <c r="K435" s="17" t="s">
        <v>2818</v>
      </c>
      <c r="L435" s="17" t="s">
        <v>3873</v>
      </c>
      <c r="M435" s="17" t="s">
        <v>2669</v>
      </c>
      <c r="N435" s="17" t="s">
        <v>4021</v>
      </c>
      <c r="O435" s="17" t="s">
        <v>7635</v>
      </c>
      <c r="P435" s="17" t="s">
        <v>4022</v>
      </c>
      <c r="Q435" s="17" t="s">
        <v>2669</v>
      </c>
      <c r="R435" s="17" t="s">
        <v>4020</v>
      </c>
      <c r="S435" s="17" t="s">
        <v>7635</v>
      </c>
      <c r="T435" s="17" t="s">
        <v>4023</v>
      </c>
      <c r="U435" s="17"/>
      <c r="V435" s="17"/>
      <c r="W435" s="17"/>
      <c r="X435" s="17"/>
      <c r="Y435" s="17"/>
    </row>
    <row r="436" spans="1:25">
      <c r="A436" s="17" t="s">
        <v>4024</v>
      </c>
      <c r="B436" s="17" t="s">
        <v>4024</v>
      </c>
      <c r="C436" s="17" t="s">
        <v>4025</v>
      </c>
      <c r="D436" s="17" t="s">
        <v>2669</v>
      </c>
      <c r="E436" s="17" t="s">
        <v>3543</v>
      </c>
      <c r="F436" s="17" t="s">
        <v>4024</v>
      </c>
      <c r="G436" s="17" t="s">
        <v>2671</v>
      </c>
      <c r="H436" s="17" t="s">
        <v>4312</v>
      </c>
      <c r="I436" s="17" t="s">
        <v>4237</v>
      </c>
      <c r="J436" s="17" t="s">
        <v>3544</v>
      </c>
      <c r="K436" s="17" t="s">
        <v>2827</v>
      </c>
      <c r="L436" s="17" t="s">
        <v>3873</v>
      </c>
      <c r="M436" s="17" t="s">
        <v>2669</v>
      </c>
      <c r="N436" s="17" t="s">
        <v>4026</v>
      </c>
      <c r="O436" s="17" t="s">
        <v>7635</v>
      </c>
      <c r="P436" s="17" t="s">
        <v>4027</v>
      </c>
      <c r="Q436" s="17" t="s">
        <v>2669</v>
      </c>
      <c r="R436" s="17" t="s">
        <v>4024</v>
      </c>
      <c r="S436" s="17" t="s">
        <v>7635</v>
      </c>
      <c r="T436" s="17" t="s">
        <v>4028</v>
      </c>
      <c r="U436" s="17"/>
      <c r="V436" s="17"/>
      <c r="W436" s="17"/>
      <c r="X436" s="17"/>
      <c r="Y436" s="17"/>
    </row>
    <row r="437" spans="1:25">
      <c r="A437" s="17" t="s">
        <v>4029</v>
      </c>
      <c r="B437" s="17" t="s">
        <v>4029</v>
      </c>
      <c r="C437" s="17" t="s">
        <v>4025</v>
      </c>
      <c r="D437" s="17" t="s">
        <v>2669</v>
      </c>
      <c r="E437" s="17" t="s">
        <v>3543</v>
      </c>
      <c r="F437" s="17" t="s">
        <v>4029</v>
      </c>
      <c r="G437" s="17" t="s">
        <v>2671</v>
      </c>
      <c r="H437" s="17" t="s">
        <v>6835</v>
      </c>
      <c r="I437" s="17" t="s">
        <v>4237</v>
      </c>
      <c r="J437" s="17" t="s">
        <v>3544</v>
      </c>
      <c r="K437" s="17" t="s">
        <v>2827</v>
      </c>
      <c r="L437" s="17" t="s">
        <v>3873</v>
      </c>
      <c r="M437" s="17" t="s">
        <v>2669</v>
      </c>
      <c r="N437" s="17" t="s">
        <v>4030</v>
      </c>
      <c r="O437" s="17" t="s">
        <v>7635</v>
      </c>
      <c r="P437" s="17" t="s">
        <v>4031</v>
      </c>
      <c r="Q437" s="17" t="s">
        <v>2669</v>
      </c>
      <c r="R437" s="17" t="s">
        <v>4029</v>
      </c>
      <c r="S437" s="17" t="s">
        <v>7635</v>
      </c>
      <c r="T437" s="17" t="s">
        <v>4032</v>
      </c>
      <c r="U437" s="17"/>
      <c r="V437" s="17"/>
      <c r="W437" s="17"/>
      <c r="X437" s="17"/>
      <c r="Y437" s="17"/>
    </row>
    <row r="438" spans="1:25">
      <c r="A438" s="17" t="s">
        <v>4033</v>
      </c>
      <c r="B438" s="17" t="s">
        <v>4033</v>
      </c>
      <c r="C438" s="17" t="s">
        <v>4034</v>
      </c>
      <c r="D438" s="17" t="s">
        <v>2669</v>
      </c>
      <c r="E438" s="17" t="s">
        <v>3543</v>
      </c>
      <c r="F438" s="17" t="s">
        <v>4033</v>
      </c>
      <c r="G438" s="17" t="s">
        <v>2671</v>
      </c>
      <c r="H438" s="17" t="s">
        <v>4312</v>
      </c>
      <c r="I438" s="17" t="s">
        <v>4237</v>
      </c>
      <c r="J438" s="17" t="s">
        <v>3544</v>
      </c>
      <c r="K438" s="17" t="s">
        <v>2836</v>
      </c>
      <c r="L438" s="17" t="s">
        <v>3873</v>
      </c>
      <c r="M438" s="17" t="s">
        <v>2669</v>
      </c>
      <c r="N438" s="17" t="s">
        <v>4035</v>
      </c>
      <c r="O438" s="17" t="s">
        <v>7635</v>
      </c>
      <c r="P438" s="17" t="s">
        <v>4036</v>
      </c>
      <c r="Q438" s="17" t="s">
        <v>2669</v>
      </c>
      <c r="R438" s="17" t="s">
        <v>4033</v>
      </c>
      <c r="S438" s="17" t="s">
        <v>7635</v>
      </c>
      <c r="T438" s="17" t="s">
        <v>4037</v>
      </c>
      <c r="U438" s="17"/>
      <c r="V438" s="17"/>
      <c r="W438" s="17"/>
      <c r="X438" s="17"/>
      <c r="Y438" s="17"/>
    </row>
    <row r="439" spans="1:25">
      <c r="A439" s="17" t="s">
        <v>4038</v>
      </c>
      <c r="B439" s="17" t="s">
        <v>4038</v>
      </c>
      <c r="C439" s="17" t="s">
        <v>4034</v>
      </c>
      <c r="D439" s="17" t="s">
        <v>2669</v>
      </c>
      <c r="E439" s="17" t="s">
        <v>3543</v>
      </c>
      <c r="F439" s="17" t="s">
        <v>4038</v>
      </c>
      <c r="G439" s="17" t="s">
        <v>2671</v>
      </c>
      <c r="H439" s="17" t="s">
        <v>6835</v>
      </c>
      <c r="I439" s="17" t="s">
        <v>4237</v>
      </c>
      <c r="J439" s="17" t="s">
        <v>3544</v>
      </c>
      <c r="K439" s="17" t="s">
        <v>2836</v>
      </c>
      <c r="L439" s="17" t="s">
        <v>3873</v>
      </c>
      <c r="M439" s="17" t="s">
        <v>2669</v>
      </c>
      <c r="N439" s="17" t="s">
        <v>4039</v>
      </c>
      <c r="O439" s="17" t="s">
        <v>7635</v>
      </c>
      <c r="P439" s="17" t="s">
        <v>4040</v>
      </c>
      <c r="Q439" s="17" t="s">
        <v>2669</v>
      </c>
      <c r="R439" s="17" t="s">
        <v>4038</v>
      </c>
      <c r="S439" s="17" t="s">
        <v>7635</v>
      </c>
      <c r="T439" s="17" t="s">
        <v>4041</v>
      </c>
      <c r="U439" s="17"/>
      <c r="V439" s="17"/>
      <c r="W439" s="17"/>
      <c r="X439" s="17"/>
      <c r="Y439" s="17"/>
    </row>
    <row r="440" spans="1:25">
      <c r="A440" s="17" t="s">
        <v>4042</v>
      </c>
      <c r="B440" s="17" t="s">
        <v>4042</v>
      </c>
      <c r="C440" s="17" t="s">
        <v>4043</v>
      </c>
      <c r="D440" s="17" t="s">
        <v>2669</v>
      </c>
      <c r="E440" s="17" t="s">
        <v>3543</v>
      </c>
      <c r="F440" s="17" t="s">
        <v>4042</v>
      </c>
      <c r="G440" s="17" t="s">
        <v>2671</v>
      </c>
      <c r="H440" s="17" t="s">
        <v>4312</v>
      </c>
      <c r="I440" s="17" t="s">
        <v>4237</v>
      </c>
      <c r="J440" s="17" t="s">
        <v>3544</v>
      </c>
      <c r="K440" s="17" t="s">
        <v>2845</v>
      </c>
      <c r="L440" s="17" t="s">
        <v>3873</v>
      </c>
      <c r="M440" s="17" t="s">
        <v>2669</v>
      </c>
      <c r="N440" s="17" t="s">
        <v>4044</v>
      </c>
      <c r="O440" s="17" t="s">
        <v>7635</v>
      </c>
      <c r="P440" s="17" t="s">
        <v>4045</v>
      </c>
      <c r="Q440" s="17" t="s">
        <v>2669</v>
      </c>
      <c r="R440" s="17" t="s">
        <v>4042</v>
      </c>
      <c r="S440" s="17" t="s">
        <v>7635</v>
      </c>
      <c r="T440" s="17" t="s">
        <v>4046</v>
      </c>
      <c r="U440" s="17"/>
      <c r="V440" s="17"/>
      <c r="W440" s="17"/>
      <c r="X440" s="17"/>
      <c r="Y440" s="17"/>
    </row>
    <row r="441" spans="1:25">
      <c r="A441" s="17" t="s">
        <v>4047</v>
      </c>
      <c r="B441" s="17" t="s">
        <v>4047</v>
      </c>
      <c r="C441" s="17" t="s">
        <v>3680</v>
      </c>
      <c r="D441" s="17" t="s">
        <v>2669</v>
      </c>
      <c r="E441" s="17" t="s">
        <v>3543</v>
      </c>
      <c r="F441" s="17" t="s">
        <v>4047</v>
      </c>
      <c r="G441" s="17" t="s">
        <v>2671</v>
      </c>
      <c r="H441" s="17" t="s">
        <v>6835</v>
      </c>
      <c r="I441" s="17" t="s">
        <v>4237</v>
      </c>
      <c r="J441" s="17" t="s">
        <v>3544</v>
      </c>
      <c r="K441" s="17" t="s">
        <v>2845</v>
      </c>
      <c r="L441" s="17" t="s">
        <v>3873</v>
      </c>
      <c r="M441" s="17" t="s">
        <v>2669</v>
      </c>
      <c r="N441" s="17" t="s">
        <v>4048</v>
      </c>
      <c r="O441" s="17" t="s">
        <v>7635</v>
      </c>
      <c r="P441" s="17" t="s">
        <v>4049</v>
      </c>
      <c r="Q441" s="17" t="s">
        <v>2669</v>
      </c>
      <c r="R441" s="17" t="s">
        <v>4047</v>
      </c>
      <c r="S441" s="17" t="s">
        <v>7635</v>
      </c>
      <c r="T441" s="17" t="s">
        <v>4050</v>
      </c>
      <c r="U441" s="17"/>
      <c r="V441" s="17"/>
      <c r="W441" s="17"/>
      <c r="X441" s="17"/>
      <c r="Y441" s="17"/>
    </row>
    <row r="442" spans="1:25">
      <c r="A442" s="17" t="s">
        <v>4051</v>
      </c>
      <c r="B442" s="17" t="s">
        <v>4051</v>
      </c>
      <c r="C442" s="17" t="s">
        <v>3689</v>
      </c>
      <c r="D442" s="17" t="s">
        <v>2669</v>
      </c>
      <c r="E442" s="17" t="s">
        <v>3543</v>
      </c>
      <c r="F442" s="17" t="s">
        <v>4051</v>
      </c>
      <c r="G442" s="17" t="s">
        <v>2671</v>
      </c>
      <c r="H442" s="17" t="s">
        <v>4312</v>
      </c>
      <c r="I442" s="17" t="s">
        <v>4237</v>
      </c>
      <c r="J442" s="17" t="s">
        <v>3544</v>
      </c>
      <c r="K442" s="17" t="s">
        <v>2854</v>
      </c>
      <c r="L442" s="17" t="s">
        <v>3873</v>
      </c>
      <c r="M442" s="17" t="s">
        <v>2669</v>
      </c>
      <c r="N442" s="17" t="s">
        <v>4052</v>
      </c>
      <c r="O442" s="17" t="s">
        <v>7635</v>
      </c>
      <c r="P442" s="17" t="s">
        <v>4053</v>
      </c>
      <c r="Q442" s="17" t="s">
        <v>2669</v>
      </c>
      <c r="R442" s="17" t="s">
        <v>4051</v>
      </c>
      <c r="S442" s="17" t="s">
        <v>7635</v>
      </c>
      <c r="T442" s="17" t="s">
        <v>4054</v>
      </c>
      <c r="U442" s="17"/>
      <c r="V442" s="17"/>
      <c r="W442" s="17"/>
      <c r="X442" s="17"/>
      <c r="Y442" s="17"/>
    </row>
    <row r="443" spans="1:25">
      <c r="A443" s="17" t="s">
        <v>4055</v>
      </c>
      <c r="B443" s="17" t="s">
        <v>4055</v>
      </c>
      <c r="C443" s="17" t="s">
        <v>3689</v>
      </c>
      <c r="D443" s="17" t="s">
        <v>2669</v>
      </c>
      <c r="E443" s="17" t="s">
        <v>3543</v>
      </c>
      <c r="F443" s="17" t="s">
        <v>4055</v>
      </c>
      <c r="G443" s="17" t="s">
        <v>2671</v>
      </c>
      <c r="H443" s="17" t="s">
        <v>6835</v>
      </c>
      <c r="I443" s="17" t="s">
        <v>4237</v>
      </c>
      <c r="J443" s="17" t="s">
        <v>3544</v>
      </c>
      <c r="K443" s="17" t="s">
        <v>2854</v>
      </c>
      <c r="L443" s="17" t="s">
        <v>3873</v>
      </c>
      <c r="M443" s="17" t="s">
        <v>2669</v>
      </c>
      <c r="N443" s="17" t="s">
        <v>4056</v>
      </c>
      <c r="O443" s="17" t="s">
        <v>7635</v>
      </c>
      <c r="P443" s="17" t="s">
        <v>4057</v>
      </c>
      <c r="Q443" s="17" t="s">
        <v>2669</v>
      </c>
      <c r="R443" s="17" t="s">
        <v>4055</v>
      </c>
      <c r="S443" s="17" t="s">
        <v>7635</v>
      </c>
      <c r="T443" s="17" t="s">
        <v>4058</v>
      </c>
      <c r="U443" s="17"/>
      <c r="V443" s="17"/>
      <c r="W443" s="17"/>
      <c r="X443" s="17"/>
      <c r="Y443" s="17"/>
    </row>
    <row r="444" spans="1:25">
      <c r="A444" s="17" t="s">
        <v>4059</v>
      </c>
      <c r="B444" s="17" t="s">
        <v>4059</v>
      </c>
      <c r="C444" s="17" t="s">
        <v>3696</v>
      </c>
      <c r="D444" s="17" t="s">
        <v>2669</v>
      </c>
      <c r="E444" s="17" t="s">
        <v>3543</v>
      </c>
      <c r="F444" s="17" t="s">
        <v>4059</v>
      </c>
      <c r="G444" s="17" t="s">
        <v>2671</v>
      </c>
      <c r="H444" s="17" t="s">
        <v>4312</v>
      </c>
      <c r="I444" s="17" t="s">
        <v>4237</v>
      </c>
      <c r="J444" s="17" t="s">
        <v>3544</v>
      </c>
      <c r="K444" s="17" t="s">
        <v>2864</v>
      </c>
      <c r="L444" s="17" t="s">
        <v>3873</v>
      </c>
      <c r="M444" s="17" t="s">
        <v>2669</v>
      </c>
      <c r="N444" s="17" t="s">
        <v>4060</v>
      </c>
      <c r="O444" s="17" t="s">
        <v>7635</v>
      </c>
      <c r="P444" s="17" t="s">
        <v>4061</v>
      </c>
      <c r="Q444" s="17" t="s">
        <v>2669</v>
      </c>
      <c r="R444" s="17" t="s">
        <v>4059</v>
      </c>
      <c r="S444" s="17" t="s">
        <v>7635</v>
      </c>
      <c r="T444" s="17" t="s">
        <v>4062</v>
      </c>
      <c r="U444" s="17"/>
      <c r="V444" s="17"/>
      <c r="W444" s="17"/>
      <c r="X444" s="17"/>
      <c r="Y444" s="17"/>
    </row>
    <row r="445" spans="1:25">
      <c r="A445" s="17" t="s">
        <v>4063</v>
      </c>
      <c r="B445" s="17" t="s">
        <v>4063</v>
      </c>
      <c r="C445" s="17" t="s">
        <v>3696</v>
      </c>
      <c r="D445" s="17" t="s">
        <v>2669</v>
      </c>
      <c r="E445" s="17" t="s">
        <v>3543</v>
      </c>
      <c r="F445" s="17" t="s">
        <v>4063</v>
      </c>
      <c r="G445" s="17" t="s">
        <v>2671</v>
      </c>
      <c r="H445" s="17" t="s">
        <v>6835</v>
      </c>
      <c r="I445" s="17" t="s">
        <v>4237</v>
      </c>
      <c r="J445" s="17" t="s">
        <v>3544</v>
      </c>
      <c r="K445" s="17" t="s">
        <v>2864</v>
      </c>
      <c r="L445" s="17" t="s">
        <v>3873</v>
      </c>
      <c r="M445" s="17" t="s">
        <v>2669</v>
      </c>
      <c r="N445" s="17" t="s">
        <v>4064</v>
      </c>
      <c r="O445" s="17" t="s">
        <v>7635</v>
      </c>
      <c r="P445" s="17" t="s">
        <v>4065</v>
      </c>
      <c r="Q445" s="17" t="s">
        <v>2669</v>
      </c>
      <c r="R445" s="17" t="s">
        <v>4063</v>
      </c>
      <c r="S445" s="17" t="s">
        <v>7635</v>
      </c>
      <c r="T445" s="17" t="s">
        <v>4066</v>
      </c>
      <c r="U445" s="17"/>
      <c r="V445" s="17"/>
      <c r="W445" s="17"/>
      <c r="X445" s="17"/>
      <c r="Y445" s="17"/>
    </row>
    <row r="446" spans="1:25">
      <c r="A446" s="17" t="s">
        <v>4067</v>
      </c>
      <c r="B446" s="17" t="s">
        <v>4067</v>
      </c>
      <c r="C446" s="17" t="s">
        <v>3705</v>
      </c>
      <c r="D446" s="17" t="s">
        <v>2669</v>
      </c>
      <c r="E446" s="17" t="s">
        <v>3543</v>
      </c>
      <c r="F446" s="17" t="s">
        <v>4067</v>
      </c>
      <c r="G446" s="17" t="s">
        <v>2671</v>
      </c>
      <c r="H446" s="17" t="s">
        <v>4312</v>
      </c>
      <c r="I446" s="17" t="s">
        <v>4237</v>
      </c>
      <c r="J446" s="17" t="s">
        <v>3544</v>
      </c>
      <c r="K446" s="17" t="s">
        <v>2873</v>
      </c>
      <c r="L446" s="17" t="s">
        <v>3873</v>
      </c>
      <c r="M446" s="17" t="s">
        <v>2669</v>
      </c>
      <c r="N446" s="17" t="s">
        <v>4068</v>
      </c>
      <c r="O446" s="17" t="s">
        <v>7635</v>
      </c>
      <c r="P446" s="17" t="s">
        <v>4069</v>
      </c>
      <c r="Q446" s="17" t="s">
        <v>2669</v>
      </c>
      <c r="R446" s="17" t="s">
        <v>4067</v>
      </c>
      <c r="S446" s="17" t="s">
        <v>7635</v>
      </c>
      <c r="T446" s="17" t="s">
        <v>4070</v>
      </c>
      <c r="U446" s="17"/>
      <c r="V446" s="17"/>
      <c r="W446" s="17"/>
      <c r="X446" s="17"/>
      <c r="Y446" s="17"/>
    </row>
    <row r="447" spans="1:25">
      <c r="A447" s="17" t="s">
        <v>4071</v>
      </c>
      <c r="B447" s="17" t="s">
        <v>4071</v>
      </c>
      <c r="C447" s="17" t="s">
        <v>3705</v>
      </c>
      <c r="D447" s="17" t="s">
        <v>2669</v>
      </c>
      <c r="E447" s="17" t="s">
        <v>3543</v>
      </c>
      <c r="F447" s="17" t="s">
        <v>4071</v>
      </c>
      <c r="G447" s="17" t="s">
        <v>2671</v>
      </c>
      <c r="H447" s="17" t="s">
        <v>6835</v>
      </c>
      <c r="I447" s="17" t="s">
        <v>4237</v>
      </c>
      <c r="J447" s="17" t="s">
        <v>3544</v>
      </c>
      <c r="K447" s="17" t="s">
        <v>2873</v>
      </c>
      <c r="L447" s="17" t="s">
        <v>3873</v>
      </c>
      <c r="M447" s="17" t="s">
        <v>2669</v>
      </c>
      <c r="N447" s="17" t="s">
        <v>4072</v>
      </c>
      <c r="O447" s="17" t="s">
        <v>7635</v>
      </c>
      <c r="P447" s="17" t="s">
        <v>4073</v>
      </c>
      <c r="Q447" s="17" t="s">
        <v>2669</v>
      </c>
      <c r="R447" s="17" t="s">
        <v>4071</v>
      </c>
      <c r="S447" s="17" t="s">
        <v>7635</v>
      </c>
      <c r="T447" s="17" t="s">
        <v>4074</v>
      </c>
      <c r="U447" s="17"/>
      <c r="V447" s="17"/>
      <c r="W447" s="17"/>
      <c r="X447" s="17"/>
      <c r="Y447" s="17"/>
    </row>
    <row r="448" spans="1:25">
      <c r="A448" s="17" t="s">
        <v>4075</v>
      </c>
      <c r="B448" s="17" t="s">
        <v>4075</v>
      </c>
      <c r="C448" s="17" t="s">
        <v>3714</v>
      </c>
      <c r="D448" s="17" t="s">
        <v>2669</v>
      </c>
      <c r="E448" s="17" t="s">
        <v>3543</v>
      </c>
      <c r="F448" s="17" t="s">
        <v>4075</v>
      </c>
      <c r="G448" s="17" t="s">
        <v>2671</v>
      </c>
      <c r="H448" s="17" t="s">
        <v>4312</v>
      </c>
      <c r="I448" s="17" t="s">
        <v>4237</v>
      </c>
      <c r="J448" s="17" t="s">
        <v>3544</v>
      </c>
      <c r="K448" s="17" t="s">
        <v>2882</v>
      </c>
      <c r="L448" s="17" t="s">
        <v>3873</v>
      </c>
      <c r="M448" s="17" t="s">
        <v>2669</v>
      </c>
      <c r="N448" s="17" t="s">
        <v>4076</v>
      </c>
      <c r="O448" s="17" t="s">
        <v>7635</v>
      </c>
      <c r="P448" s="17" t="s">
        <v>4077</v>
      </c>
      <c r="Q448" s="17" t="s">
        <v>2669</v>
      </c>
      <c r="R448" s="17" t="s">
        <v>4075</v>
      </c>
      <c r="S448" s="17" t="s">
        <v>7635</v>
      </c>
      <c r="T448" s="17" t="s">
        <v>4078</v>
      </c>
      <c r="U448" s="17"/>
      <c r="V448" s="17"/>
      <c r="W448" s="17"/>
      <c r="X448" s="17"/>
      <c r="Y448" s="17"/>
    </row>
    <row r="449" spans="1:25">
      <c r="A449" s="17" t="s">
        <v>4079</v>
      </c>
      <c r="B449" s="17" t="s">
        <v>4079</v>
      </c>
      <c r="C449" s="17" t="s">
        <v>3714</v>
      </c>
      <c r="D449" s="17" t="s">
        <v>2669</v>
      </c>
      <c r="E449" s="17" t="s">
        <v>3543</v>
      </c>
      <c r="F449" s="17" t="s">
        <v>4079</v>
      </c>
      <c r="G449" s="17" t="s">
        <v>2671</v>
      </c>
      <c r="H449" s="17" t="s">
        <v>6835</v>
      </c>
      <c r="I449" s="17" t="s">
        <v>4237</v>
      </c>
      <c r="J449" s="17" t="s">
        <v>3544</v>
      </c>
      <c r="K449" s="17" t="s">
        <v>2882</v>
      </c>
      <c r="L449" s="17" t="s">
        <v>3873</v>
      </c>
      <c r="M449" s="17" t="s">
        <v>2669</v>
      </c>
      <c r="N449" s="17" t="s">
        <v>4080</v>
      </c>
      <c r="O449" s="17" t="s">
        <v>7635</v>
      </c>
      <c r="P449" s="17" t="s">
        <v>4081</v>
      </c>
      <c r="Q449" s="17" t="s">
        <v>2669</v>
      </c>
      <c r="R449" s="17" t="s">
        <v>4079</v>
      </c>
      <c r="S449" s="17" t="s">
        <v>7635</v>
      </c>
      <c r="T449" s="17" t="s">
        <v>4082</v>
      </c>
      <c r="U449" s="17"/>
      <c r="V449" s="17"/>
      <c r="W449" s="17"/>
      <c r="X449" s="17"/>
      <c r="Y449" s="17"/>
    </row>
    <row r="450" spans="1:25">
      <c r="A450" s="17" t="s">
        <v>4083</v>
      </c>
      <c r="B450" s="17" t="s">
        <v>4083</v>
      </c>
      <c r="C450" s="17" t="s">
        <v>3719</v>
      </c>
      <c r="D450" s="17" t="s">
        <v>2669</v>
      </c>
      <c r="E450" s="17" t="s">
        <v>3543</v>
      </c>
      <c r="F450" s="17" t="s">
        <v>4083</v>
      </c>
      <c r="G450" s="17" t="s">
        <v>2671</v>
      </c>
      <c r="H450" s="17" t="s">
        <v>4312</v>
      </c>
      <c r="I450" s="17" t="s">
        <v>4237</v>
      </c>
      <c r="J450" s="17" t="s">
        <v>3544</v>
      </c>
      <c r="K450" s="17" t="s">
        <v>2889</v>
      </c>
      <c r="L450" s="17" t="s">
        <v>3873</v>
      </c>
      <c r="M450" s="17" t="s">
        <v>2669</v>
      </c>
      <c r="N450" s="17" t="s">
        <v>4084</v>
      </c>
      <c r="O450" s="17" t="s">
        <v>7635</v>
      </c>
      <c r="P450" s="17" t="s">
        <v>4085</v>
      </c>
      <c r="Q450" s="17" t="s">
        <v>2669</v>
      </c>
      <c r="R450" s="17" t="s">
        <v>4083</v>
      </c>
      <c r="S450" s="17" t="s">
        <v>7635</v>
      </c>
      <c r="T450" s="17" t="s">
        <v>4086</v>
      </c>
      <c r="U450" s="17"/>
      <c r="V450" s="17"/>
      <c r="W450" s="17"/>
      <c r="X450" s="17"/>
      <c r="Y450" s="17"/>
    </row>
    <row r="451" spans="1:25">
      <c r="A451" s="17" t="s">
        <v>4087</v>
      </c>
      <c r="B451" s="17" t="s">
        <v>4087</v>
      </c>
      <c r="C451" s="17" t="s">
        <v>3719</v>
      </c>
      <c r="D451" s="17" t="s">
        <v>2669</v>
      </c>
      <c r="E451" s="17" t="s">
        <v>3543</v>
      </c>
      <c r="F451" s="17" t="s">
        <v>4087</v>
      </c>
      <c r="G451" s="17" t="s">
        <v>2671</v>
      </c>
      <c r="H451" s="17" t="s">
        <v>6835</v>
      </c>
      <c r="I451" s="17" t="s">
        <v>4237</v>
      </c>
      <c r="J451" s="17" t="s">
        <v>3544</v>
      </c>
      <c r="K451" s="17" t="s">
        <v>2889</v>
      </c>
      <c r="L451" s="17" t="s">
        <v>3972</v>
      </c>
      <c r="M451" s="17" t="s">
        <v>2669</v>
      </c>
      <c r="N451" s="17" t="s">
        <v>4087</v>
      </c>
      <c r="O451" s="17" t="s">
        <v>7635</v>
      </c>
      <c r="P451" s="17" t="s">
        <v>4088</v>
      </c>
      <c r="Q451" s="17" t="s">
        <v>2669</v>
      </c>
      <c r="R451" s="17" t="s">
        <v>4089</v>
      </c>
      <c r="S451" s="17" t="s">
        <v>7635</v>
      </c>
      <c r="T451" s="17" t="s">
        <v>4090</v>
      </c>
      <c r="U451" s="17"/>
      <c r="V451" s="17"/>
      <c r="W451" s="17"/>
      <c r="X451" s="17"/>
      <c r="Y451" s="17"/>
    </row>
    <row r="452" spans="1:25">
      <c r="A452" s="17" t="s">
        <v>4091</v>
      </c>
      <c r="B452" s="17" t="s">
        <v>4091</v>
      </c>
      <c r="C452" s="17" t="s">
        <v>3724</v>
      </c>
      <c r="D452" s="17" t="s">
        <v>2669</v>
      </c>
      <c r="E452" s="17" t="s">
        <v>3543</v>
      </c>
      <c r="F452" s="17" t="s">
        <v>4091</v>
      </c>
      <c r="G452" s="17" t="s">
        <v>2671</v>
      </c>
      <c r="H452" s="17" t="s">
        <v>4312</v>
      </c>
      <c r="I452" s="17" t="s">
        <v>4237</v>
      </c>
      <c r="J452" s="17" t="s">
        <v>3544</v>
      </c>
      <c r="K452" s="17" t="s">
        <v>2893</v>
      </c>
      <c r="L452" s="17" t="s">
        <v>3873</v>
      </c>
      <c r="M452" s="17" t="s">
        <v>2669</v>
      </c>
      <c r="N452" s="17" t="s">
        <v>4092</v>
      </c>
      <c r="O452" s="17" t="s">
        <v>7635</v>
      </c>
      <c r="P452" s="17" t="s">
        <v>4093</v>
      </c>
      <c r="Q452" s="17" t="s">
        <v>2669</v>
      </c>
      <c r="R452" s="17" t="s">
        <v>4091</v>
      </c>
      <c r="S452" s="17" t="s">
        <v>7635</v>
      </c>
      <c r="T452" s="17" t="s">
        <v>4094</v>
      </c>
      <c r="U452" s="17"/>
      <c r="V452" s="17"/>
      <c r="W452" s="17"/>
      <c r="X452" s="17"/>
      <c r="Y452" s="17"/>
    </row>
    <row r="453" spans="1:25">
      <c r="A453" s="17" t="s">
        <v>4095</v>
      </c>
      <c r="B453" s="17" t="s">
        <v>4095</v>
      </c>
      <c r="C453" s="17" t="s">
        <v>3724</v>
      </c>
      <c r="D453" s="17" t="s">
        <v>2669</v>
      </c>
      <c r="E453" s="17" t="s">
        <v>3543</v>
      </c>
      <c r="F453" s="17" t="s">
        <v>4095</v>
      </c>
      <c r="G453" s="17" t="s">
        <v>2671</v>
      </c>
      <c r="H453" s="17" t="s">
        <v>6835</v>
      </c>
      <c r="I453" s="17" t="s">
        <v>4237</v>
      </c>
      <c r="J453" s="17" t="s">
        <v>3544</v>
      </c>
      <c r="K453" s="17" t="s">
        <v>2893</v>
      </c>
      <c r="L453" s="17" t="s">
        <v>3873</v>
      </c>
      <c r="M453" s="17" t="s">
        <v>2669</v>
      </c>
      <c r="N453" s="17" t="s">
        <v>4096</v>
      </c>
      <c r="O453" s="17" t="s">
        <v>7635</v>
      </c>
      <c r="P453" s="17" t="s">
        <v>4097</v>
      </c>
      <c r="Q453" s="17" t="s">
        <v>2669</v>
      </c>
      <c r="R453" s="17" t="s">
        <v>4098</v>
      </c>
      <c r="S453" s="17" t="s">
        <v>7635</v>
      </c>
      <c r="T453" s="17" t="s">
        <v>4099</v>
      </c>
      <c r="U453" s="17"/>
      <c r="V453" s="17"/>
      <c r="W453" s="17"/>
      <c r="X453" s="17"/>
      <c r="Y453" s="17"/>
    </row>
    <row r="454" spans="1:25">
      <c r="A454" s="17" t="s">
        <v>4100</v>
      </c>
      <c r="B454" s="17" t="s">
        <v>4100</v>
      </c>
      <c r="C454" s="17" t="s">
        <v>3731</v>
      </c>
      <c r="D454" s="17" t="s">
        <v>2669</v>
      </c>
      <c r="E454" s="17" t="s">
        <v>3543</v>
      </c>
      <c r="F454" s="17" t="s">
        <v>4100</v>
      </c>
      <c r="G454" s="17" t="s">
        <v>2671</v>
      </c>
      <c r="H454" s="17" t="s">
        <v>4312</v>
      </c>
      <c r="I454" s="17" t="s">
        <v>4237</v>
      </c>
      <c r="J454" s="17" t="s">
        <v>3544</v>
      </c>
      <c r="K454" s="17" t="s">
        <v>2902</v>
      </c>
      <c r="L454" s="17" t="s">
        <v>3873</v>
      </c>
      <c r="M454" s="17" t="s">
        <v>2669</v>
      </c>
      <c r="N454" s="17" t="s">
        <v>4101</v>
      </c>
      <c r="O454" s="17" t="s">
        <v>7635</v>
      </c>
      <c r="P454" s="17" t="s">
        <v>4102</v>
      </c>
      <c r="Q454" s="17" t="s">
        <v>2669</v>
      </c>
      <c r="R454" s="17" t="s">
        <v>4100</v>
      </c>
      <c r="S454" s="17" t="s">
        <v>7635</v>
      </c>
      <c r="T454" s="17" t="s">
        <v>4103</v>
      </c>
      <c r="U454" s="17"/>
      <c r="V454" s="17"/>
      <c r="W454" s="17"/>
      <c r="X454" s="17"/>
      <c r="Y454" s="17"/>
    </row>
    <row r="455" spans="1:25">
      <c r="A455" s="17" t="s">
        <v>4104</v>
      </c>
      <c r="B455" s="17" t="s">
        <v>4104</v>
      </c>
      <c r="C455" s="17" t="s">
        <v>3731</v>
      </c>
      <c r="D455" s="17" t="s">
        <v>2669</v>
      </c>
      <c r="E455" s="17" t="s">
        <v>3543</v>
      </c>
      <c r="F455" s="17" t="s">
        <v>4104</v>
      </c>
      <c r="G455" s="17" t="s">
        <v>2671</v>
      </c>
      <c r="H455" s="17" t="s">
        <v>6835</v>
      </c>
      <c r="I455" s="17" t="s">
        <v>4237</v>
      </c>
      <c r="J455" s="17" t="s">
        <v>3544</v>
      </c>
      <c r="K455" s="17" t="s">
        <v>2902</v>
      </c>
      <c r="L455" s="17" t="s">
        <v>3873</v>
      </c>
      <c r="M455" s="17" t="s">
        <v>2669</v>
      </c>
      <c r="N455" s="17" t="s">
        <v>4105</v>
      </c>
      <c r="O455" s="17" t="s">
        <v>7635</v>
      </c>
      <c r="P455" s="17" t="s">
        <v>4106</v>
      </c>
      <c r="Q455" s="17" t="s">
        <v>2669</v>
      </c>
      <c r="R455" s="17" t="s">
        <v>4104</v>
      </c>
      <c r="S455" s="17" t="s">
        <v>7635</v>
      </c>
      <c r="T455" s="17" t="s">
        <v>4107</v>
      </c>
      <c r="U455" s="17"/>
      <c r="V455" s="17"/>
      <c r="W455" s="17"/>
      <c r="X455" s="17"/>
      <c r="Y455" s="17"/>
    </row>
    <row r="456" spans="1:25">
      <c r="A456" s="17" t="s">
        <v>4108</v>
      </c>
      <c r="B456" s="17" t="s">
        <v>4108</v>
      </c>
      <c r="C456" s="17" t="s">
        <v>3738</v>
      </c>
      <c r="D456" s="17" t="s">
        <v>2669</v>
      </c>
      <c r="E456" s="17" t="s">
        <v>3543</v>
      </c>
      <c r="F456" s="17" t="s">
        <v>4108</v>
      </c>
      <c r="G456" s="17" t="s">
        <v>2671</v>
      </c>
      <c r="H456" s="17" t="s">
        <v>4312</v>
      </c>
      <c r="I456" s="17" t="s">
        <v>4237</v>
      </c>
      <c r="J456" s="17" t="s">
        <v>3544</v>
      </c>
      <c r="K456" s="17" t="s">
        <v>2909</v>
      </c>
      <c r="L456" s="17" t="s">
        <v>3873</v>
      </c>
      <c r="M456" s="17" t="s">
        <v>2669</v>
      </c>
      <c r="N456" s="17" t="s">
        <v>4109</v>
      </c>
      <c r="O456" s="17" t="s">
        <v>7635</v>
      </c>
      <c r="P456" s="17" t="s">
        <v>4110</v>
      </c>
      <c r="Q456" s="17" t="s">
        <v>2669</v>
      </c>
      <c r="R456" s="17" t="s">
        <v>4108</v>
      </c>
      <c r="S456" s="17" t="s">
        <v>7635</v>
      </c>
      <c r="T456" s="17" t="s">
        <v>4111</v>
      </c>
      <c r="U456" s="17"/>
      <c r="V456" s="17"/>
      <c r="W456" s="17"/>
      <c r="X456" s="17"/>
      <c r="Y456" s="17"/>
    </row>
    <row r="457" spans="1:25">
      <c r="A457" s="17" t="s">
        <v>4112</v>
      </c>
      <c r="B457" s="17" t="s">
        <v>4112</v>
      </c>
      <c r="C457" s="17" t="s">
        <v>3738</v>
      </c>
      <c r="D457" s="17" t="s">
        <v>2669</v>
      </c>
      <c r="E457" s="17" t="s">
        <v>3543</v>
      </c>
      <c r="F457" s="17" t="s">
        <v>4112</v>
      </c>
      <c r="G457" s="17" t="s">
        <v>2671</v>
      </c>
      <c r="H457" s="17" t="s">
        <v>6835</v>
      </c>
      <c r="I457" s="17" t="s">
        <v>4237</v>
      </c>
      <c r="J457" s="17" t="s">
        <v>3544</v>
      </c>
      <c r="K457" s="17" t="s">
        <v>2909</v>
      </c>
      <c r="L457" s="17" t="s">
        <v>3873</v>
      </c>
      <c r="M457" s="17" t="s">
        <v>2669</v>
      </c>
      <c r="N457" s="17" t="s">
        <v>4113</v>
      </c>
      <c r="O457" s="17" t="s">
        <v>7635</v>
      </c>
      <c r="P457" s="17" t="s">
        <v>4114</v>
      </c>
      <c r="Q457" s="17" t="s">
        <v>2669</v>
      </c>
      <c r="R457" s="17" t="s">
        <v>4112</v>
      </c>
      <c r="S457" s="17" t="s">
        <v>7635</v>
      </c>
      <c r="T457" s="17" t="s">
        <v>4115</v>
      </c>
      <c r="U457" s="17"/>
      <c r="V457" s="17"/>
      <c r="W457" s="17"/>
      <c r="X457" s="17"/>
      <c r="Y457" s="17"/>
    </row>
    <row r="458" spans="1:25">
      <c r="A458" s="17" t="s">
        <v>4116</v>
      </c>
      <c r="B458" s="17" t="s">
        <v>4116</v>
      </c>
      <c r="C458" s="17" t="s">
        <v>3743</v>
      </c>
      <c r="D458" s="17" t="s">
        <v>2669</v>
      </c>
      <c r="E458" s="17" t="s">
        <v>3543</v>
      </c>
      <c r="F458" s="17" t="s">
        <v>4116</v>
      </c>
      <c r="G458" s="17" t="s">
        <v>2671</v>
      </c>
      <c r="H458" s="17" t="s">
        <v>4312</v>
      </c>
      <c r="I458" s="17" t="s">
        <v>4237</v>
      </c>
      <c r="J458" s="17" t="s">
        <v>3544</v>
      </c>
      <c r="K458" s="17" t="s">
        <v>2916</v>
      </c>
      <c r="L458" s="17" t="s">
        <v>3873</v>
      </c>
      <c r="M458" s="17" t="s">
        <v>2669</v>
      </c>
      <c r="N458" s="17" t="s">
        <v>4117</v>
      </c>
      <c r="O458" s="17" t="s">
        <v>7635</v>
      </c>
      <c r="P458" s="17" t="s">
        <v>4118</v>
      </c>
      <c r="Q458" s="17" t="s">
        <v>2669</v>
      </c>
      <c r="R458" s="17" t="s">
        <v>4116</v>
      </c>
      <c r="S458" s="17" t="s">
        <v>7635</v>
      </c>
      <c r="T458" s="17" t="s">
        <v>4119</v>
      </c>
      <c r="U458" s="17"/>
      <c r="V458" s="17"/>
      <c r="W458" s="17"/>
      <c r="X458" s="17"/>
      <c r="Y458" s="17"/>
    </row>
    <row r="459" spans="1:25">
      <c r="A459" s="17" t="s">
        <v>4120</v>
      </c>
      <c r="B459" s="17" t="s">
        <v>4120</v>
      </c>
      <c r="C459" s="17" t="s">
        <v>3743</v>
      </c>
      <c r="D459" s="17" t="s">
        <v>2669</v>
      </c>
      <c r="E459" s="17" t="s">
        <v>3543</v>
      </c>
      <c r="F459" s="17" t="s">
        <v>4120</v>
      </c>
      <c r="G459" s="17" t="s">
        <v>2671</v>
      </c>
      <c r="H459" s="17" t="s">
        <v>6835</v>
      </c>
      <c r="I459" s="17" t="s">
        <v>4237</v>
      </c>
      <c r="J459" s="17" t="s">
        <v>3544</v>
      </c>
      <c r="K459" s="17" t="s">
        <v>2916</v>
      </c>
      <c r="L459" s="17" t="s">
        <v>3972</v>
      </c>
      <c r="M459" s="17" t="s">
        <v>2669</v>
      </c>
      <c r="N459" s="17" t="s">
        <v>4120</v>
      </c>
      <c r="O459" s="17" t="s">
        <v>7635</v>
      </c>
      <c r="P459" s="17" t="s">
        <v>4121</v>
      </c>
      <c r="Q459" s="17" t="s">
        <v>2669</v>
      </c>
      <c r="R459" s="17" t="s">
        <v>4122</v>
      </c>
      <c r="S459" s="17" t="s">
        <v>7635</v>
      </c>
      <c r="T459" s="17" t="s">
        <v>4123</v>
      </c>
      <c r="U459" s="17"/>
      <c r="V459" s="17"/>
      <c r="W459" s="17"/>
      <c r="X459" s="17"/>
      <c r="Y459" s="17"/>
    </row>
    <row r="460" spans="1:25">
      <c r="A460" s="17" t="s">
        <v>4124</v>
      </c>
      <c r="B460" s="17" t="s">
        <v>4124</v>
      </c>
      <c r="C460" s="17" t="s">
        <v>4125</v>
      </c>
      <c r="D460" s="17" t="s">
        <v>2669</v>
      </c>
      <c r="E460" s="17" t="s">
        <v>3543</v>
      </c>
      <c r="F460" s="17" t="s">
        <v>4124</v>
      </c>
      <c r="G460" s="17" t="s">
        <v>2671</v>
      </c>
      <c r="H460" s="17" t="s">
        <v>4312</v>
      </c>
      <c r="I460" s="17" t="s">
        <v>4237</v>
      </c>
      <c r="J460" s="17" t="s">
        <v>3544</v>
      </c>
      <c r="K460" s="17" t="s">
        <v>2923</v>
      </c>
      <c r="L460" s="17" t="s">
        <v>3873</v>
      </c>
      <c r="M460" s="17" t="s">
        <v>2669</v>
      </c>
      <c r="N460" s="17" t="s">
        <v>4126</v>
      </c>
      <c r="O460" s="17" t="s">
        <v>7635</v>
      </c>
      <c r="P460" s="17" t="s">
        <v>4127</v>
      </c>
      <c r="Q460" s="17" t="s">
        <v>2669</v>
      </c>
      <c r="R460" s="17" t="s">
        <v>4124</v>
      </c>
      <c r="S460" s="17" t="s">
        <v>7635</v>
      </c>
      <c r="T460" s="17" t="s">
        <v>4128</v>
      </c>
      <c r="U460" s="17"/>
      <c r="V460" s="17"/>
      <c r="W460" s="17"/>
      <c r="X460" s="17"/>
      <c r="Y460" s="17"/>
    </row>
    <row r="461" spans="1:25">
      <c r="A461" s="17" t="s">
        <v>4129</v>
      </c>
      <c r="B461" s="17" t="s">
        <v>4129</v>
      </c>
      <c r="C461" s="17" t="s">
        <v>3750</v>
      </c>
      <c r="D461" s="17" t="s">
        <v>2669</v>
      </c>
      <c r="E461" s="17" t="s">
        <v>3543</v>
      </c>
      <c r="F461" s="17" t="s">
        <v>4129</v>
      </c>
      <c r="G461" s="17" t="s">
        <v>2671</v>
      </c>
      <c r="H461" s="17" t="s">
        <v>6835</v>
      </c>
      <c r="I461" s="17" t="s">
        <v>4237</v>
      </c>
      <c r="J461" s="17" t="s">
        <v>3544</v>
      </c>
      <c r="K461" s="17" t="s">
        <v>2923</v>
      </c>
      <c r="L461" s="17" t="s">
        <v>3972</v>
      </c>
      <c r="M461" s="17" t="s">
        <v>2669</v>
      </c>
      <c r="N461" s="17" t="s">
        <v>4129</v>
      </c>
      <c r="O461" s="17" t="s">
        <v>7635</v>
      </c>
      <c r="P461" s="17" t="s">
        <v>4130</v>
      </c>
      <c r="Q461" s="17" t="s">
        <v>2669</v>
      </c>
      <c r="R461" s="17" t="s">
        <v>4131</v>
      </c>
      <c r="S461" s="17" t="s">
        <v>7635</v>
      </c>
      <c r="T461" s="17" t="s">
        <v>4132</v>
      </c>
      <c r="U461" s="17"/>
      <c r="V461" s="17"/>
      <c r="W461" s="17"/>
      <c r="X461" s="17"/>
      <c r="Y461" s="17"/>
    </row>
    <row r="462" spans="1:25">
      <c r="A462" s="17" t="s">
        <v>4133</v>
      </c>
      <c r="B462" s="17" t="s">
        <v>4133</v>
      </c>
      <c r="C462" s="17" t="s">
        <v>3755</v>
      </c>
      <c r="D462" s="17" t="s">
        <v>2669</v>
      </c>
      <c r="E462" s="17" t="s">
        <v>3543</v>
      </c>
      <c r="F462" s="17" t="s">
        <v>4133</v>
      </c>
      <c r="G462" s="17" t="s">
        <v>2671</v>
      </c>
      <c r="H462" s="17" t="s">
        <v>4312</v>
      </c>
      <c r="I462" s="17" t="s">
        <v>4237</v>
      </c>
      <c r="J462" s="17" t="s">
        <v>3544</v>
      </c>
      <c r="K462" s="17" t="s">
        <v>2930</v>
      </c>
      <c r="L462" s="17" t="s">
        <v>3972</v>
      </c>
      <c r="M462" s="17" t="s">
        <v>2669</v>
      </c>
      <c r="N462" s="17" t="s">
        <v>4133</v>
      </c>
      <c r="O462" s="17" t="s">
        <v>7635</v>
      </c>
      <c r="P462" s="17" t="s">
        <v>4134</v>
      </c>
      <c r="Q462" s="17" t="s">
        <v>2669</v>
      </c>
      <c r="R462" s="17" t="s">
        <v>4135</v>
      </c>
      <c r="S462" s="17" t="s">
        <v>7635</v>
      </c>
      <c r="T462" s="17" t="s">
        <v>4136</v>
      </c>
      <c r="U462" s="17"/>
      <c r="V462" s="17"/>
      <c r="W462" s="17"/>
      <c r="X462" s="17"/>
      <c r="Y462" s="17"/>
    </row>
    <row r="463" spans="1:25">
      <c r="A463" s="17" t="s">
        <v>4137</v>
      </c>
      <c r="B463" s="17" t="s">
        <v>4137</v>
      </c>
      <c r="C463" s="17" t="s">
        <v>3755</v>
      </c>
      <c r="D463" s="17" t="s">
        <v>2669</v>
      </c>
      <c r="E463" s="17" t="s">
        <v>3543</v>
      </c>
      <c r="F463" s="17" t="s">
        <v>4137</v>
      </c>
      <c r="G463" s="17" t="s">
        <v>2671</v>
      </c>
      <c r="H463" s="17" t="s">
        <v>6835</v>
      </c>
      <c r="I463" s="17" t="s">
        <v>4237</v>
      </c>
      <c r="J463" s="17" t="s">
        <v>3544</v>
      </c>
      <c r="K463" s="17" t="s">
        <v>2930</v>
      </c>
      <c r="L463" s="17" t="s">
        <v>3972</v>
      </c>
      <c r="M463" s="17" t="s">
        <v>2669</v>
      </c>
      <c r="N463" s="17" t="s">
        <v>4137</v>
      </c>
      <c r="O463" s="17" t="s">
        <v>7635</v>
      </c>
      <c r="P463" s="17" t="s">
        <v>4138</v>
      </c>
      <c r="Q463" s="17" t="s">
        <v>2669</v>
      </c>
      <c r="R463" s="17" t="s">
        <v>4139</v>
      </c>
      <c r="S463" s="17" t="s">
        <v>7635</v>
      </c>
      <c r="T463" s="17" t="s">
        <v>4140</v>
      </c>
      <c r="U463" s="17"/>
      <c r="V463" s="17"/>
      <c r="W463" s="17"/>
      <c r="X463" s="17"/>
      <c r="Y463" s="17"/>
    </row>
    <row r="464" spans="1:25">
      <c r="A464" s="17" t="s">
        <v>4141</v>
      </c>
      <c r="B464" s="17" t="s">
        <v>4141</v>
      </c>
      <c r="C464" s="17" t="s">
        <v>3760</v>
      </c>
      <c r="D464" s="17" t="s">
        <v>2669</v>
      </c>
      <c r="E464" s="17" t="s">
        <v>3543</v>
      </c>
      <c r="F464" s="17" t="s">
        <v>4141</v>
      </c>
      <c r="G464" s="17" t="s">
        <v>2671</v>
      </c>
      <c r="H464" s="17" t="s">
        <v>4312</v>
      </c>
      <c r="I464" s="17" t="s">
        <v>4237</v>
      </c>
      <c r="J464" s="17" t="s">
        <v>3544</v>
      </c>
      <c r="K464" s="17" t="s">
        <v>2934</v>
      </c>
      <c r="L464" s="17" t="s">
        <v>3972</v>
      </c>
      <c r="M464" s="17" t="s">
        <v>2669</v>
      </c>
      <c r="N464" s="17" t="s">
        <v>4141</v>
      </c>
      <c r="O464" s="17" t="s">
        <v>7635</v>
      </c>
      <c r="P464" s="17" t="s">
        <v>4142</v>
      </c>
      <c r="Q464" s="17" t="s">
        <v>2669</v>
      </c>
      <c r="R464" s="17" t="s">
        <v>4143</v>
      </c>
      <c r="S464" s="17" t="s">
        <v>7635</v>
      </c>
      <c r="T464" s="17" t="s">
        <v>4144</v>
      </c>
      <c r="U464" s="17"/>
      <c r="V464" s="17"/>
      <c r="W464" s="17"/>
      <c r="X464" s="17"/>
      <c r="Y464" s="17"/>
    </row>
    <row r="465" spans="1:25">
      <c r="A465" s="17" t="s">
        <v>4145</v>
      </c>
      <c r="B465" s="17" t="s">
        <v>4145</v>
      </c>
      <c r="C465" s="17" t="s">
        <v>3760</v>
      </c>
      <c r="D465" s="17" t="s">
        <v>2669</v>
      </c>
      <c r="E465" s="17" t="s">
        <v>3543</v>
      </c>
      <c r="F465" s="17" t="s">
        <v>4145</v>
      </c>
      <c r="G465" s="17" t="s">
        <v>2671</v>
      </c>
      <c r="H465" s="17" t="s">
        <v>6835</v>
      </c>
      <c r="I465" s="17" t="s">
        <v>4237</v>
      </c>
      <c r="J465" s="17" t="s">
        <v>3544</v>
      </c>
      <c r="K465" s="17" t="s">
        <v>2934</v>
      </c>
      <c r="L465" s="17" t="s">
        <v>3972</v>
      </c>
      <c r="M465" s="17" t="s">
        <v>2669</v>
      </c>
      <c r="N465" s="17" t="s">
        <v>4145</v>
      </c>
      <c r="O465" s="17" t="s">
        <v>7635</v>
      </c>
      <c r="P465" s="17" t="s">
        <v>4146</v>
      </c>
      <c r="Q465" s="17" t="s">
        <v>2669</v>
      </c>
      <c r="R465" s="17" t="s">
        <v>4147</v>
      </c>
      <c r="S465" s="17" t="s">
        <v>7635</v>
      </c>
      <c r="T465" s="17" t="s">
        <v>4148</v>
      </c>
      <c r="U465" s="17"/>
      <c r="V465" s="17"/>
      <c r="W465" s="17"/>
      <c r="X465" s="17"/>
      <c r="Y465" s="17"/>
    </row>
    <row r="466" spans="1:25">
      <c r="A466" s="17" t="s">
        <v>4149</v>
      </c>
      <c r="B466" s="17" t="s">
        <v>4149</v>
      </c>
      <c r="C466" s="17" t="s">
        <v>3765</v>
      </c>
      <c r="D466" s="17" t="s">
        <v>2669</v>
      </c>
      <c r="E466" s="17" t="s">
        <v>3543</v>
      </c>
      <c r="F466" s="17" t="s">
        <v>4149</v>
      </c>
      <c r="G466" s="17" t="s">
        <v>2671</v>
      </c>
      <c r="H466" s="17" t="s">
        <v>4312</v>
      </c>
      <c r="I466" s="17" t="s">
        <v>4237</v>
      </c>
      <c r="J466" s="17" t="s">
        <v>3544</v>
      </c>
      <c r="K466" s="17" t="s">
        <v>2938</v>
      </c>
      <c r="L466" s="17" t="s">
        <v>3972</v>
      </c>
      <c r="M466" s="17" t="s">
        <v>2669</v>
      </c>
      <c r="N466" s="17" t="s">
        <v>4149</v>
      </c>
      <c r="O466" s="17" t="s">
        <v>7635</v>
      </c>
      <c r="P466" s="17" t="s">
        <v>4150</v>
      </c>
      <c r="Q466" s="17" t="s">
        <v>2669</v>
      </c>
      <c r="R466" s="17" t="s">
        <v>4151</v>
      </c>
      <c r="S466" s="17" t="s">
        <v>7635</v>
      </c>
      <c r="T466" s="17" t="s">
        <v>4152</v>
      </c>
      <c r="U466" s="17"/>
      <c r="V466" s="17"/>
      <c r="W466" s="17"/>
      <c r="X466" s="17"/>
      <c r="Y466" s="17"/>
    </row>
    <row r="467" spans="1:25">
      <c r="A467" s="17" t="s">
        <v>4153</v>
      </c>
      <c r="B467" s="17" t="s">
        <v>4153</v>
      </c>
      <c r="C467" s="17" t="s">
        <v>3765</v>
      </c>
      <c r="D467" s="17" t="s">
        <v>2669</v>
      </c>
      <c r="E467" s="17" t="s">
        <v>3543</v>
      </c>
      <c r="F467" s="17" t="s">
        <v>4153</v>
      </c>
      <c r="G467" s="17" t="s">
        <v>2671</v>
      </c>
      <c r="H467" s="17" t="s">
        <v>6835</v>
      </c>
      <c r="I467" s="17" t="s">
        <v>4237</v>
      </c>
      <c r="J467" s="17" t="s">
        <v>3544</v>
      </c>
      <c r="K467" s="17" t="s">
        <v>2938</v>
      </c>
      <c r="L467" s="17" t="s">
        <v>3972</v>
      </c>
      <c r="M467" s="17" t="s">
        <v>2669</v>
      </c>
      <c r="N467" s="17" t="s">
        <v>4153</v>
      </c>
      <c r="O467" s="17" t="s">
        <v>7635</v>
      </c>
      <c r="P467" s="17" t="s">
        <v>4154</v>
      </c>
      <c r="Q467" s="17" t="s">
        <v>2669</v>
      </c>
      <c r="R467" s="17" t="s">
        <v>4155</v>
      </c>
      <c r="S467" s="17" t="s">
        <v>7635</v>
      </c>
      <c r="T467" s="17" t="s">
        <v>4156</v>
      </c>
      <c r="U467" s="17"/>
      <c r="V467" s="17"/>
      <c r="W467" s="17"/>
      <c r="X467" s="17"/>
      <c r="Y467" s="17"/>
    </row>
    <row r="468" spans="1:25">
      <c r="A468" s="17" t="s">
        <v>4157</v>
      </c>
      <c r="B468" s="17" t="s">
        <v>4157</v>
      </c>
      <c r="C468" s="17" t="s">
        <v>3770</v>
      </c>
      <c r="D468" s="17" t="s">
        <v>2669</v>
      </c>
      <c r="E468" s="17" t="s">
        <v>3543</v>
      </c>
      <c r="F468" s="17" t="s">
        <v>4157</v>
      </c>
      <c r="G468" s="17" t="s">
        <v>2671</v>
      </c>
      <c r="H468" s="17" t="s">
        <v>4312</v>
      </c>
      <c r="I468" s="17" t="s">
        <v>4237</v>
      </c>
      <c r="J468" s="17" t="s">
        <v>3544</v>
      </c>
      <c r="K468" s="17" t="s">
        <v>3151</v>
      </c>
      <c r="L468" s="17" t="s">
        <v>3972</v>
      </c>
      <c r="M468" s="17" t="s">
        <v>2669</v>
      </c>
      <c r="N468" s="17" t="s">
        <v>4157</v>
      </c>
      <c r="O468" s="17" t="s">
        <v>7635</v>
      </c>
      <c r="P468" s="17" t="s">
        <v>4158</v>
      </c>
      <c r="Q468" s="17" t="s">
        <v>2669</v>
      </c>
      <c r="R468" s="17" t="s">
        <v>4159</v>
      </c>
      <c r="S468" s="17" t="s">
        <v>7635</v>
      </c>
      <c r="T468" s="17" t="s">
        <v>4160</v>
      </c>
      <c r="U468" s="17"/>
      <c r="V468" s="17"/>
      <c r="W468" s="17"/>
      <c r="X468" s="17"/>
      <c r="Y468" s="17"/>
    </row>
    <row r="469" spans="1:25">
      <c r="A469" s="17" t="s">
        <v>4161</v>
      </c>
      <c r="B469" s="17" t="s">
        <v>4161</v>
      </c>
      <c r="C469" s="17" t="s">
        <v>3770</v>
      </c>
      <c r="D469" s="17" t="s">
        <v>2669</v>
      </c>
      <c r="E469" s="17" t="s">
        <v>3543</v>
      </c>
      <c r="F469" s="17" t="s">
        <v>4161</v>
      </c>
      <c r="G469" s="17" t="s">
        <v>2671</v>
      </c>
      <c r="H469" s="17" t="s">
        <v>6835</v>
      </c>
      <c r="I469" s="17" t="s">
        <v>4237</v>
      </c>
      <c r="J469" s="17" t="s">
        <v>3544</v>
      </c>
      <c r="K469" s="17" t="s">
        <v>3151</v>
      </c>
      <c r="L469" s="17" t="s">
        <v>3972</v>
      </c>
      <c r="M469" s="17" t="s">
        <v>2669</v>
      </c>
      <c r="N469" s="17" t="s">
        <v>4161</v>
      </c>
      <c r="O469" s="17" t="s">
        <v>7635</v>
      </c>
      <c r="P469" s="17" t="s">
        <v>4162</v>
      </c>
      <c r="Q469" s="17" t="s">
        <v>2669</v>
      </c>
      <c r="R469" s="17" t="s">
        <v>4163</v>
      </c>
      <c r="S469" s="17" t="s">
        <v>7635</v>
      </c>
      <c r="T469" s="17" t="s">
        <v>4164</v>
      </c>
      <c r="U469" s="17"/>
      <c r="V469" s="17"/>
      <c r="W469" s="17"/>
      <c r="X469" s="17"/>
      <c r="Y469" s="17"/>
    </row>
    <row r="470" spans="1:25">
      <c r="A470" s="17" t="s">
        <v>4165</v>
      </c>
      <c r="B470" s="17" t="s">
        <v>4165</v>
      </c>
      <c r="C470" s="17" t="s">
        <v>3775</v>
      </c>
      <c r="D470" s="17" t="s">
        <v>2669</v>
      </c>
      <c r="E470" s="17" t="s">
        <v>3543</v>
      </c>
      <c r="F470" s="17" t="s">
        <v>4165</v>
      </c>
      <c r="G470" s="17" t="s">
        <v>2671</v>
      </c>
      <c r="H470" s="17" t="s">
        <v>4312</v>
      </c>
      <c r="I470" s="17" t="s">
        <v>4237</v>
      </c>
      <c r="J470" s="17" t="s">
        <v>3544</v>
      </c>
      <c r="K470" s="17" t="s">
        <v>2945</v>
      </c>
      <c r="L470" s="17" t="s">
        <v>3972</v>
      </c>
      <c r="M470" s="17" t="s">
        <v>2669</v>
      </c>
      <c r="N470" s="17" t="s">
        <v>4165</v>
      </c>
      <c r="O470" s="17" t="s">
        <v>7635</v>
      </c>
      <c r="P470" s="17" t="s">
        <v>4166</v>
      </c>
      <c r="Q470" s="17" t="s">
        <v>2669</v>
      </c>
      <c r="R470" s="17" t="s">
        <v>4167</v>
      </c>
      <c r="S470" s="17" t="s">
        <v>7635</v>
      </c>
      <c r="T470" s="17" t="s">
        <v>4168</v>
      </c>
      <c r="U470" s="17"/>
      <c r="V470" s="17"/>
      <c r="W470" s="17"/>
      <c r="X470" s="17"/>
      <c r="Y470" s="17"/>
    </row>
    <row r="471" spans="1:25">
      <c r="A471" s="17" t="s">
        <v>4169</v>
      </c>
      <c r="B471" s="17" t="s">
        <v>4169</v>
      </c>
      <c r="C471" s="17" t="s">
        <v>3775</v>
      </c>
      <c r="D471" s="17" t="s">
        <v>2669</v>
      </c>
      <c r="E471" s="17" t="s">
        <v>3543</v>
      </c>
      <c r="F471" s="17" t="s">
        <v>4169</v>
      </c>
      <c r="G471" s="17" t="s">
        <v>2671</v>
      </c>
      <c r="H471" s="17" t="s">
        <v>6835</v>
      </c>
      <c r="I471" s="17" t="s">
        <v>4237</v>
      </c>
      <c r="J471" s="17" t="s">
        <v>3544</v>
      </c>
      <c r="K471" s="17" t="s">
        <v>2945</v>
      </c>
      <c r="L471" s="17" t="s">
        <v>3972</v>
      </c>
      <c r="M471" s="17" t="s">
        <v>2669</v>
      </c>
      <c r="N471" s="17" t="s">
        <v>4169</v>
      </c>
      <c r="O471" s="17" t="s">
        <v>7635</v>
      </c>
      <c r="P471" s="17" t="s">
        <v>4170</v>
      </c>
      <c r="Q471" s="17" t="s">
        <v>2669</v>
      </c>
      <c r="R471" s="17" t="s">
        <v>4171</v>
      </c>
      <c r="S471" s="17" t="s">
        <v>7635</v>
      </c>
      <c r="T471" s="17" t="s">
        <v>4172</v>
      </c>
      <c r="U471" s="17"/>
      <c r="V471" s="17"/>
      <c r="W471" s="17"/>
      <c r="X471" s="17"/>
      <c r="Y471" s="17"/>
    </row>
    <row r="472" spans="1:25">
      <c r="A472" s="17" t="s">
        <v>4173</v>
      </c>
      <c r="B472" s="17" t="s">
        <v>4173</v>
      </c>
      <c r="C472" s="17" t="s">
        <v>3780</v>
      </c>
      <c r="D472" s="17" t="s">
        <v>2669</v>
      </c>
      <c r="E472" s="17" t="s">
        <v>3543</v>
      </c>
      <c r="F472" s="17" t="s">
        <v>4173</v>
      </c>
      <c r="G472" s="17" t="s">
        <v>2671</v>
      </c>
      <c r="H472" s="17" t="s">
        <v>4312</v>
      </c>
      <c r="I472" s="17" t="s">
        <v>4237</v>
      </c>
      <c r="J472" s="17" t="s">
        <v>3544</v>
      </c>
      <c r="K472" s="17" t="s">
        <v>3162</v>
      </c>
      <c r="L472" s="17" t="s">
        <v>3972</v>
      </c>
      <c r="M472" s="17" t="s">
        <v>2669</v>
      </c>
      <c r="N472" s="17" t="s">
        <v>4173</v>
      </c>
      <c r="O472" s="17" t="s">
        <v>7635</v>
      </c>
      <c r="P472" s="17" t="s">
        <v>4174</v>
      </c>
      <c r="Q472" s="17" t="s">
        <v>2669</v>
      </c>
      <c r="R472" s="17" t="s">
        <v>4175</v>
      </c>
      <c r="S472" s="17" t="s">
        <v>7635</v>
      </c>
      <c r="T472" s="17" t="s">
        <v>4176</v>
      </c>
      <c r="U472" s="17"/>
      <c r="V472" s="17"/>
      <c r="W472" s="17"/>
      <c r="X472" s="17"/>
      <c r="Y472" s="17"/>
    </row>
    <row r="473" spans="1:25">
      <c r="A473" s="17" t="s">
        <v>4177</v>
      </c>
      <c r="B473" s="17" t="s">
        <v>4177</v>
      </c>
      <c r="C473" s="17" t="s">
        <v>3780</v>
      </c>
      <c r="D473" s="17" t="s">
        <v>2669</v>
      </c>
      <c r="E473" s="17" t="s">
        <v>3543</v>
      </c>
      <c r="F473" s="17" t="s">
        <v>4177</v>
      </c>
      <c r="G473" s="17" t="s">
        <v>2671</v>
      </c>
      <c r="H473" s="17" t="s">
        <v>6835</v>
      </c>
      <c r="I473" s="17" t="s">
        <v>4237</v>
      </c>
      <c r="J473" s="17" t="s">
        <v>3544</v>
      </c>
      <c r="K473" s="17" t="s">
        <v>3162</v>
      </c>
      <c r="L473" s="17" t="s">
        <v>3972</v>
      </c>
      <c r="M473" s="17" t="s">
        <v>2669</v>
      </c>
      <c r="N473" s="17" t="s">
        <v>4177</v>
      </c>
      <c r="O473" s="17" t="s">
        <v>7635</v>
      </c>
      <c r="P473" s="17" t="s">
        <v>4178</v>
      </c>
      <c r="Q473" s="17" t="s">
        <v>2669</v>
      </c>
      <c r="R473" s="17" t="s">
        <v>4179</v>
      </c>
      <c r="S473" s="17" t="s">
        <v>7635</v>
      </c>
      <c r="T473" s="17" t="s">
        <v>4180</v>
      </c>
      <c r="U473" s="17"/>
      <c r="V473" s="17"/>
      <c r="W473" s="17"/>
      <c r="X473" s="17"/>
      <c r="Y473" s="17"/>
    </row>
    <row r="474" spans="1:25">
      <c r="A474" s="17" t="s">
        <v>4181</v>
      </c>
      <c r="B474" s="17" t="s">
        <v>4181</v>
      </c>
      <c r="C474" s="17" t="s">
        <v>3785</v>
      </c>
      <c r="D474" s="17" t="s">
        <v>2669</v>
      </c>
      <c r="E474" s="17" t="s">
        <v>3543</v>
      </c>
      <c r="F474" s="17" t="s">
        <v>4181</v>
      </c>
      <c r="G474" s="17" t="s">
        <v>2671</v>
      </c>
      <c r="H474" s="17" t="s">
        <v>4312</v>
      </c>
      <c r="I474" s="17" t="s">
        <v>4237</v>
      </c>
      <c r="J474" s="17" t="s">
        <v>3544</v>
      </c>
      <c r="K474" s="17" t="s">
        <v>3168</v>
      </c>
      <c r="L474" s="17" t="s">
        <v>3972</v>
      </c>
      <c r="M474" s="17" t="s">
        <v>2669</v>
      </c>
      <c r="N474" s="17" t="s">
        <v>4181</v>
      </c>
      <c r="O474" s="17" t="s">
        <v>7635</v>
      </c>
      <c r="P474" s="17" t="s">
        <v>4182</v>
      </c>
      <c r="Q474" s="17" t="s">
        <v>2669</v>
      </c>
      <c r="R474" s="17" t="s">
        <v>4183</v>
      </c>
      <c r="S474" s="17" t="s">
        <v>7635</v>
      </c>
      <c r="T474" s="17" t="s">
        <v>4184</v>
      </c>
      <c r="U474" s="17"/>
      <c r="V474" s="17"/>
      <c r="W474" s="17"/>
      <c r="X474" s="17"/>
      <c r="Y474" s="17"/>
    </row>
    <row r="475" spans="1:25">
      <c r="A475" s="17" t="s">
        <v>4185</v>
      </c>
      <c r="B475" s="17" t="s">
        <v>4185</v>
      </c>
      <c r="C475" s="17" t="s">
        <v>3785</v>
      </c>
      <c r="D475" s="17" t="s">
        <v>2669</v>
      </c>
      <c r="E475" s="17" t="s">
        <v>3543</v>
      </c>
      <c r="F475" s="17" t="s">
        <v>4185</v>
      </c>
      <c r="G475" s="17" t="s">
        <v>2671</v>
      </c>
      <c r="H475" s="17" t="s">
        <v>6835</v>
      </c>
      <c r="I475" s="17" t="s">
        <v>4237</v>
      </c>
      <c r="J475" s="17" t="s">
        <v>3544</v>
      </c>
      <c r="K475" s="17" t="s">
        <v>3168</v>
      </c>
      <c r="L475" s="17" t="s">
        <v>3972</v>
      </c>
      <c r="M475" s="17" t="s">
        <v>2669</v>
      </c>
      <c r="N475" s="17" t="s">
        <v>4185</v>
      </c>
      <c r="O475" s="17" t="s">
        <v>7635</v>
      </c>
      <c r="P475" s="17" t="s">
        <v>4186</v>
      </c>
      <c r="Q475" s="17" t="s">
        <v>2669</v>
      </c>
      <c r="R475" s="17" t="s">
        <v>4187</v>
      </c>
      <c r="S475" s="17" t="s">
        <v>7635</v>
      </c>
      <c r="T475" s="17" t="s">
        <v>4188</v>
      </c>
      <c r="U475" s="17"/>
      <c r="V475" s="17"/>
      <c r="W475" s="17"/>
      <c r="X475" s="17"/>
      <c r="Y475" s="17"/>
    </row>
    <row r="476" spans="1:25">
      <c r="A476" s="17" t="s">
        <v>4189</v>
      </c>
      <c r="B476" s="17" t="s">
        <v>4189</v>
      </c>
      <c r="C476" s="17" t="s">
        <v>3790</v>
      </c>
      <c r="D476" s="17" t="s">
        <v>2669</v>
      </c>
      <c r="E476" s="17" t="s">
        <v>3543</v>
      </c>
      <c r="F476" s="17" t="s">
        <v>4189</v>
      </c>
      <c r="G476" s="17" t="s">
        <v>2671</v>
      </c>
      <c r="H476" s="17" t="s">
        <v>4312</v>
      </c>
      <c r="I476" s="17" t="s">
        <v>4237</v>
      </c>
      <c r="J476" s="17" t="s">
        <v>3544</v>
      </c>
      <c r="K476" s="17" t="s">
        <v>3174</v>
      </c>
      <c r="L476" s="17" t="s">
        <v>3972</v>
      </c>
      <c r="M476" s="17" t="s">
        <v>2669</v>
      </c>
      <c r="N476" s="17" t="s">
        <v>4189</v>
      </c>
      <c r="O476" s="17" t="s">
        <v>7635</v>
      </c>
      <c r="P476" s="17" t="s">
        <v>4190</v>
      </c>
      <c r="Q476" s="17" t="s">
        <v>2669</v>
      </c>
      <c r="R476" s="17" t="s">
        <v>4191</v>
      </c>
      <c r="S476" s="17" t="s">
        <v>7635</v>
      </c>
      <c r="T476" s="17" t="s">
        <v>4192</v>
      </c>
      <c r="U476" s="17"/>
      <c r="V476" s="17"/>
      <c r="W476" s="17"/>
      <c r="X476" s="17"/>
      <c r="Y476" s="17"/>
    </row>
    <row r="477" spans="1:25">
      <c r="A477" s="17" t="s">
        <v>4193</v>
      </c>
      <c r="B477" s="17" t="s">
        <v>4193</v>
      </c>
      <c r="C477" s="17" t="s">
        <v>3790</v>
      </c>
      <c r="D477" s="17" t="s">
        <v>2669</v>
      </c>
      <c r="E477" s="17" t="s">
        <v>3543</v>
      </c>
      <c r="F477" s="17" t="s">
        <v>4193</v>
      </c>
      <c r="G477" s="17" t="s">
        <v>2671</v>
      </c>
      <c r="H477" s="17" t="s">
        <v>6835</v>
      </c>
      <c r="I477" s="17" t="s">
        <v>4237</v>
      </c>
      <c r="J477" s="17" t="s">
        <v>3544</v>
      </c>
      <c r="K477" s="17" t="s">
        <v>3174</v>
      </c>
      <c r="L477" s="17" t="s">
        <v>3972</v>
      </c>
      <c r="M477" s="17" t="s">
        <v>2669</v>
      </c>
      <c r="N477" s="17" t="s">
        <v>4193</v>
      </c>
      <c r="O477" s="17" t="s">
        <v>7635</v>
      </c>
      <c r="P477" s="17" t="s">
        <v>4194</v>
      </c>
      <c r="Q477" s="17" t="s">
        <v>2669</v>
      </c>
      <c r="R477" s="17" t="s">
        <v>4195</v>
      </c>
      <c r="S477" s="17" t="s">
        <v>7635</v>
      </c>
      <c r="T477" s="17" t="s">
        <v>4196</v>
      </c>
      <c r="U477" s="17"/>
      <c r="V477" s="17"/>
      <c r="W477" s="17"/>
      <c r="X477" s="17"/>
      <c r="Y477" s="17"/>
    </row>
    <row r="478" spans="1:25">
      <c r="A478" s="17" t="s">
        <v>4197</v>
      </c>
      <c r="B478" s="17" t="s">
        <v>4197</v>
      </c>
      <c r="C478" s="17" t="s">
        <v>3795</v>
      </c>
      <c r="D478" s="17" t="s">
        <v>2669</v>
      </c>
      <c r="E478" s="17" t="s">
        <v>3543</v>
      </c>
      <c r="F478" s="17" t="s">
        <v>4197</v>
      </c>
      <c r="G478" s="17" t="s">
        <v>2671</v>
      </c>
      <c r="H478" s="17" t="s">
        <v>4312</v>
      </c>
      <c r="I478" s="17" t="s">
        <v>4237</v>
      </c>
      <c r="J478" s="17" t="s">
        <v>3544</v>
      </c>
      <c r="K478" s="17" t="s">
        <v>3180</v>
      </c>
      <c r="L478" s="17" t="s">
        <v>3972</v>
      </c>
      <c r="M478" s="17" t="s">
        <v>2669</v>
      </c>
      <c r="N478" s="17" t="s">
        <v>4197</v>
      </c>
      <c r="O478" s="17" t="s">
        <v>7635</v>
      </c>
      <c r="P478" s="17" t="s">
        <v>4198</v>
      </c>
      <c r="Q478" s="17" t="s">
        <v>2669</v>
      </c>
      <c r="R478" s="17" t="s">
        <v>4199</v>
      </c>
      <c r="S478" s="17" t="s">
        <v>7635</v>
      </c>
      <c r="T478" s="17" t="s">
        <v>4200</v>
      </c>
      <c r="U478" s="17"/>
      <c r="V478" s="17"/>
      <c r="W478" s="17"/>
      <c r="X478" s="17"/>
      <c r="Y478" s="17"/>
    </row>
    <row r="479" spans="1:25">
      <c r="A479" s="17" t="s">
        <v>4201</v>
      </c>
      <c r="B479" s="17" t="s">
        <v>4201</v>
      </c>
      <c r="C479" s="17" t="s">
        <v>3795</v>
      </c>
      <c r="D479" s="17" t="s">
        <v>2669</v>
      </c>
      <c r="E479" s="17" t="s">
        <v>3543</v>
      </c>
      <c r="F479" s="17" t="s">
        <v>4201</v>
      </c>
      <c r="G479" s="17" t="s">
        <v>2671</v>
      </c>
      <c r="H479" s="17" t="s">
        <v>6835</v>
      </c>
      <c r="I479" s="17" t="s">
        <v>4237</v>
      </c>
      <c r="J479" s="17" t="s">
        <v>3544</v>
      </c>
      <c r="K479" s="17" t="s">
        <v>3180</v>
      </c>
      <c r="L479" s="17" t="s">
        <v>3972</v>
      </c>
      <c r="M479" s="17" t="s">
        <v>2669</v>
      </c>
      <c r="N479" s="17" t="s">
        <v>4201</v>
      </c>
      <c r="O479" s="17" t="s">
        <v>7635</v>
      </c>
      <c r="P479" s="17" t="s">
        <v>4202</v>
      </c>
      <c r="Q479" s="17" t="s">
        <v>2669</v>
      </c>
      <c r="R479" s="17" t="s">
        <v>4203</v>
      </c>
      <c r="S479" s="17" t="s">
        <v>7635</v>
      </c>
      <c r="T479" s="17" t="s">
        <v>4204</v>
      </c>
      <c r="U479" s="17"/>
      <c r="V479" s="17"/>
      <c r="W479" s="17"/>
      <c r="X479" s="17"/>
      <c r="Y479" s="17"/>
    </row>
    <row r="480" spans="1:25">
      <c r="A480" s="17" t="s">
        <v>4205</v>
      </c>
      <c r="B480" s="17" t="s">
        <v>4205</v>
      </c>
      <c r="C480" s="17" t="s">
        <v>3800</v>
      </c>
      <c r="D480" s="17" t="s">
        <v>2669</v>
      </c>
      <c r="E480" s="17" t="s">
        <v>3543</v>
      </c>
      <c r="F480" s="17" t="s">
        <v>4205</v>
      </c>
      <c r="G480" s="17" t="s">
        <v>2671</v>
      </c>
      <c r="H480" s="17" t="s">
        <v>4312</v>
      </c>
      <c r="I480" s="17" t="s">
        <v>4237</v>
      </c>
      <c r="J480" s="17" t="s">
        <v>3544</v>
      </c>
      <c r="K480" s="17" t="s">
        <v>3186</v>
      </c>
      <c r="L480" s="17" t="s">
        <v>3972</v>
      </c>
      <c r="M480" s="17" t="s">
        <v>2669</v>
      </c>
      <c r="N480" s="17" t="s">
        <v>4205</v>
      </c>
      <c r="O480" s="17" t="s">
        <v>7635</v>
      </c>
      <c r="P480" s="17" t="s">
        <v>4206</v>
      </c>
      <c r="Q480" s="17" t="s">
        <v>2669</v>
      </c>
      <c r="R480" s="17" t="s">
        <v>4207</v>
      </c>
      <c r="S480" s="17" t="s">
        <v>7635</v>
      </c>
      <c r="T480" s="17" t="s">
        <v>4208</v>
      </c>
      <c r="U480" s="17"/>
      <c r="V480" s="17"/>
      <c r="W480" s="17"/>
      <c r="X480" s="17"/>
      <c r="Y480" s="17"/>
    </row>
    <row r="481" spans="1:25">
      <c r="A481" s="17" t="s">
        <v>4209</v>
      </c>
      <c r="B481" s="17" t="s">
        <v>4209</v>
      </c>
      <c r="C481" s="17" t="s">
        <v>3800</v>
      </c>
      <c r="D481" s="17" t="s">
        <v>2669</v>
      </c>
      <c r="E481" s="17" t="s">
        <v>3543</v>
      </c>
      <c r="F481" s="17" t="s">
        <v>4209</v>
      </c>
      <c r="G481" s="17" t="s">
        <v>2671</v>
      </c>
      <c r="H481" s="17" t="s">
        <v>6835</v>
      </c>
      <c r="I481" s="17" t="s">
        <v>4237</v>
      </c>
      <c r="J481" s="17" t="s">
        <v>3544</v>
      </c>
      <c r="K481" s="17" t="s">
        <v>3186</v>
      </c>
      <c r="L481" s="17" t="s">
        <v>3972</v>
      </c>
      <c r="M481" s="17" t="s">
        <v>2669</v>
      </c>
      <c r="N481" s="17" t="s">
        <v>4209</v>
      </c>
      <c r="O481" s="17" t="s">
        <v>7635</v>
      </c>
      <c r="P481" s="17" t="s">
        <v>4210</v>
      </c>
      <c r="Q481" s="17" t="s">
        <v>2669</v>
      </c>
      <c r="R481" s="17" t="s">
        <v>4211</v>
      </c>
      <c r="S481" s="17" t="s">
        <v>7635</v>
      </c>
      <c r="T481" s="17" t="s">
        <v>4212</v>
      </c>
      <c r="U481" s="17"/>
      <c r="V481" s="17"/>
      <c r="W481" s="17"/>
      <c r="X481" s="17"/>
      <c r="Y481" s="17"/>
    </row>
    <row r="482" spans="1:25">
      <c r="A482" s="17" t="s">
        <v>4213</v>
      </c>
      <c r="B482" s="17" t="s">
        <v>4213</v>
      </c>
      <c r="C482" s="17" t="s">
        <v>3805</v>
      </c>
      <c r="D482" s="17" t="s">
        <v>2669</v>
      </c>
      <c r="E482" s="17" t="s">
        <v>3543</v>
      </c>
      <c r="F482" s="17" t="s">
        <v>4213</v>
      </c>
      <c r="G482" s="17" t="s">
        <v>2671</v>
      </c>
      <c r="H482" s="17" t="s">
        <v>4312</v>
      </c>
      <c r="I482" s="17" t="s">
        <v>4237</v>
      </c>
      <c r="J482" s="17" t="s">
        <v>3544</v>
      </c>
      <c r="K482" s="17" t="s">
        <v>2952</v>
      </c>
      <c r="L482" s="17" t="s">
        <v>3972</v>
      </c>
      <c r="M482" s="17" t="s">
        <v>2669</v>
      </c>
      <c r="N482" s="17" t="s">
        <v>4213</v>
      </c>
      <c r="O482" s="17" t="s">
        <v>7635</v>
      </c>
      <c r="P482" s="17" t="s">
        <v>4214</v>
      </c>
      <c r="Q482" s="17" t="s">
        <v>2669</v>
      </c>
      <c r="R482" s="17" t="s">
        <v>4215</v>
      </c>
      <c r="S482" s="17" t="s">
        <v>7635</v>
      </c>
      <c r="T482" s="17" t="s">
        <v>4216</v>
      </c>
      <c r="U482" s="17"/>
      <c r="V482" s="17"/>
      <c r="W482" s="17"/>
      <c r="X482" s="17"/>
      <c r="Y482" s="17"/>
    </row>
    <row r="483" spans="1:25">
      <c r="A483" s="17" t="s">
        <v>4217</v>
      </c>
      <c r="B483" s="17" t="s">
        <v>4217</v>
      </c>
      <c r="C483" s="17" t="s">
        <v>3805</v>
      </c>
      <c r="D483" s="17" t="s">
        <v>2669</v>
      </c>
      <c r="E483" s="17" t="s">
        <v>3543</v>
      </c>
      <c r="F483" s="17" t="s">
        <v>4217</v>
      </c>
      <c r="G483" s="17" t="s">
        <v>2671</v>
      </c>
      <c r="H483" s="17" t="s">
        <v>6835</v>
      </c>
      <c r="I483" s="17" t="s">
        <v>4237</v>
      </c>
      <c r="J483" s="17" t="s">
        <v>3544</v>
      </c>
      <c r="K483" s="17" t="s">
        <v>2952</v>
      </c>
      <c r="L483" s="17" t="s">
        <v>3972</v>
      </c>
      <c r="M483" s="17" t="s">
        <v>2669</v>
      </c>
      <c r="N483" s="17" t="s">
        <v>4217</v>
      </c>
      <c r="O483" s="17" t="s">
        <v>7635</v>
      </c>
      <c r="P483" s="17" t="s">
        <v>4218</v>
      </c>
      <c r="Q483" s="17" t="s">
        <v>2669</v>
      </c>
      <c r="R483" s="17" t="s">
        <v>4219</v>
      </c>
      <c r="S483" s="17" t="s">
        <v>7635</v>
      </c>
      <c r="T483" s="17" t="s">
        <v>4220</v>
      </c>
      <c r="U483" s="17"/>
      <c r="V483" s="17"/>
      <c r="W483" s="17"/>
      <c r="X483" s="17"/>
      <c r="Y483" s="17"/>
    </row>
    <row r="484" spans="1:25">
      <c r="A484" s="17" t="s">
        <v>4221</v>
      </c>
      <c r="B484" s="17" t="s">
        <v>4221</v>
      </c>
      <c r="C484" s="17" t="s">
        <v>3810</v>
      </c>
      <c r="D484" s="17" t="s">
        <v>2669</v>
      </c>
      <c r="E484" s="17" t="s">
        <v>3543</v>
      </c>
      <c r="F484" s="17" t="s">
        <v>4221</v>
      </c>
      <c r="G484" s="17" t="s">
        <v>2671</v>
      </c>
      <c r="H484" s="17" t="s">
        <v>4312</v>
      </c>
      <c r="I484" s="17" t="s">
        <v>4237</v>
      </c>
      <c r="J484" s="17" t="s">
        <v>3544</v>
      </c>
      <c r="K484" s="17" t="s">
        <v>3197</v>
      </c>
      <c r="L484" s="17" t="s">
        <v>3972</v>
      </c>
      <c r="M484" s="17" t="s">
        <v>2669</v>
      </c>
      <c r="N484" s="17" t="s">
        <v>4221</v>
      </c>
      <c r="O484" s="17" t="s">
        <v>7635</v>
      </c>
      <c r="P484" s="17" t="s">
        <v>4222</v>
      </c>
      <c r="Q484" s="17" t="s">
        <v>2669</v>
      </c>
      <c r="R484" s="17" t="s">
        <v>4223</v>
      </c>
      <c r="S484" s="17" t="s">
        <v>7635</v>
      </c>
      <c r="T484" s="17" t="s">
        <v>4224</v>
      </c>
      <c r="U484" s="17"/>
      <c r="V484" s="17"/>
      <c r="W484" s="17"/>
      <c r="X484" s="17"/>
      <c r="Y484" s="17"/>
    </row>
    <row r="485" spans="1:25">
      <c r="A485" s="17" t="s">
        <v>4225</v>
      </c>
      <c r="B485" s="17" t="s">
        <v>4225</v>
      </c>
      <c r="C485" s="17" t="s">
        <v>3810</v>
      </c>
      <c r="D485" s="17" t="s">
        <v>2669</v>
      </c>
      <c r="E485" s="17" t="s">
        <v>3543</v>
      </c>
      <c r="F485" s="17" t="s">
        <v>4225</v>
      </c>
      <c r="G485" s="17" t="s">
        <v>2671</v>
      </c>
      <c r="H485" s="17" t="s">
        <v>6835</v>
      </c>
      <c r="I485" s="17" t="s">
        <v>4237</v>
      </c>
      <c r="J485" s="17" t="s">
        <v>3544</v>
      </c>
      <c r="K485" s="17" t="s">
        <v>3197</v>
      </c>
      <c r="L485" s="17" t="s">
        <v>3972</v>
      </c>
      <c r="M485" s="17" t="s">
        <v>2669</v>
      </c>
      <c r="N485" s="17" t="s">
        <v>4225</v>
      </c>
      <c r="O485" s="17" t="s">
        <v>7635</v>
      </c>
      <c r="P485" s="17" t="s">
        <v>4226</v>
      </c>
      <c r="Q485" s="17" t="s">
        <v>2669</v>
      </c>
      <c r="R485" s="17" t="s">
        <v>4227</v>
      </c>
      <c r="S485" s="17" t="s">
        <v>7635</v>
      </c>
      <c r="T485" s="17" t="s">
        <v>4228</v>
      </c>
      <c r="U485" s="17"/>
      <c r="V485" s="17"/>
      <c r="W485" s="17"/>
      <c r="X485" s="17"/>
      <c r="Y485" s="17"/>
    </row>
    <row r="486" spans="1:25">
      <c r="A486" s="17" t="s">
        <v>4229</v>
      </c>
      <c r="B486" s="17" t="s">
        <v>4229</v>
      </c>
      <c r="C486" s="17" t="s">
        <v>3815</v>
      </c>
      <c r="D486" s="17" t="s">
        <v>2669</v>
      </c>
      <c r="E486" s="17" t="s">
        <v>3543</v>
      </c>
      <c r="F486" s="17" t="s">
        <v>4229</v>
      </c>
      <c r="G486" s="17" t="s">
        <v>2671</v>
      </c>
      <c r="H486" s="17" t="s">
        <v>4312</v>
      </c>
      <c r="I486" s="17" t="s">
        <v>4237</v>
      </c>
      <c r="J486" s="17" t="s">
        <v>3544</v>
      </c>
      <c r="K486" s="17" t="s">
        <v>3203</v>
      </c>
      <c r="L486" s="17" t="s">
        <v>3972</v>
      </c>
      <c r="M486" s="17" t="s">
        <v>2669</v>
      </c>
      <c r="N486" s="17" t="s">
        <v>4229</v>
      </c>
      <c r="O486" s="17" t="s">
        <v>7635</v>
      </c>
      <c r="P486" s="17" t="s">
        <v>4230</v>
      </c>
      <c r="Q486" s="17" t="s">
        <v>2669</v>
      </c>
      <c r="R486" s="17" t="s">
        <v>4231</v>
      </c>
      <c r="S486" s="17" t="s">
        <v>7635</v>
      </c>
      <c r="T486" s="17" t="s">
        <v>4232</v>
      </c>
      <c r="U486" s="17"/>
      <c r="V486" s="17"/>
      <c r="W486" s="17"/>
      <c r="X486" s="17"/>
      <c r="Y486" s="17"/>
    </row>
    <row r="487" spans="1:25">
      <c r="A487" s="17" t="s">
        <v>4233</v>
      </c>
      <c r="B487" s="17" t="s">
        <v>4233</v>
      </c>
      <c r="C487" s="17" t="s">
        <v>3815</v>
      </c>
      <c r="D487" s="17" t="s">
        <v>2669</v>
      </c>
      <c r="E487" s="17" t="s">
        <v>3543</v>
      </c>
      <c r="F487" s="17" t="s">
        <v>4233</v>
      </c>
      <c r="G487" s="17" t="s">
        <v>2671</v>
      </c>
      <c r="H487" s="17" t="s">
        <v>6835</v>
      </c>
      <c r="I487" s="17" t="s">
        <v>4237</v>
      </c>
      <c r="J487" s="17" t="s">
        <v>3544</v>
      </c>
      <c r="K487" s="17" t="s">
        <v>3203</v>
      </c>
      <c r="L487" s="17" t="s">
        <v>3972</v>
      </c>
      <c r="M487" s="17" t="s">
        <v>2669</v>
      </c>
      <c r="N487" s="17" t="s">
        <v>4233</v>
      </c>
      <c r="O487" s="17" t="s">
        <v>7635</v>
      </c>
      <c r="P487" s="17" t="s">
        <v>4234</v>
      </c>
      <c r="Q487" s="17" t="s">
        <v>2669</v>
      </c>
      <c r="R487" s="17" t="s">
        <v>4235</v>
      </c>
      <c r="S487" s="17" t="s">
        <v>7635</v>
      </c>
      <c r="T487" s="17" t="s">
        <v>4236</v>
      </c>
      <c r="U487" s="17"/>
      <c r="V487" s="17"/>
      <c r="W487" s="17"/>
      <c r="X487" s="17"/>
      <c r="Y487" s="17"/>
    </row>
    <row r="488" spans="1:25">
      <c r="A488" s="17" t="s">
        <v>4253</v>
      </c>
      <c r="B488" s="17" t="s">
        <v>4253</v>
      </c>
      <c r="C488" s="17" t="s">
        <v>4249</v>
      </c>
      <c r="D488" s="17" t="s">
        <v>2659</v>
      </c>
      <c r="E488" s="17" t="s">
        <v>2968</v>
      </c>
      <c r="F488" s="17" t="s">
        <v>4253</v>
      </c>
      <c r="G488" s="17" t="s">
        <v>2671</v>
      </c>
      <c r="H488" s="17" t="s">
        <v>4247</v>
      </c>
      <c r="I488" s="17" t="s">
        <v>4237</v>
      </c>
      <c r="J488" s="17" t="s">
        <v>2969</v>
      </c>
      <c r="K488" s="17" t="s">
        <v>2873</v>
      </c>
      <c r="L488" s="17" t="s">
        <v>4607</v>
      </c>
      <c r="M488" s="17" t="s">
        <v>4638</v>
      </c>
      <c r="N488" s="17" t="s">
        <v>4253</v>
      </c>
      <c r="O488" s="17" t="s">
        <v>7635</v>
      </c>
      <c r="P488" s="17" t="s">
        <v>4637</v>
      </c>
      <c r="Q488" s="17" t="s">
        <v>4252</v>
      </c>
      <c r="R488" s="17" t="s">
        <v>4253</v>
      </c>
      <c r="S488" s="17" t="s">
        <v>4559</v>
      </c>
      <c r="T488" s="17" t="s">
        <v>4251</v>
      </c>
      <c r="U488" s="17" t="s">
        <v>2659</v>
      </c>
      <c r="V488" s="17" t="s">
        <v>4248</v>
      </c>
      <c r="W488" s="17" t="s">
        <v>4559</v>
      </c>
      <c r="X488" s="17" t="s">
        <v>4250</v>
      </c>
      <c r="Y488" s="17" t="s">
        <v>4727</v>
      </c>
    </row>
    <row r="489" spans="1:25">
      <c r="A489" s="17" t="s">
        <v>4254</v>
      </c>
      <c r="B489" s="17" t="s">
        <v>4254</v>
      </c>
      <c r="C489" s="17" t="s">
        <v>4249</v>
      </c>
      <c r="D489" s="17" t="s">
        <v>2659</v>
      </c>
      <c r="E489" s="17" t="s">
        <v>2968</v>
      </c>
      <c r="F489" s="17" t="s">
        <v>4254</v>
      </c>
      <c r="G489" s="17" t="s">
        <v>2671</v>
      </c>
      <c r="H489" s="17" t="s">
        <v>4247</v>
      </c>
      <c r="I489" s="17" t="s">
        <v>4237</v>
      </c>
      <c r="J489" s="17" t="s">
        <v>2969</v>
      </c>
      <c r="K489" s="17" t="s">
        <v>2923</v>
      </c>
      <c r="L489" s="17" t="s">
        <v>4607</v>
      </c>
      <c r="M489" s="17" t="s">
        <v>4638</v>
      </c>
      <c r="N489" s="17" t="s">
        <v>4254</v>
      </c>
      <c r="O489" s="17" t="s">
        <v>7635</v>
      </c>
      <c r="P489" s="17" t="s">
        <v>4639</v>
      </c>
      <c r="Q489" s="17" t="s">
        <v>4257</v>
      </c>
      <c r="R489" s="17" t="s">
        <v>4254</v>
      </c>
      <c r="S489" s="17" t="s">
        <v>4559</v>
      </c>
      <c r="T489" s="17" t="s">
        <v>4256</v>
      </c>
      <c r="U489" s="17" t="s">
        <v>4252</v>
      </c>
      <c r="V489" s="17"/>
      <c r="W489" s="17" t="s">
        <v>4559</v>
      </c>
      <c r="X489" s="17" t="s">
        <v>4255</v>
      </c>
      <c r="Y489" s="17"/>
    </row>
    <row r="490" spans="1:25">
      <c r="A490" s="17" t="s">
        <v>4714</v>
      </c>
      <c r="B490" s="17" t="s">
        <v>4714</v>
      </c>
      <c r="C490" s="17" t="s">
        <v>4715</v>
      </c>
      <c r="D490" s="17" t="s">
        <v>21</v>
      </c>
      <c r="E490" s="17" t="s">
        <v>2968</v>
      </c>
      <c r="F490" s="17"/>
      <c r="G490" s="17" t="s">
        <v>2671</v>
      </c>
      <c r="H490" s="17" t="s">
        <v>4247</v>
      </c>
      <c r="I490" s="17" t="s">
        <v>4237</v>
      </c>
      <c r="J490" s="17" t="s">
        <v>2969</v>
      </c>
      <c r="K490" s="17"/>
      <c r="L490" s="17" t="s">
        <v>4716</v>
      </c>
      <c r="M490" s="17"/>
      <c r="N490" s="17"/>
      <c r="O490" s="17"/>
      <c r="P490" s="17"/>
      <c r="Q490" s="17"/>
      <c r="R490" s="17"/>
      <c r="S490" s="17"/>
      <c r="T490" s="17"/>
      <c r="U490" s="48" t="s">
        <v>4717</v>
      </c>
      <c r="V490" s="48" t="s">
        <v>4714</v>
      </c>
      <c r="W490" s="17" t="s">
        <v>4559</v>
      </c>
      <c r="X490" s="48" t="s">
        <v>4718</v>
      </c>
      <c r="Y490" s="48" t="s">
        <v>4728</v>
      </c>
    </row>
    <row r="491" spans="1:25">
      <c r="A491" s="17" t="s">
        <v>4640</v>
      </c>
      <c r="B491" s="17" t="s">
        <v>4258</v>
      </c>
      <c r="C491" s="17" t="s">
        <v>4645</v>
      </c>
      <c r="D491" s="17" t="s">
        <v>21</v>
      </c>
      <c r="E491" s="17">
        <v>603</v>
      </c>
      <c r="F491" s="17" t="s">
        <v>4263</v>
      </c>
      <c r="G491" s="17" t="s">
        <v>2671</v>
      </c>
      <c r="H491" s="17" t="s">
        <v>4269</v>
      </c>
      <c r="I491" s="17" t="s">
        <v>3870</v>
      </c>
      <c r="J491" s="17" t="s">
        <v>4274</v>
      </c>
      <c r="K491" s="17" t="s">
        <v>4263</v>
      </c>
      <c r="L491" s="17" t="s">
        <v>4288</v>
      </c>
      <c r="M491" s="17" t="s">
        <v>4279</v>
      </c>
      <c r="N491" s="17" t="s">
        <v>4287</v>
      </c>
      <c r="O491" s="17" t="s">
        <v>7635</v>
      </c>
      <c r="P491" s="17" t="s">
        <v>4289</v>
      </c>
      <c r="Q491" s="17"/>
      <c r="R491" s="17"/>
      <c r="S491" s="17"/>
      <c r="T491" s="17"/>
      <c r="U491" s="48" t="s">
        <v>4681</v>
      </c>
      <c r="V491" s="48" t="s">
        <v>4689</v>
      </c>
      <c r="W491" s="17" t="s">
        <v>4559</v>
      </c>
      <c r="X491" s="48" t="s">
        <v>4690</v>
      </c>
      <c r="Y491" s="48" t="s">
        <v>4728</v>
      </c>
    </row>
    <row r="492" spans="1:25">
      <c r="A492" s="17" t="s">
        <v>4641</v>
      </c>
      <c r="B492" s="17" t="s">
        <v>4259</v>
      </c>
      <c r="C492" s="17" t="s">
        <v>4646</v>
      </c>
      <c r="D492" s="17" t="s">
        <v>21</v>
      </c>
      <c r="E492" s="17">
        <v>603</v>
      </c>
      <c r="F492" s="17" t="s">
        <v>4264</v>
      </c>
      <c r="G492" s="17" t="s">
        <v>2671</v>
      </c>
      <c r="H492" s="17" t="s">
        <v>4268</v>
      </c>
      <c r="I492" s="17" t="s">
        <v>3870</v>
      </c>
      <c r="J492" s="17" t="s">
        <v>4273</v>
      </c>
      <c r="K492" s="17" t="s">
        <v>4264</v>
      </c>
      <c r="L492" s="17" t="s">
        <v>4285</v>
      </c>
      <c r="M492" s="17" t="s">
        <v>4279</v>
      </c>
      <c r="N492" s="17" t="s">
        <v>4284</v>
      </c>
      <c r="O492" s="17" t="s">
        <v>7635</v>
      </c>
      <c r="P492" s="17" t="s">
        <v>4286</v>
      </c>
      <c r="Q492" s="17"/>
      <c r="R492" s="17"/>
      <c r="S492" s="17"/>
      <c r="T492" s="17"/>
      <c r="U492" s="17" t="s">
        <v>4692</v>
      </c>
      <c r="V492" s="17" t="s">
        <v>4691</v>
      </c>
      <c r="W492" s="17" t="s">
        <v>4559</v>
      </c>
      <c r="X492" s="48" t="s">
        <v>4693</v>
      </c>
      <c r="Y492" s="17" t="s">
        <v>4728</v>
      </c>
    </row>
    <row r="493" spans="1:25">
      <c r="A493" s="17" t="s">
        <v>4642</v>
      </c>
      <c r="B493" s="17" t="s">
        <v>4260</v>
      </c>
      <c r="C493" s="17" t="s">
        <v>4647</v>
      </c>
      <c r="D493" s="17" t="s">
        <v>21</v>
      </c>
      <c r="E493" s="17">
        <v>603</v>
      </c>
      <c r="F493" s="17" t="s">
        <v>4265</v>
      </c>
      <c r="G493" s="17" t="s">
        <v>2671</v>
      </c>
      <c r="H493" s="17" t="s">
        <v>4270</v>
      </c>
      <c r="I493" s="17" t="s">
        <v>3870</v>
      </c>
      <c r="J493" s="17" t="s">
        <v>4275</v>
      </c>
      <c r="K493" s="17" t="s">
        <v>4265</v>
      </c>
      <c r="L493" s="17" t="s">
        <v>4282</v>
      </c>
      <c r="M493" s="17" t="s">
        <v>4279</v>
      </c>
      <c r="N493" s="17" t="s">
        <v>4281</v>
      </c>
      <c r="O493" s="17" t="s">
        <v>7635</v>
      </c>
      <c r="P493" s="17" t="s">
        <v>4283</v>
      </c>
      <c r="Q493" s="17"/>
      <c r="R493" s="17"/>
      <c r="S493" s="17"/>
      <c r="T493" s="17"/>
      <c r="U493" s="17" t="s">
        <v>4692</v>
      </c>
      <c r="V493" s="17" t="s">
        <v>4694</v>
      </c>
      <c r="W493" s="17" t="s">
        <v>4559</v>
      </c>
      <c r="X493" s="48" t="s">
        <v>4695</v>
      </c>
      <c r="Y493" s="17" t="s">
        <v>4728</v>
      </c>
    </row>
    <row r="494" spans="1:25">
      <c r="A494" s="17" t="s">
        <v>4643</v>
      </c>
      <c r="B494" s="17" t="s">
        <v>4261</v>
      </c>
      <c r="C494" s="17" t="s">
        <v>4648</v>
      </c>
      <c r="D494" s="17" t="s">
        <v>21</v>
      </c>
      <c r="E494" s="17">
        <v>603</v>
      </c>
      <c r="F494" s="17" t="s">
        <v>4266</v>
      </c>
      <c r="G494" s="17" t="s">
        <v>2671</v>
      </c>
      <c r="H494" s="17" t="s">
        <v>4271</v>
      </c>
      <c r="I494" s="17" t="s">
        <v>3870</v>
      </c>
      <c r="J494" s="17" t="s">
        <v>4276</v>
      </c>
      <c r="K494" s="17" t="s">
        <v>4266</v>
      </c>
      <c r="L494" s="17" t="s">
        <v>4290</v>
      </c>
      <c r="M494" s="17" t="s">
        <v>4279</v>
      </c>
      <c r="N494" s="17" t="s">
        <v>4278</v>
      </c>
      <c r="O494" s="17" t="s">
        <v>7635</v>
      </c>
      <c r="P494" s="17" t="s">
        <v>4280</v>
      </c>
      <c r="Q494" s="17"/>
      <c r="R494" s="17"/>
      <c r="S494" s="17"/>
      <c r="T494" s="17"/>
      <c r="U494" s="48" t="s">
        <v>4692</v>
      </c>
      <c r="V494" s="48" t="s">
        <v>4698</v>
      </c>
      <c r="W494" s="17" t="s">
        <v>4559</v>
      </c>
      <c r="X494" s="48" t="s">
        <v>4699</v>
      </c>
      <c r="Y494" s="48" t="s">
        <v>4728</v>
      </c>
    </row>
    <row r="495" spans="1:25">
      <c r="A495" s="17" t="s">
        <v>4644</v>
      </c>
      <c r="B495" s="17" t="s">
        <v>4262</v>
      </c>
      <c r="C495" s="17" t="s">
        <v>4649</v>
      </c>
      <c r="D495" s="17" t="s">
        <v>21</v>
      </c>
      <c r="E495" s="17">
        <v>603</v>
      </c>
      <c r="F495" s="17" t="s">
        <v>4267</v>
      </c>
      <c r="G495" s="17" t="s">
        <v>2671</v>
      </c>
      <c r="H495" s="17" t="s">
        <v>4272</v>
      </c>
      <c r="I495" s="17" t="s">
        <v>3870</v>
      </c>
      <c r="J495" s="17" t="s">
        <v>4277</v>
      </c>
      <c r="K495" s="17" t="s">
        <v>4267</v>
      </c>
      <c r="L495" s="17" t="s">
        <v>4294</v>
      </c>
      <c r="M495" s="17" t="s">
        <v>4293</v>
      </c>
      <c r="N495" s="17" t="s">
        <v>4292</v>
      </c>
      <c r="O495" s="17" t="s">
        <v>7635</v>
      </c>
      <c r="P495" s="17" t="s">
        <v>4291</v>
      </c>
      <c r="Q495" s="17"/>
      <c r="R495" s="17"/>
      <c r="S495" s="17"/>
      <c r="T495" s="17"/>
      <c r="U495" s="48" t="s">
        <v>4681</v>
      </c>
      <c r="V495" s="48" t="s">
        <v>4696</v>
      </c>
      <c r="W495" s="17" t="s">
        <v>4559</v>
      </c>
      <c r="X495" s="48" t="s">
        <v>4697</v>
      </c>
      <c r="Y495" s="48" t="s">
        <v>4728</v>
      </c>
    </row>
    <row r="496" spans="1:25">
      <c r="A496" s="17" t="s">
        <v>4411</v>
      </c>
      <c r="B496" s="17" t="s">
        <v>4411</v>
      </c>
      <c r="C496" s="17" t="s">
        <v>4413</v>
      </c>
      <c r="D496" s="17" t="s">
        <v>4414</v>
      </c>
      <c r="E496" s="17" t="s">
        <v>4415</v>
      </c>
      <c r="F496" s="17" t="s">
        <v>4416</v>
      </c>
      <c r="G496" s="17" t="s">
        <v>2671</v>
      </c>
      <c r="H496" s="17" t="s">
        <v>4247</v>
      </c>
      <c r="I496" s="17" t="s">
        <v>2672</v>
      </c>
      <c r="J496" s="17" t="s">
        <v>4412</v>
      </c>
      <c r="K496" s="17" t="s">
        <v>2934</v>
      </c>
      <c r="L496" s="17" t="s">
        <v>4417</v>
      </c>
      <c r="M496" s="17" t="s">
        <v>4418</v>
      </c>
      <c r="N496" s="17" t="s">
        <v>4411</v>
      </c>
      <c r="O496" s="17" t="s">
        <v>7635</v>
      </c>
      <c r="P496" s="17" t="s">
        <v>4419</v>
      </c>
      <c r="Q496" s="17"/>
      <c r="R496" s="17"/>
      <c r="S496" s="17"/>
      <c r="T496" s="17"/>
      <c r="U496" s="17" t="s">
        <v>4420</v>
      </c>
      <c r="V496" s="17" t="s">
        <v>4411</v>
      </c>
      <c r="W496" s="17" t="s">
        <v>4559</v>
      </c>
      <c r="X496" s="17" t="s">
        <v>4421</v>
      </c>
      <c r="Y496" s="17" t="s">
        <v>4727</v>
      </c>
    </row>
    <row r="497" spans="1:25">
      <c r="A497" s="17" t="s">
        <v>4650</v>
      </c>
      <c r="B497" s="17" t="s">
        <v>4258</v>
      </c>
      <c r="C497" s="17" t="s">
        <v>4655</v>
      </c>
      <c r="D497" s="17" t="s">
        <v>21</v>
      </c>
      <c r="E497" s="17">
        <v>805</v>
      </c>
      <c r="F497" s="17" t="s">
        <v>4263</v>
      </c>
      <c r="G497" s="17" t="s">
        <v>2671</v>
      </c>
      <c r="H497" s="17" t="s">
        <v>4269</v>
      </c>
      <c r="I497" s="17" t="s">
        <v>3870</v>
      </c>
      <c r="J497" s="17" t="s">
        <v>4660</v>
      </c>
      <c r="K497" s="17" t="s">
        <v>4263</v>
      </c>
      <c r="L497" s="17" t="s">
        <v>4288</v>
      </c>
      <c r="M497" s="17" t="s">
        <v>4279</v>
      </c>
      <c r="N497" s="17" t="s">
        <v>4666</v>
      </c>
      <c r="O497" s="17" t="s">
        <v>7635</v>
      </c>
      <c r="P497" s="17" t="s">
        <v>4670</v>
      </c>
      <c r="Q497" s="17"/>
      <c r="R497" s="17"/>
      <c r="S497" s="17"/>
      <c r="T497" s="17"/>
      <c r="U497" s="17" t="s">
        <v>4678</v>
      </c>
      <c r="V497" s="17" t="s">
        <v>4677</v>
      </c>
      <c r="W497" s="17" t="s">
        <v>4559</v>
      </c>
      <c r="X497" s="17" t="s">
        <v>4676</v>
      </c>
      <c r="Y497" s="17" t="s">
        <v>4728</v>
      </c>
    </row>
    <row r="498" spans="1:25">
      <c r="A498" s="17" t="s">
        <v>4651</v>
      </c>
      <c r="B498" s="17" t="s">
        <v>4259</v>
      </c>
      <c r="C498" s="17" t="s">
        <v>4656</v>
      </c>
      <c r="D498" s="17" t="s">
        <v>21</v>
      </c>
      <c r="E498" s="17">
        <v>805</v>
      </c>
      <c r="F498" s="17" t="s">
        <v>4264</v>
      </c>
      <c r="G498" s="17" t="s">
        <v>2671</v>
      </c>
      <c r="H498" s="17" t="s">
        <v>4268</v>
      </c>
      <c r="I498" s="17" t="s">
        <v>3870</v>
      </c>
      <c r="J498" s="17" t="s">
        <v>4661</v>
      </c>
      <c r="K498" s="17" t="s">
        <v>4264</v>
      </c>
      <c r="L498" s="17" t="s">
        <v>4285</v>
      </c>
      <c r="M498" s="17" t="s">
        <v>4279</v>
      </c>
      <c r="N498" s="17" t="s">
        <v>4665</v>
      </c>
      <c r="O498" s="17" t="s">
        <v>7635</v>
      </c>
      <c r="P498" s="17" t="s">
        <v>4669</v>
      </c>
      <c r="Q498" s="17"/>
      <c r="R498" s="17"/>
      <c r="S498" s="17"/>
      <c r="T498" s="17"/>
      <c r="U498" s="48" t="s">
        <v>4687</v>
      </c>
      <c r="V498" s="48" t="s">
        <v>4688</v>
      </c>
      <c r="W498" s="17" t="s">
        <v>4559</v>
      </c>
      <c r="X498" s="48" t="s">
        <v>4686</v>
      </c>
      <c r="Y498" s="48" t="s">
        <v>4727</v>
      </c>
    </row>
    <row r="499" spans="1:25">
      <c r="A499" s="17" t="s">
        <v>4652</v>
      </c>
      <c r="B499" s="17" t="s">
        <v>4260</v>
      </c>
      <c r="C499" s="17" t="s">
        <v>4657</v>
      </c>
      <c r="D499" s="17" t="s">
        <v>21</v>
      </c>
      <c r="E499" s="17">
        <v>805</v>
      </c>
      <c r="F499" s="17" t="s">
        <v>4265</v>
      </c>
      <c r="G499" s="17" t="s">
        <v>2671</v>
      </c>
      <c r="H499" s="17" t="s">
        <v>4270</v>
      </c>
      <c r="I499" s="17" t="s">
        <v>3870</v>
      </c>
      <c r="J499" s="17" t="s">
        <v>4662</v>
      </c>
      <c r="K499" s="17" t="s">
        <v>4265</v>
      </c>
      <c r="L499" s="17" t="s">
        <v>4282</v>
      </c>
      <c r="M499" s="17" t="s">
        <v>4279</v>
      </c>
      <c r="N499" s="17" t="s">
        <v>4667</v>
      </c>
      <c r="O499" s="17" t="s">
        <v>7635</v>
      </c>
      <c r="P499" s="17" t="s">
        <v>4671</v>
      </c>
      <c r="Q499" s="17"/>
      <c r="R499" s="17"/>
      <c r="S499" s="17"/>
      <c r="T499" s="17"/>
      <c r="U499" s="17" t="s">
        <v>4681</v>
      </c>
      <c r="V499" s="48" t="s">
        <v>4682</v>
      </c>
      <c r="W499" s="17" t="s">
        <v>4559</v>
      </c>
      <c r="X499" s="48" t="s">
        <v>4683</v>
      </c>
      <c r="Y499" s="48" t="s">
        <v>4728</v>
      </c>
    </row>
    <row r="500" spans="1:25">
      <c r="A500" s="17" t="s">
        <v>4653</v>
      </c>
      <c r="B500" s="17" t="s">
        <v>4261</v>
      </c>
      <c r="C500" s="17" t="s">
        <v>4659</v>
      </c>
      <c r="D500" s="17" t="s">
        <v>21</v>
      </c>
      <c r="E500" s="17">
        <v>805</v>
      </c>
      <c r="F500" s="17" t="s">
        <v>4266</v>
      </c>
      <c r="G500" s="17" t="s">
        <v>2671</v>
      </c>
      <c r="H500" s="17" t="s">
        <v>4271</v>
      </c>
      <c r="I500" s="17" t="s">
        <v>3870</v>
      </c>
      <c r="J500" s="17" t="s">
        <v>4663</v>
      </c>
      <c r="K500" s="17" t="s">
        <v>4266</v>
      </c>
      <c r="L500" s="17" t="s">
        <v>4290</v>
      </c>
      <c r="M500" s="17" t="s">
        <v>4279</v>
      </c>
      <c r="N500" s="17" t="s">
        <v>4668</v>
      </c>
      <c r="O500" s="17" t="s">
        <v>7635</v>
      </c>
      <c r="P500" s="17" t="s">
        <v>4672</v>
      </c>
      <c r="Q500" s="17"/>
      <c r="R500" s="17"/>
      <c r="S500" s="17"/>
      <c r="T500" s="17"/>
      <c r="U500" s="17" t="s">
        <v>4681</v>
      </c>
      <c r="V500" s="48" t="s">
        <v>4680</v>
      </c>
      <c r="W500" s="17" t="s">
        <v>4559</v>
      </c>
      <c r="X500" s="48" t="s">
        <v>4679</v>
      </c>
      <c r="Y500" s="48" t="s">
        <v>4728</v>
      </c>
    </row>
    <row r="501" spans="1:25">
      <c r="A501" s="17" t="s">
        <v>4654</v>
      </c>
      <c r="B501" s="17" t="s">
        <v>4262</v>
      </c>
      <c r="C501" s="17" t="s">
        <v>4658</v>
      </c>
      <c r="D501" s="17" t="s">
        <v>21</v>
      </c>
      <c r="E501" s="17">
        <v>805</v>
      </c>
      <c r="F501" s="17" t="s">
        <v>4267</v>
      </c>
      <c r="G501" s="17" t="s">
        <v>2671</v>
      </c>
      <c r="H501" s="17" t="s">
        <v>4272</v>
      </c>
      <c r="I501" s="17" t="s">
        <v>3870</v>
      </c>
      <c r="J501" s="17" t="s">
        <v>4664</v>
      </c>
      <c r="K501" s="17" t="s">
        <v>4267</v>
      </c>
      <c r="L501" s="17" t="s">
        <v>4294</v>
      </c>
      <c r="M501" s="17" t="s">
        <v>4675</v>
      </c>
      <c r="N501" s="17" t="s">
        <v>4674</v>
      </c>
      <c r="O501" s="17" t="s">
        <v>7635</v>
      </c>
      <c r="P501" s="17" t="s">
        <v>4673</v>
      </c>
      <c r="Q501" s="17"/>
      <c r="R501" s="17"/>
      <c r="S501" s="17"/>
      <c r="T501" s="17"/>
      <c r="U501" s="17" t="s">
        <v>4681</v>
      </c>
      <c r="V501" s="48" t="s">
        <v>4684</v>
      </c>
      <c r="W501" s="17" t="s">
        <v>4559</v>
      </c>
      <c r="X501" s="48" t="s">
        <v>4685</v>
      </c>
      <c r="Y501" s="48" t="s">
        <v>4728</v>
      </c>
    </row>
    <row r="502" spans="1:25">
      <c r="A502" s="48" t="s">
        <v>4700</v>
      </c>
      <c r="B502" s="48" t="s">
        <v>4700</v>
      </c>
      <c r="C502" s="48" t="s">
        <v>4701</v>
      </c>
      <c r="D502" s="17" t="s">
        <v>21</v>
      </c>
      <c r="E502" s="48" t="s">
        <v>4702</v>
      </c>
      <c r="F502" s="48" t="s">
        <v>4700</v>
      </c>
      <c r="G502" s="17" t="s">
        <v>2671</v>
      </c>
      <c r="H502" s="17" t="s">
        <v>4247</v>
      </c>
      <c r="I502" s="17" t="s">
        <v>2672</v>
      </c>
      <c r="J502" s="17" t="s">
        <v>4722</v>
      </c>
      <c r="K502" s="17" t="s">
        <v>2873</v>
      </c>
      <c r="L502" s="17" t="s">
        <v>4703</v>
      </c>
      <c r="M502" s="17"/>
      <c r="N502" s="17"/>
      <c r="O502" s="17"/>
      <c r="P502" s="17"/>
      <c r="Q502" s="17"/>
      <c r="R502" s="17"/>
      <c r="S502" s="17"/>
      <c r="T502" s="17"/>
      <c r="U502" s="17" t="s">
        <v>4704</v>
      </c>
      <c r="V502" s="48" t="s">
        <v>4700</v>
      </c>
      <c r="W502" s="17" t="s">
        <v>4559</v>
      </c>
      <c r="X502" s="48" t="s">
        <v>4705</v>
      </c>
      <c r="Y502" s="48" t="s">
        <v>4728</v>
      </c>
    </row>
    <row r="503" spans="1:25">
      <c r="A503" s="17" t="s">
        <v>4706</v>
      </c>
      <c r="B503" s="17" t="s">
        <v>4706</v>
      </c>
      <c r="C503" s="48" t="s">
        <v>4707</v>
      </c>
      <c r="D503" s="17" t="s">
        <v>2669</v>
      </c>
      <c r="E503" s="48" t="s">
        <v>4708</v>
      </c>
      <c r="F503" s="17" t="s">
        <v>4706</v>
      </c>
      <c r="G503" s="17" t="s">
        <v>2671</v>
      </c>
      <c r="H503" s="17" t="s">
        <v>4312</v>
      </c>
      <c r="I503" s="17" t="s">
        <v>4237</v>
      </c>
      <c r="J503" s="17" t="s">
        <v>3259</v>
      </c>
      <c r="K503" s="17" t="s">
        <v>4709</v>
      </c>
      <c r="L503" s="17" t="s">
        <v>4710</v>
      </c>
      <c r="M503" s="17"/>
      <c r="N503" s="17"/>
      <c r="O503" s="17"/>
      <c r="P503" s="17"/>
      <c r="Q503" s="17"/>
      <c r="R503" s="17"/>
      <c r="S503" s="17"/>
      <c r="T503" s="17"/>
      <c r="U503" s="48" t="s">
        <v>4712</v>
      </c>
      <c r="V503" s="17" t="s">
        <v>4713</v>
      </c>
      <c r="W503" s="17" t="s">
        <v>4559</v>
      </c>
      <c r="X503" s="48" t="s">
        <v>4711</v>
      </c>
      <c r="Y503" s="48" t="s">
        <v>4728</v>
      </c>
    </row>
    <row r="504" spans="1:25">
      <c r="A504" s="48" t="s">
        <v>4719</v>
      </c>
      <c r="B504" s="48" t="s">
        <v>4719</v>
      </c>
      <c r="C504" s="48" t="s">
        <v>4720</v>
      </c>
      <c r="D504" s="17" t="s">
        <v>21</v>
      </c>
      <c r="E504" s="48" t="s">
        <v>4721</v>
      </c>
      <c r="F504" s="48" t="s">
        <v>4719</v>
      </c>
      <c r="G504" s="17" t="s">
        <v>2671</v>
      </c>
      <c r="H504" s="17" t="s">
        <v>4247</v>
      </c>
      <c r="I504" s="17" t="s">
        <v>2672</v>
      </c>
      <c r="J504" s="17" t="s">
        <v>4723</v>
      </c>
      <c r="K504" s="17" t="s">
        <v>2873</v>
      </c>
      <c r="L504" s="17" t="s">
        <v>4724</v>
      </c>
      <c r="M504" s="17" t="s">
        <v>6343</v>
      </c>
      <c r="N504" s="17" t="s">
        <v>12638</v>
      </c>
      <c r="O504" s="17" t="s">
        <v>7635</v>
      </c>
      <c r="P504" s="17" t="s">
        <v>12639</v>
      </c>
      <c r="Q504" s="17"/>
      <c r="R504" s="17"/>
      <c r="S504" s="17"/>
      <c r="T504" s="17"/>
      <c r="U504" s="17" t="s">
        <v>4396</v>
      </c>
      <c r="V504" s="17" t="s">
        <v>4719</v>
      </c>
      <c r="W504" s="17" t="s">
        <v>4559</v>
      </c>
      <c r="X504" s="48" t="s">
        <v>4725</v>
      </c>
      <c r="Y504" s="48" t="s">
        <v>4728</v>
      </c>
    </row>
    <row r="505" spans="1:25">
      <c r="A505" s="17" t="s">
        <v>6197</v>
      </c>
      <c r="B505" s="17" t="s">
        <v>6197</v>
      </c>
      <c r="C505" s="48" t="s">
        <v>6198</v>
      </c>
      <c r="D505" s="17" t="s">
        <v>21</v>
      </c>
      <c r="E505" s="48" t="s">
        <v>6199</v>
      </c>
      <c r="F505" s="17" t="s">
        <v>6197</v>
      </c>
      <c r="G505" s="17" t="s">
        <v>2671</v>
      </c>
      <c r="H505" s="17" t="s">
        <v>4247</v>
      </c>
      <c r="I505" s="17" t="s">
        <v>2672</v>
      </c>
      <c r="J505" s="17" t="s">
        <v>6200</v>
      </c>
      <c r="K505" s="17" t="s">
        <v>3168</v>
      </c>
      <c r="L505" s="17" t="s">
        <v>6201</v>
      </c>
      <c r="M505" s="17" t="s">
        <v>4418</v>
      </c>
      <c r="N505" s="17" t="s">
        <v>6197</v>
      </c>
      <c r="O505" s="17" t="s">
        <v>7635</v>
      </c>
      <c r="P505" s="17" t="s">
        <v>6202</v>
      </c>
      <c r="Q505" s="17"/>
      <c r="R505" s="17"/>
      <c r="S505" s="17"/>
      <c r="T505" s="17"/>
      <c r="U505" s="17"/>
      <c r="V505" s="17"/>
      <c r="W505" s="17"/>
      <c r="X505" s="17"/>
      <c r="Y505" s="17"/>
    </row>
    <row r="506" spans="1:25">
      <c r="A506" s="50" t="s">
        <v>6204</v>
      </c>
      <c r="B506" s="50" t="s">
        <v>6204</v>
      </c>
      <c r="C506" s="17" t="s">
        <v>6205</v>
      </c>
      <c r="D506" s="17" t="s">
        <v>21</v>
      </c>
      <c r="E506" s="17" t="s">
        <v>3258</v>
      </c>
      <c r="F506" s="50" t="s">
        <v>6204</v>
      </c>
      <c r="G506" s="17" t="s">
        <v>2671</v>
      </c>
      <c r="H506" s="17" t="s">
        <v>4247</v>
      </c>
      <c r="I506" s="17" t="s">
        <v>4237</v>
      </c>
      <c r="J506" s="17" t="s">
        <v>3259</v>
      </c>
      <c r="K506" s="17" t="s">
        <v>3168</v>
      </c>
      <c r="L506" s="17" t="s">
        <v>6209</v>
      </c>
      <c r="M506" s="17" t="s">
        <v>4638</v>
      </c>
      <c r="N506" s="17" t="s">
        <v>6204</v>
      </c>
      <c r="O506" s="17" t="s">
        <v>7635</v>
      </c>
      <c r="P506" s="17" t="s">
        <v>6208</v>
      </c>
      <c r="Q506" s="17"/>
      <c r="R506" s="17"/>
      <c r="S506" s="17"/>
      <c r="T506" s="17"/>
      <c r="U506" s="17" t="s">
        <v>6207</v>
      </c>
      <c r="V506" s="50" t="s">
        <v>6203</v>
      </c>
      <c r="W506" s="17" t="s">
        <v>4559</v>
      </c>
      <c r="X506" s="17" t="s">
        <v>6206</v>
      </c>
      <c r="Y506" s="17"/>
    </row>
    <row r="507" spans="1:25">
      <c r="A507" s="17" t="s">
        <v>6216</v>
      </c>
      <c r="B507" s="17" t="s">
        <v>6216</v>
      </c>
      <c r="C507" s="17" t="s">
        <v>6220</v>
      </c>
      <c r="D507" s="17" t="s">
        <v>6216</v>
      </c>
      <c r="E507" s="17" t="s">
        <v>3258</v>
      </c>
      <c r="F507" s="17" t="s">
        <v>6216</v>
      </c>
      <c r="G507" s="17" t="s">
        <v>2671</v>
      </c>
      <c r="H507" s="17" t="s">
        <v>4247</v>
      </c>
      <c r="I507" s="17" t="s">
        <v>4237</v>
      </c>
      <c r="J507" s="17" t="s">
        <v>3259</v>
      </c>
      <c r="K507" s="17" t="s">
        <v>3168</v>
      </c>
      <c r="L507" s="17" t="s">
        <v>6219</v>
      </c>
      <c r="M507" s="17" t="s">
        <v>6218</v>
      </c>
      <c r="N507" s="17" t="s">
        <v>6216</v>
      </c>
      <c r="O507" s="17" t="s">
        <v>7635</v>
      </c>
      <c r="P507" s="17" t="s">
        <v>6217</v>
      </c>
      <c r="Q507" s="17"/>
      <c r="R507" s="17"/>
      <c r="S507" s="17"/>
      <c r="T507" s="17"/>
      <c r="U507" s="17"/>
      <c r="V507" s="17"/>
      <c r="W507" s="17"/>
      <c r="X507" s="17"/>
      <c r="Y507" s="17"/>
    </row>
    <row r="508" spans="1:25">
      <c r="A508" s="17" t="s">
        <v>6210</v>
      </c>
      <c r="B508" s="17" t="s">
        <v>6210</v>
      </c>
      <c r="C508" s="17" t="s">
        <v>6211</v>
      </c>
      <c r="D508" s="17" t="s">
        <v>21</v>
      </c>
      <c r="E508" s="17" t="s">
        <v>3258</v>
      </c>
      <c r="F508" s="17" t="s">
        <v>6210</v>
      </c>
      <c r="G508" s="17" t="s">
        <v>2671</v>
      </c>
      <c r="H508" s="17" t="s">
        <v>4247</v>
      </c>
      <c r="I508" s="17" t="s">
        <v>4237</v>
      </c>
      <c r="J508" s="17" t="s">
        <v>3259</v>
      </c>
      <c r="K508" s="17" t="s">
        <v>3168</v>
      </c>
      <c r="L508" s="17" t="s">
        <v>6212</v>
      </c>
      <c r="M508" s="17" t="s">
        <v>4393</v>
      </c>
      <c r="N508" s="17" t="s">
        <v>6210</v>
      </c>
      <c r="O508" s="17" t="s">
        <v>7635</v>
      </c>
      <c r="P508" s="17" t="s">
        <v>6213</v>
      </c>
      <c r="Q508" s="17"/>
      <c r="R508" s="17"/>
      <c r="S508" s="17"/>
      <c r="T508" s="17"/>
      <c r="U508" s="17" t="s">
        <v>6214</v>
      </c>
      <c r="V508" s="50" t="s">
        <v>6213</v>
      </c>
      <c r="W508" s="17" t="s">
        <v>4559</v>
      </c>
      <c r="X508" s="50" t="s">
        <v>6215</v>
      </c>
      <c r="Y508" s="17"/>
    </row>
    <row r="509" spans="1:25">
      <c r="A509" s="17" t="s">
        <v>6221</v>
      </c>
      <c r="B509" s="17" t="s">
        <v>6221</v>
      </c>
      <c r="C509" s="17" t="s">
        <v>6222</v>
      </c>
      <c r="D509" s="17" t="s">
        <v>6223</v>
      </c>
      <c r="E509" s="17" t="s">
        <v>6228</v>
      </c>
      <c r="F509" s="17" t="s">
        <v>6221</v>
      </c>
      <c r="G509" s="17" t="s">
        <v>2671</v>
      </c>
      <c r="H509" s="17" t="s">
        <v>6227</v>
      </c>
      <c r="I509" s="17" t="s">
        <v>3870</v>
      </c>
      <c r="J509" s="17" t="s">
        <v>6228</v>
      </c>
      <c r="K509" s="17" t="s">
        <v>6226</v>
      </c>
      <c r="L509" s="17" t="s">
        <v>6225</v>
      </c>
      <c r="M509" s="17" t="s">
        <v>6223</v>
      </c>
      <c r="N509" s="17" t="s">
        <v>6221</v>
      </c>
      <c r="O509" s="17" t="s">
        <v>7635</v>
      </c>
      <c r="P509" s="17" t="s">
        <v>6224</v>
      </c>
      <c r="Q509" s="17"/>
      <c r="R509" s="17"/>
      <c r="S509" s="17"/>
      <c r="T509" s="17"/>
      <c r="U509" s="17" t="s">
        <v>6231</v>
      </c>
      <c r="V509" s="17" t="s">
        <v>6229</v>
      </c>
      <c r="W509" s="17" t="s">
        <v>4559</v>
      </c>
      <c r="X509" s="17" t="s">
        <v>6230</v>
      </c>
      <c r="Y509" s="17"/>
    </row>
    <row r="510" spans="1:25">
      <c r="A510" s="17" t="s">
        <v>6271</v>
      </c>
      <c r="B510" s="17" t="s">
        <v>6271</v>
      </c>
      <c r="C510" s="17" t="s">
        <v>6275</v>
      </c>
      <c r="D510" s="17" t="s">
        <v>6273</v>
      </c>
      <c r="E510" s="17" t="s">
        <v>4372</v>
      </c>
      <c r="F510" s="17" t="s">
        <v>6271</v>
      </c>
      <c r="G510" s="17" t="s">
        <v>2671</v>
      </c>
      <c r="H510" s="17" t="s">
        <v>6278</v>
      </c>
      <c r="I510" s="17" t="s">
        <v>4376</v>
      </c>
      <c r="J510" s="17" t="s">
        <v>4798</v>
      </c>
      <c r="K510" s="17" t="s">
        <v>2938</v>
      </c>
      <c r="L510" s="17" t="s">
        <v>6274</v>
      </c>
      <c r="M510" s="17" t="s">
        <v>6273</v>
      </c>
      <c r="N510" s="17" t="s">
        <v>6271</v>
      </c>
      <c r="O510" s="17" t="s">
        <v>7635</v>
      </c>
      <c r="P510" s="17" t="s">
        <v>6272</v>
      </c>
      <c r="Q510" s="17"/>
      <c r="R510" s="17"/>
      <c r="S510" s="17"/>
      <c r="T510" s="17"/>
      <c r="U510" s="17" t="s">
        <v>4396</v>
      </c>
      <c r="V510" s="50" t="s">
        <v>6277</v>
      </c>
      <c r="W510" s="17" t="s">
        <v>4559</v>
      </c>
      <c r="X510" s="50" t="s">
        <v>6276</v>
      </c>
      <c r="Y510" s="17"/>
    </row>
    <row r="511" spans="1:25">
      <c r="A511" s="17" t="s">
        <v>6291</v>
      </c>
      <c r="B511" s="17" t="s">
        <v>6291</v>
      </c>
      <c r="C511" s="17" t="s">
        <v>6292</v>
      </c>
      <c r="D511" s="17" t="s">
        <v>6273</v>
      </c>
      <c r="E511" s="17" t="s">
        <v>6296</v>
      </c>
      <c r="F511" s="17" t="s">
        <v>6291</v>
      </c>
      <c r="G511" s="17" t="s">
        <v>2671</v>
      </c>
      <c r="H511" s="17" t="s">
        <v>6341</v>
      </c>
      <c r="I511" s="17" t="s">
        <v>4376</v>
      </c>
      <c r="J511" s="17" t="s">
        <v>6654</v>
      </c>
      <c r="K511" s="17" t="s">
        <v>2818</v>
      </c>
      <c r="L511" s="17" t="s">
        <v>6294</v>
      </c>
      <c r="M511" s="17" t="s">
        <v>6273</v>
      </c>
      <c r="N511" s="17" t="s">
        <v>6291</v>
      </c>
      <c r="O511" s="17" t="s">
        <v>7635</v>
      </c>
      <c r="P511" s="17" t="s">
        <v>6293</v>
      </c>
      <c r="Q511" s="17"/>
      <c r="R511" s="17"/>
      <c r="S511" s="17"/>
      <c r="T511" s="17"/>
      <c r="U511" s="17" t="s">
        <v>4401</v>
      </c>
      <c r="V511" s="13" t="s">
        <v>6291</v>
      </c>
      <c r="W511" s="17" t="s">
        <v>4559</v>
      </c>
      <c r="X511" s="50" t="s">
        <v>6295</v>
      </c>
      <c r="Y511" s="17"/>
    </row>
    <row r="512" spans="1:25">
      <c r="A512" s="17" t="s">
        <v>6349</v>
      </c>
      <c r="B512" s="17" t="s">
        <v>6349</v>
      </c>
      <c r="C512" s="17" t="s">
        <v>6344</v>
      </c>
      <c r="D512" s="17" t="s">
        <v>21</v>
      </c>
      <c r="E512" s="17" t="s">
        <v>6346</v>
      </c>
      <c r="F512" s="17" t="s">
        <v>6342</v>
      </c>
      <c r="G512" s="17" t="s">
        <v>2671</v>
      </c>
      <c r="H512" s="17" t="s">
        <v>6345</v>
      </c>
      <c r="I512" s="17" t="s">
        <v>6347</v>
      </c>
      <c r="J512" s="17" t="s">
        <v>6658</v>
      </c>
      <c r="K512" s="17" t="s">
        <v>3168</v>
      </c>
      <c r="L512" s="17" t="s">
        <v>6348</v>
      </c>
      <c r="M512" s="17" t="s">
        <v>6343</v>
      </c>
      <c r="N512" s="17" t="s">
        <v>6342</v>
      </c>
      <c r="O512" s="17" t="s">
        <v>7635</v>
      </c>
      <c r="P512" s="17" t="s">
        <v>6352</v>
      </c>
      <c r="Q512" s="17"/>
      <c r="R512" s="17"/>
      <c r="S512" s="17"/>
      <c r="T512" s="17"/>
      <c r="U512" s="17" t="s">
        <v>6351</v>
      </c>
      <c r="V512" s="50" t="s">
        <v>6349</v>
      </c>
      <c r="W512" s="17" t="s">
        <v>4559</v>
      </c>
      <c r="X512" s="50" t="s">
        <v>6350</v>
      </c>
      <c r="Y512" s="17"/>
    </row>
    <row r="513" spans="1:25">
      <c r="A513" s="17" t="s">
        <v>7030</v>
      </c>
      <c r="B513" s="17" t="s">
        <v>7030</v>
      </c>
      <c r="C513" s="17" t="s">
        <v>7031</v>
      </c>
      <c r="D513" s="17" t="s">
        <v>7032</v>
      </c>
      <c r="E513" s="17" t="s">
        <v>7033</v>
      </c>
      <c r="F513" s="17" t="s">
        <v>7030</v>
      </c>
      <c r="G513" s="17" t="s">
        <v>2671</v>
      </c>
      <c r="H513" s="17" t="s">
        <v>4312</v>
      </c>
      <c r="I513" s="17" t="s">
        <v>2672</v>
      </c>
      <c r="J513" s="17" t="s">
        <v>4412</v>
      </c>
      <c r="K513" s="17" t="s">
        <v>7034</v>
      </c>
      <c r="L513" s="17" t="s">
        <v>7035</v>
      </c>
      <c r="M513" s="17" t="s">
        <v>7032</v>
      </c>
      <c r="N513" s="17" t="s">
        <v>7036</v>
      </c>
      <c r="O513" s="17" t="s">
        <v>7635</v>
      </c>
      <c r="P513" s="17" t="s">
        <v>7037</v>
      </c>
      <c r="Q513" s="17" t="s">
        <v>6218</v>
      </c>
      <c r="R513" s="17" t="s">
        <v>7038</v>
      </c>
      <c r="S513" s="17" t="s">
        <v>7635</v>
      </c>
      <c r="T513" s="17" t="s">
        <v>7039</v>
      </c>
      <c r="U513" s="17"/>
      <c r="V513" s="17"/>
      <c r="W513" s="17"/>
      <c r="X513" s="17"/>
      <c r="Y513" s="17"/>
    </row>
    <row r="514" spans="1:25">
      <c r="A514" s="17" t="s">
        <v>7040</v>
      </c>
      <c r="B514" s="17" t="s">
        <v>7040</v>
      </c>
      <c r="C514" s="17" t="s">
        <v>7341</v>
      </c>
      <c r="D514" s="17" t="s">
        <v>6218</v>
      </c>
      <c r="E514" s="17" t="s">
        <v>7033</v>
      </c>
      <c r="F514" s="17" t="s">
        <v>7040</v>
      </c>
      <c r="G514" s="17" t="s">
        <v>2671</v>
      </c>
      <c r="H514" s="17" t="s">
        <v>4312</v>
      </c>
      <c r="I514" s="17" t="s">
        <v>2672</v>
      </c>
      <c r="J514" s="17" t="s">
        <v>4412</v>
      </c>
      <c r="K514" s="17" t="s">
        <v>7042</v>
      </c>
      <c r="L514" s="17" t="s">
        <v>7113</v>
      </c>
      <c r="M514" s="17" t="s">
        <v>6218</v>
      </c>
      <c r="N514" s="17" t="s">
        <v>7046</v>
      </c>
      <c r="O514" s="17" t="s">
        <v>7635</v>
      </c>
      <c r="P514" s="17" t="s">
        <v>7047</v>
      </c>
      <c r="Q514" s="17" t="s">
        <v>7032</v>
      </c>
      <c r="R514" s="17" t="s">
        <v>7342</v>
      </c>
      <c r="S514" s="17" t="s">
        <v>7635</v>
      </c>
      <c r="T514" s="17" t="s">
        <v>7343</v>
      </c>
      <c r="U514" s="17"/>
      <c r="V514" s="17"/>
      <c r="W514" s="17"/>
      <c r="X514" s="17"/>
      <c r="Y514" s="17"/>
    </row>
    <row r="515" spans="1:25">
      <c r="A515" s="17" t="s">
        <v>7048</v>
      </c>
      <c r="B515" s="17" t="s">
        <v>7048</v>
      </c>
      <c r="C515" s="17" t="s">
        <v>7344</v>
      </c>
      <c r="D515" s="17" t="s">
        <v>7032</v>
      </c>
      <c r="E515" s="17" t="s">
        <v>7033</v>
      </c>
      <c r="F515" s="17" t="s">
        <v>7048</v>
      </c>
      <c r="G515" s="17" t="s">
        <v>2671</v>
      </c>
      <c r="H515" s="17" t="s">
        <v>4312</v>
      </c>
      <c r="I515" s="17" t="s">
        <v>2672</v>
      </c>
      <c r="J515" s="17" t="s">
        <v>4412</v>
      </c>
      <c r="K515" s="17" t="s">
        <v>7050</v>
      </c>
      <c r="L515" s="17" t="s">
        <v>7035</v>
      </c>
      <c r="M515" s="17" t="s">
        <v>7032</v>
      </c>
      <c r="N515" s="17" t="s">
        <v>7345</v>
      </c>
      <c r="O515" s="17" t="s">
        <v>7635</v>
      </c>
      <c r="P515" s="17" t="s">
        <v>7346</v>
      </c>
      <c r="Q515" s="17" t="s">
        <v>6218</v>
      </c>
      <c r="R515" s="17" t="s">
        <v>7053</v>
      </c>
      <c r="S515" s="17" t="s">
        <v>7635</v>
      </c>
      <c r="T515" s="17" t="s">
        <v>7054</v>
      </c>
      <c r="U515" s="17"/>
      <c r="V515" s="17"/>
      <c r="W515" s="17"/>
      <c r="X515" s="17"/>
      <c r="Y515" s="17"/>
    </row>
    <row r="516" spans="1:25">
      <c r="A516" s="17" t="s">
        <v>7055</v>
      </c>
      <c r="B516" s="17" t="s">
        <v>7055</v>
      </c>
      <c r="C516" s="17" t="s">
        <v>7347</v>
      </c>
      <c r="D516" s="17" t="s">
        <v>6218</v>
      </c>
      <c r="E516" s="17" t="s">
        <v>7033</v>
      </c>
      <c r="F516" s="17" t="s">
        <v>7055</v>
      </c>
      <c r="G516" s="17" t="s">
        <v>2671</v>
      </c>
      <c r="H516" s="17" t="s">
        <v>4312</v>
      </c>
      <c r="I516" s="17" t="s">
        <v>2672</v>
      </c>
      <c r="J516" s="17" t="s">
        <v>4412</v>
      </c>
      <c r="K516" s="17" t="s">
        <v>7056</v>
      </c>
      <c r="L516" s="17" t="s">
        <v>7113</v>
      </c>
      <c r="M516" s="17" t="s">
        <v>6218</v>
      </c>
      <c r="N516" s="17" t="s">
        <v>7057</v>
      </c>
      <c r="O516" s="17" t="s">
        <v>7635</v>
      </c>
      <c r="P516" s="17" t="s">
        <v>7058</v>
      </c>
      <c r="Q516" s="17" t="s">
        <v>7032</v>
      </c>
      <c r="R516" s="17" t="s">
        <v>7348</v>
      </c>
      <c r="S516" s="17" t="s">
        <v>7635</v>
      </c>
      <c r="T516" s="17" t="s">
        <v>7349</v>
      </c>
      <c r="U516" s="17" t="s">
        <v>13571</v>
      </c>
      <c r="V516" s="48" t="s">
        <v>7055</v>
      </c>
      <c r="W516" s="17" t="s">
        <v>4559</v>
      </c>
      <c r="X516" s="48" t="s">
        <v>13570</v>
      </c>
      <c r="Y516" s="17"/>
    </row>
    <row r="517" spans="1:25">
      <c r="A517" s="17" t="s">
        <v>7059</v>
      </c>
      <c r="B517" s="17" t="s">
        <v>7059</v>
      </c>
      <c r="C517" s="17" t="s">
        <v>7350</v>
      </c>
      <c r="D517" s="17" t="s">
        <v>7032</v>
      </c>
      <c r="E517" s="17" t="s">
        <v>7033</v>
      </c>
      <c r="F517" s="17" t="s">
        <v>7059</v>
      </c>
      <c r="G517" s="17" t="s">
        <v>2671</v>
      </c>
      <c r="H517" s="17" t="s">
        <v>4312</v>
      </c>
      <c r="I517" s="17" t="s">
        <v>2672</v>
      </c>
      <c r="J517" s="17" t="s">
        <v>4412</v>
      </c>
      <c r="K517" s="17" t="s">
        <v>7060</v>
      </c>
      <c r="L517" s="17" t="s">
        <v>7035</v>
      </c>
      <c r="M517" s="17" t="s">
        <v>7032</v>
      </c>
      <c r="N517" s="17" t="s">
        <v>7061</v>
      </c>
      <c r="O517" s="17" t="s">
        <v>7635</v>
      </c>
      <c r="P517" s="17" t="s">
        <v>7062</v>
      </c>
      <c r="Q517" s="17" t="s">
        <v>6218</v>
      </c>
      <c r="R517" s="17" t="s">
        <v>7351</v>
      </c>
      <c r="S517" s="17" t="s">
        <v>7635</v>
      </c>
      <c r="T517" s="17" t="s">
        <v>7352</v>
      </c>
      <c r="U517" s="17"/>
      <c r="V517" s="17"/>
      <c r="W517" s="17"/>
      <c r="X517" s="17"/>
      <c r="Y517" s="17"/>
    </row>
    <row r="518" spans="1:25">
      <c r="A518" s="17" t="s">
        <v>7063</v>
      </c>
      <c r="B518" s="17" t="s">
        <v>7063</v>
      </c>
      <c r="C518" s="17" t="s">
        <v>7353</v>
      </c>
      <c r="D518" s="17" t="s">
        <v>7032</v>
      </c>
      <c r="E518" s="17" t="s">
        <v>7033</v>
      </c>
      <c r="F518" s="17" t="s">
        <v>7063</v>
      </c>
      <c r="G518" s="17" t="s">
        <v>2671</v>
      </c>
      <c r="H518" s="17" t="s">
        <v>4312</v>
      </c>
      <c r="I518" s="17" t="s">
        <v>2672</v>
      </c>
      <c r="J518" s="17" t="s">
        <v>4412</v>
      </c>
      <c r="K518" s="17" t="s">
        <v>7065</v>
      </c>
      <c r="L518" s="17" t="s">
        <v>7035</v>
      </c>
      <c r="M518" s="17" t="s">
        <v>7032</v>
      </c>
      <c r="N518" s="17" t="s">
        <v>7354</v>
      </c>
      <c r="O518" s="17" t="s">
        <v>7635</v>
      </c>
      <c r="P518" s="17" t="s">
        <v>7355</v>
      </c>
      <c r="Q518" s="17" t="s">
        <v>6218</v>
      </c>
      <c r="R518" s="17" t="s">
        <v>7356</v>
      </c>
      <c r="S518" s="17" t="s">
        <v>7635</v>
      </c>
      <c r="T518" s="17" t="s">
        <v>7357</v>
      </c>
      <c r="U518" s="17"/>
      <c r="V518" s="17"/>
      <c r="W518" s="17"/>
      <c r="X518" s="17"/>
      <c r="Y518" s="17"/>
    </row>
    <row r="519" spans="1:25">
      <c r="A519" s="17" t="s">
        <v>7069</v>
      </c>
      <c r="B519" s="17" t="s">
        <v>7069</v>
      </c>
      <c r="C519" s="17" t="s">
        <v>7358</v>
      </c>
      <c r="D519" s="17" t="s">
        <v>6218</v>
      </c>
      <c r="E519" s="17" t="s">
        <v>7033</v>
      </c>
      <c r="F519" s="17" t="s">
        <v>7069</v>
      </c>
      <c r="G519" s="17" t="s">
        <v>2671</v>
      </c>
      <c r="H519" s="17" t="s">
        <v>4312</v>
      </c>
      <c r="I519" s="17" t="s">
        <v>2672</v>
      </c>
      <c r="J519" s="17" t="s">
        <v>4412</v>
      </c>
      <c r="K519" s="17" t="s">
        <v>7071</v>
      </c>
      <c r="L519" s="17" t="s">
        <v>7113</v>
      </c>
      <c r="M519" s="17" t="s">
        <v>6218</v>
      </c>
      <c r="N519" s="17" t="s">
        <v>7074</v>
      </c>
      <c r="O519" s="17" t="s">
        <v>7635</v>
      </c>
      <c r="P519" s="17" t="s">
        <v>7075</v>
      </c>
      <c r="Q519" s="17" t="s">
        <v>7032</v>
      </c>
      <c r="R519" s="17" t="s">
        <v>7359</v>
      </c>
      <c r="S519" s="17" t="s">
        <v>7635</v>
      </c>
      <c r="T519" s="17" t="s">
        <v>7360</v>
      </c>
      <c r="U519" s="17"/>
      <c r="V519" s="17"/>
      <c r="W519" s="17"/>
      <c r="X519" s="17"/>
      <c r="Y519" s="17"/>
    </row>
    <row r="520" spans="1:25">
      <c r="A520" s="17" t="s">
        <v>7076</v>
      </c>
      <c r="B520" s="17" t="s">
        <v>7076</v>
      </c>
      <c r="C520" s="17" t="s">
        <v>7361</v>
      </c>
      <c r="D520" s="17" t="s">
        <v>7032</v>
      </c>
      <c r="E520" s="17" t="s">
        <v>7033</v>
      </c>
      <c r="F520" s="17" t="s">
        <v>7076</v>
      </c>
      <c r="G520" s="17" t="s">
        <v>2671</v>
      </c>
      <c r="H520" s="17" t="s">
        <v>4312</v>
      </c>
      <c r="I520" s="17" t="s">
        <v>2672</v>
      </c>
      <c r="J520" s="17" t="s">
        <v>4412</v>
      </c>
      <c r="K520" s="17" t="s">
        <v>7078</v>
      </c>
      <c r="L520" s="17" t="s">
        <v>7035</v>
      </c>
      <c r="M520" s="17" t="s">
        <v>7032</v>
      </c>
      <c r="N520" s="17" t="s">
        <v>7081</v>
      </c>
      <c r="O520" s="17" t="s">
        <v>7635</v>
      </c>
      <c r="P520" s="17" t="s">
        <v>7082</v>
      </c>
      <c r="Q520" s="17" t="s">
        <v>6218</v>
      </c>
      <c r="R520" s="17" t="s">
        <v>7362</v>
      </c>
      <c r="S520" s="17" t="s">
        <v>7635</v>
      </c>
      <c r="T520" s="17" t="s">
        <v>7363</v>
      </c>
      <c r="U520" s="17"/>
      <c r="V520" s="17"/>
      <c r="W520" s="17"/>
      <c r="X520" s="17"/>
      <c r="Y520" s="17"/>
    </row>
    <row r="521" spans="1:25">
      <c r="A521" s="17" t="s">
        <v>7083</v>
      </c>
      <c r="B521" s="17" t="s">
        <v>7083</v>
      </c>
      <c r="C521" s="17" t="s">
        <v>7364</v>
      </c>
      <c r="D521" s="17" t="s">
        <v>7032</v>
      </c>
      <c r="E521" s="17" t="s">
        <v>7033</v>
      </c>
      <c r="F521" s="17" t="s">
        <v>7083</v>
      </c>
      <c r="G521" s="17" t="s">
        <v>2671</v>
      </c>
      <c r="H521" s="17" t="s">
        <v>4312</v>
      </c>
      <c r="I521" s="17" t="s">
        <v>2672</v>
      </c>
      <c r="J521" s="17" t="s">
        <v>4412</v>
      </c>
      <c r="K521" s="17" t="s">
        <v>7085</v>
      </c>
      <c r="L521" s="17" t="s">
        <v>7035</v>
      </c>
      <c r="M521" s="17" t="s">
        <v>7032</v>
      </c>
      <c r="N521" s="17" t="s">
        <v>7088</v>
      </c>
      <c r="O521" s="17" t="s">
        <v>7635</v>
      </c>
      <c r="P521" s="17" t="s">
        <v>7089</v>
      </c>
      <c r="Q521" s="17" t="s">
        <v>6218</v>
      </c>
      <c r="R521" s="17" t="s">
        <v>7365</v>
      </c>
      <c r="S521" s="17" t="s">
        <v>7635</v>
      </c>
      <c r="T521" s="17" t="s">
        <v>7366</v>
      </c>
      <c r="U521" s="17"/>
      <c r="V521" s="17"/>
      <c r="W521" s="17"/>
      <c r="X521" s="17"/>
      <c r="Y521" s="17"/>
    </row>
    <row r="522" spans="1:25">
      <c r="A522" s="17" t="s">
        <v>7090</v>
      </c>
      <c r="B522" s="17" t="s">
        <v>7090</v>
      </c>
      <c r="C522" s="17" t="s">
        <v>7367</v>
      </c>
      <c r="D522" s="17" t="s">
        <v>7032</v>
      </c>
      <c r="E522" s="17" t="s">
        <v>7033</v>
      </c>
      <c r="F522" s="17" t="s">
        <v>7090</v>
      </c>
      <c r="G522" s="17" t="s">
        <v>2671</v>
      </c>
      <c r="H522" s="17" t="s">
        <v>4312</v>
      </c>
      <c r="I522" s="17" t="s">
        <v>2672</v>
      </c>
      <c r="J522" s="17" t="s">
        <v>4412</v>
      </c>
      <c r="K522" s="17" t="s">
        <v>7092</v>
      </c>
      <c r="L522" s="17" t="s">
        <v>7035</v>
      </c>
      <c r="M522" s="17" t="s">
        <v>7032</v>
      </c>
      <c r="N522" s="17" t="s">
        <v>7368</v>
      </c>
      <c r="O522" s="17" t="s">
        <v>7635</v>
      </c>
      <c r="P522" s="17" t="s">
        <v>7369</v>
      </c>
      <c r="Q522" s="17" t="s">
        <v>6218</v>
      </c>
      <c r="R522" s="17" t="s">
        <v>7370</v>
      </c>
      <c r="S522" s="17" t="s">
        <v>7635</v>
      </c>
      <c r="T522" s="17" t="s">
        <v>7371</v>
      </c>
      <c r="U522" s="17"/>
      <c r="V522" s="17"/>
      <c r="W522" s="17"/>
      <c r="X522" s="17"/>
      <c r="Y522" s="17"/>
    </row>
    <row r="523" spans="1:25">
      <c r="A523" s="17" t="s">
        <v>7096</v>
      </c>
      <c r="B523" s="17" t="s">
        <v>7096</v>
      </c>
      <c r="C523" s="17" t="s">
        <v>7372</v>
      </c>
      <c r="D523" s="17" t="s">
        <v>7032</v>
      </c>
      <c r="E523" s="17" t="s">
        <v>7033</v>
      </c>
      <c r="F523" s="17" t="s">
        <v>7096</v>
      </c>
      <c r="G523" s="17" t="s">
        <v>2671</v>
      </c>
      <c r="H523" s="17" t="s">
        <v>4312</v>
      </c>
      <c r="I523" s="17" t="s">
        <v>2672</v>
      </c>
      <c r="J523" s="17" t="s">
        <v>4412</v>
      </c>
      <c r="K523" s="17" t="s">
        <v>7098</v>
      </c>
      <c r="L523" s="17" t="s">
        <v>7035</v>
      </c>
      <c r="M523" s="17" t="s">
        <v>7032</v>
      </c>
      <c r="N523" s="17" t="s">
        <v>7101</v>
      </c>
      <c r="O523" s="17" t="s">
        <v>7635</v>
      </c>
      <c r="P523" s="17" t="s">
        <v>7102</v>
      </c>
      <c r="Q523" s="17" t="s">
        <v>6218</v>
      </c>
      <c r="R523" s="17" t="s">
        <v>7373</v>
      </c>
      <c r="S523" s="17" t="s">
        <v>7635</v>
      </c>
      <c r="T523" s="17" t="s">
        <v>7374</v>
      </c>
      <c r="U523" s="17"/>
      <c r="V523" s="17"/>
      <c r="W523" s="17"/>
      <c r="X523" s="17"/>
      <c r="Y523" s="17"/>
    </row>
    <row r="524" spans="1:25">
      <c r="A524" s="17" t="s">
        <v>7103</v>
      </c>
      <c r="B524" s="17" t="s">
        <v>7103</v>
      </c>
      <c r="C524" s="17" t="s">
        <v>7375</v>
      </c>
      <c r="D524" s="17" t="s">
        <v>7032</v>
      </c>
      <c r="E524" s="17" t="s">
        <v>7033</v>
      </c>
      <c r="F524" s="17" t="s">
        <v>7103</v>
      </c>
      <c r="G524" s="17" t="s">
        <v>2671</v>
      </c>
      <c r="H524" s="17" t="s">
        <v>4312</v>
      </c>
      <c r="I524" s="17" t="s">
        <v>2672</v>
      </c>
      <c r="J524" s="17" t="s">
        <v>4412</v>
      </c>
      <c r="K524" s="17" t="s">
        <v>7105</v>
      </c>
      <c r="L524" s="17" t="s">
        <v>7035</v>
      </c>
      <c r="M524" s="17" t="s">
        <v>7032</v>
      </c>
      <c r="N524" s="17" t="s">
        <v>7108</v>
      </c>
      <c r="O524" s="17" t="s">
        <v>7635</v>
      </c>
      <c r="P524" s="17" t="s">
        <v>7109</v>
      </c>
      <c r="Q524" s="17" t="s">
        <v>6218</v>
      </c>
      <c r="R524" s="17" t="s">
        <v>7250</v>
      </c>
      <c r="S524" s="17" t="s">
        <v>7635</v>
      </c>
      <c r="T524" s="17" t="s">
        <v>7251</v>
      </c>
      <c r="U524" s="17"/>
      <c r="V524" s="17"/>
      <c r="W524" s="17"/>
      <c r="X524" s="17"/>
      <c r="Y524" s="17"/>
    </row>
    <row r="525" spans="1:25">
      <c r="A525" s="17" t="s">
        <v>7110</v>
      </c>
      <c r="B525" s="17" t="s">
        <v>7110</v>
      </c>
      <c r="C525" s="17" t="s">
        <v>7111</v>
      </c>
      <c r="D525" s="17" t="s">
        <v>6218</v>
      </c>
      <c r="E525" s="17" t="s">
        <v>7033</v>
      </c>
      <c r="F525" s="17" t="s">
        <v>7110</v>
      </c>
      <c r="G525" s="17" t="s">
        <v>2671</v>
      </c>
      <c r="H525" s="17" t="s">
        <v>4312</v>
      </c>
      <c r="I525" s="17" t="s">
        <v>2672</v>
      </c>
      <c r="J525" s="17" t="s">
        <v>4412</v>
      </c>
      <c r="K525" s="17" t="s">
        <v>7112</v>
      </c>
      <c r="L525" s="17" t="s">
        <v>7113</v>
      </c>
      <c r="M525" s="17" t="s">
        <v>6218</v>
      </c>
      <c r="N525" s="17" t="s">
        <v>7114</v>
      </c>
      <c r="O525" s="17" t="s">
        <v>7635</v>
      </c>
      <c r="P525" s="17" t="s">
        <v>7115</v>
      </c>
      <c r="Q525" s="17" t="s">
        <v>7032</v>
      </c>
      <c r="R525" s="17" t="s">
        <v>7116</v>
      </c>
      <c r="S525" s="17" t="s">
        <v>7635</v>
      </c>
      <c r="T525" s="17" t="s">
        <v>7117</v>
      </c>
      <c r="U525" s="17"/>
      <c r="V525" s="17"/>
      <c r="W525" s="17"/>
      <c r="X525" s="17"/>
      <c r="Y525" s="17"/>
    </row>
    <row r="526" spans="1:25">
      <c r="A526" s="17" t="s">
        <v>7118</v>
      </c>
      <c r="B526" s="17" t="s">
        <v>7118</v>
      </c>
      <c r="C526" s="17" t="s">
        <v>7376</v>
      </c>
      <c r="D526" s="17" t="s">
        <v>7032</v>
      </c>
      <c r="E526" s="17" t="s">
        <v>7033</v>
      </c>
      <c r="F526" s="17" t="s">
        <v>7118</v>
      </c>
      <c r="G526" s="17" t="s">
        <v>2671</v>
      </c>
      <c r="H526" s="17" t="s">
        <v>4312</v>
      </c>
      <c r="I526" s="17" t="s">
        <v>2672</v>
      </c>
      <c r="J526" s="17" t="s">
        <v>4412</v>
      </c>
      <c r="K526" s="17" t="s">
        <v>7119</v>
      </c>
      <c r="L526" s="17" t="s">
        <v>7035</v>
      </c>
      <c r="M526" s="17" t="s">
        <v>7032</v>
      </c>
      <c r="N526" s="17" t="s">
        <v>7377</v>
      </c>
      <c r="O526" s="17" t="s">
        <v>7635</v>
      </c>
      <c r="P526" s="17" t="s">
        <v>7378</v>
      </c>
      <c r="Q526" s="17" t="s">
        <v>6218</v>
      </c>
      <c r="R526" s="17" t="s">
        <v>7120</v>
      </c>
      <c r="S526" s="17" t="s">
        <v>7635</v>
      </c>
      <c r="T526" s="17" t="s">
        <v>7121</v>
      </c>
      <c r="U526" s="17"/>
      <c r="V526" s="17"/>
      <c r="W526" s="17"/>
      <c r="X526" s="17"/>
      <c r="Y526" s="17"/>
    </row>
    <row r="527" spans="1:25">
      <c r="A527" s="17" t="s">
        <v>7122</v>
      </c>
      <c r="B527" s="17" t="s">
        <v>7122</v>
      </c>
      <c r="C527" s="17" t="s">
        <v>7379</v>
      </c>
      <c r="D527" s="17" t="s">
        <v>6218</v>
      </c>
      <c r="E527" s="17" t="s">
        <v>7033</v>
      </c>
      <c r="F527" s="17" t="s">
        <v>7122</v>
      </c>
      <c r="G527" s="17" t="s">
        <v>2671</v>
      </c>
      <c r="H527" s="17" t="s">
        <v>4312</v>
      </c>
      <c r="I527" s="17" t="s">
        <v>2672</v>
      </c>
      <c r="J527" s="17" t="s">
        <v>4412</v>
      </c>
      <c r="K527" s="17" t="s">
        <v>7124</v>
      </c>
      <c r="L527" s="17" t="s">
        <v>7113</v>
      </c>
      <c r="M527" s="17" t="s">
        <v>6218</v>
      </c>
      <c r="N527" s="17" t="s">
        <v>7127</v>
      </c>
      <c r="O527" s="17" t="s">
        <v>7635</v>
      </c>
      <c r="P527" s="17" t="s">
        <v>7128</v>
      </c>
      <c r="Q527" s="17" t="s">
        <v>7032</v>
      </c>
      <c r="R527" s="17" t="s">
        <v>7380</v>
      </c>
      <c r="S527" s="17" t="s">
        <v>7635</v>
      </c>
      <c r="T527" s="17" t="s">
        <v>7381</v>
      </c>
      <c r="U527" s="17"/>
      <c r="V527" s="17"/>
      <c r="W527" s="17"/>
      <c r="X527" s="17"/>
      <c r="Y527" s="17"/>
    </row>
    <row r="528" spans="1:25">
      <c r="A528" s="17" t="s">
        <v>7129</v>
      </c>
      <c r="B528" s="17" t="s">
        <v>7129</v>
      </c>
      <c r="C528" s="17" t="s">
        <v>7382</v>
      </c>
      <c r="D528" s="17" t="s">
        <v>7032</v>
      </c>
      <c r="E528" s="17" t="s">
        <v>7033</v>
      </c>
      <c r="F528" s="17" t="s">
        <v>7129</v>
      </c>
      <c r="G528" s="17" t="s">
        <v>2671</v>
      </c>
      <c r="H528" s="17" t="s">
        <v>4312</v>
      </c>
      <c r="I528" s="17" t="s">
        <v>2672</v>
      </c>
      <c r="J528" s="17" t="s">
        <v>4412</v>
      </c>
      <c r="K528" s="17" t="s">
        <v>7131</v>
      </c>
      <c r="L528" s="17" t="s">
        <v>7035</v>
      </c>
      <c r="M528" s="17" t="s">
        <v>7032</v>
      </c>
      <c r="N528" s="17" t="s">
        <v>7134</v>
      </c>
      <c r="O528" s="17" t="s">
        <v>7635</v>
      </c>
      <c r="P528" s="17" t="s">
        <v>7135</v>
      </c>
      <c r="Q528" s="17" t="s">
        <v>6218</v>
      </c>
      <c r="R528" s="17" t="s">
        <v>7383</v>
      </c>
      <c r="S528" s="17" t="s">
        <v>7635</v>
      </c>
      <c r="T528" s="17" t="s">
        <v>7384</v>
      </c>
      <c r="U528" s="17"/>
      <c r="V528" s="17"/>
      <c r="W528" s="17"/>
      <c r="X528" s="17"/>
      <c r="Y528" s="17"/>
    </row>
    <row r="529" spans="1:25">
      <c r="A529" s="17" t="s">
        <v>7136</v>
      </c>
      <c r="B529" s="17" t="s">
        <v>7136</v>
      </c>
      <c r="C529" s="17" t="s">
        <v>7137</v>
      </c>
      <c r="D529" s="17" t="s">
        <v>7032</v>
      </c>
      <c r="E529" s="17" t="s">
        <v>7033</v>
      </c>
      <c r="F529" s="17" t="s">
        <v>7136</v>
      </c>
      <c r="G529" s="17" t="s">
        <v>2671</v>
      </c>
      <c r="H529" s="17" t="s">
        <v>4312</v>
      </c>
      <c r="I529" s="17" t="s">
        <v>2672</v>
      </c>
      <c r="J529" s="17" t="s">
        <v>4412</v>
      </c>
      <c r="K529" s="17" t="s">
        <v>7138</v>
      </c>
      <c r="L529" s="17" t="s">
        <v>7035</v>
      </c>
      <c r="M529" s="17" t="s">
        <v>7032</v>
      </c>
      <c r="N529" s="17" t="s">
        <v>7139</v>
      </c>
      <c r="O529" s="17" t="s">
        <v>7635</v>
      </c>
      <c r="P529" s="17" t="s">
        <v>7140</v>
      </c>
      <c r="Q529" s="17" t="s">
        <v>6218</v>
      </c>
      <c r="R529" s="17" t="s">
        <v>7141</v>
      </c>
      <c r="S529" s="17" t="s">
        <v>7635</v>
      </c>
      <c r="T529" s="17" t="s">
        <v>7142</v>
      </c>
      <c r="U529" s="17"/>
      <c r="V529" s="17"/>
      <c r="W529" s="17"/>
      <c r="X529" s="17"/>
      <c r="Y529" s="17"/>
    </row>
    <row r="530" spans="1:25">
      <c r="A530" s="17" t="s">
        <v>7143</v>
      </c>
      <c r="B530" s="17" t="s">
        <v>7143</v>
      </c>
      <c r="C530" s="17" t="s">
        <v>7385</v>
      </c>
      <c r="D530" s="17" t="s">
        <v>7032</v>
      </c>
      <c r="E530" s="17" t="s">
        <v>7033</v>
      </c>
      <c r="F530" s="17" t="s">
        <v>7143</v>
      </c>
      <c r="G530" s="17" t="s">
        <v>2671</v>
      </c>
      <c r="H530" s="17" t="s">
        <v>4312</v>
      </c>
      <c r="I530" s="17" t="s">
        <v>2672</v>
      </c>
      <c r="J530" s="17" t="s">
        <v>4412</v>
      </c>
      <c r="K530" s="17" t="s">
        <v>7145</v>
      </c>
      <c r="L530" s="17" t="s">
        <v>7035</v>
      </c>
      <c r="M530" s="17" t="s">
        <v>7032</v>
      </c>
      <c r="N530" s="17" t="s">
        <v>7148</v>
      </c>
      <c r="O530" s="17" t="s">
        <v>7635</v>
      </c>
      <c r="P530" s="17" t="s">
        <v>7149</v>
      </c>
      <c r="Q530" s="17" t="s">
        <v>6218</v>
      </c>
      <c r="R530" s="17" t="s">
        <v>7386</v>
      </c>
      <c r="S530" s="17" t="s">
        <v>7635</v>
      </c>
      <c r="T530" s="17" t="s">
        <v>7387</v>
      </c>
      <c r="U530" s="17"/>
      <c r="V530" s="17"/>
      <c r="W530" s="17"/>
      <c r="X530" s="17"/>
      <c r="Y530" s="17"/>
    </row>
    <row r="531" spans="1:25">
      <c r="A531" s="17" t="s">
        <v>7150</v>
      </c>
      <c r="B531" s="17" t="s">
        <v>7150</v>
      </c>
      <c r="C531" s="17" t="s">
        <v>7388</v>
      </c>
      <c r="D531" s="17" t="s">
        <v>7032</v>
      </c>
      <c r="E531" s="17" t="s">
        <v>7033</v>
      </c>
      <c r="F531" s="17" t="s">
        <v>7150</v>
      </c>
      <c r="G531" s="17" t="s">
        <v>2671</v>
      </c>
      <c r="H531" s="17" t="s">
        <v>4312</v>
      </c>
      <c r="I531" s="17" t="s">
        <v>2672</v>
      </c>
      <c r="J531" s="17" t="s">
        <v>4412</v>
      </c>
      <c r="K531" s="17" t="s">
        <v>7152</v>
      </c>
      <c r="L531" s="17" t="s">
        <v>7035</v>
      </c>
      <c r="M531" s="17" t="s">
        <v>7032</v>
      </c>
      <c r="N531" s="17" t="s">
        <v>7155</v>
      </c>
      <c r="O531" s="17" t="s">
        <v>7635</v>
      </c>
      <c r="P531" s="17" t="s">
        <v>7156</v>
      </c>
      <c r="Q531" s="17" t="s">
        <v>6218</v>
      </c>
      <c r="R531" s="17" t="s">
        <v>7272</v>
      </c>
      <c r="S531" s="17" t="s">
        <v>7635</v>
      </c>
      <c r="T531" s="17" t="s">
        <v>7273</v>
      </c>
      <c r="U531" s="17"/>
      <c r="V531" s="17"/>
      <c r="W531" s="17"/>
      <c r="X531" s="17"/>
      <c r="Y531" s="17"/>
    </row>
    <row r="532" spans="1:25">
      <c r="A532" s="17" t="s">
        <v>7157</v>
      </c>
      <c r="B532" s="17" t="s">
        <v>7157</v>
      </c>
      <c r="C532" s="17" t="s">
        <v>7158</v>
      </c>
      <c r="D532" s="17" t="s">
        <v>7032</v>
      </c>
      <c r="E532" s="17" t="s">
        <v>7033</v>
      </c>
      <c r="F532" s="17" t="s">
        <v>7157</v>
      </c>
      <c r="G532" s="17" t="s">
        <v>2671</v>
      </c>
      <c r="H532" s="17" t="s">
        <v>4312</v>
      </c>
      <c r="I532" s="17" t="s">
        <v>2672</v>
      </c>
      <c r="J532" s="17" t="s">
        <v>4412</v>
      </c>
      <c r="K532" s="17" t="s">
        <v>7159</v>
      </c>
      <c r="L532" s="17" t="s">
        <v>7035</v>
      </c>
      <c r="M532" s="17" t="s">
        <v>7032</v>
      </c>
      <c r="N532" s="17" t="s">
        <v>7160</v>
      </c>
      <c r="O532" s="17" t="s">
        <v>7635</v>
      </c>
      <c r="P532" s="17" t="s">
        <v>7161</v>
      </c>
      <c r="Q532" s="17" t="s">
        <v>6218</v>
      </c>
      <c r="R532" s="17" t="s">
        <v>7389</v>
      </c>
      <c r="S532" s="17" t="s">
        <v>7635</v>
      </c>
      <c r="T532" s="17" t="s">
        <v>7390</v>
      </c>
      <c r="U532" s="51" t="s">
        <v>6218</v>
      </c>
      <c r="V532" s="51" t="s">
        <v>7389</v>
      </c>
      <c r="W532" s="17" t="s">
        <v>4559</v>
      </c>
      <c r="X532" s="48" t="s">
        <v>13523</v>
      </c>
      <c r="Y532" s="17"/>
    </row>
    <row r="533" spans="1:25">
      <c r="A533" s="17" t="s">
        <v>7163</v>
      </c>
      <c r="B533" s="17" t="s">
        <v>7163</v>
      </c>
      <c r="C533" s="17" t="s">
        <v>7164</v>
      </c>
      <c r="D533" s="17" t="s">
        <v>6218</v>
      </c>
      <c r="E533" s="17" t="s">
        <v>7033</v>
      </c>
      <c r="F533" s="17" t="s">
        <v>7163</v>
      </c>
      <c r="G533" s="17" t="s">
        <v>2671</v>
      </c>
      <c r="H533" s="17" t="s">
        <v>4312</v>
      </c>
      <c r="I533" s="17" t="s">
        <v>2672</v>
      </c>
      <c r="J533" s="17" t="s">
        <v>4412</v>
      </c>
      <c r="K533" s="17" t="s">
        <v>7165</v>
      </c>
      <c r="L533" s="17" t="s">
        <v>7113</v>
      </c>
      <c r="M533" s="17" t="s">
        <v>6218</v>
      </c>
      <c r="N533" s="17" t="s">
        <v>7166</v>
      </c>
      <c r="O533" s="17" t="s">
        <v>7635</v>
      </c>
      <c r="P533" s="17" t="s">
        <v>7167</v>
      </c>
      <c r="Q533" s="17" t="s">
        <v>7032</v>
      </c>
      <c r="R533" s="17" t="s">
        <v>7168</v>
      </c>
      <c r="S533" s="17" t="s">
        <v>7635</v>
      </c>
      <c r="T533" s="17" t="s">
        <v>7169</v>
      </c>
      <c r="U533" s="17"/>
      <c r="V533" s="17"/>
      <c r="W533" s="17"/>
      <c r="X533" s="17"/>
      <c r="Y533" s="17"/>
    </row>
    <row r="534" spans="1:25">
      <c r="A534" s="17" t="s">
        <v>7170</v>
      </c>
      <c r="B534" s="17" t="s">
        <v>7170</v>
      </c>
      <c r="C534" s="17" t="s">
        <v>7391</v>
      </c>
      <c r="D534" s="17" t="s">
        <v>7032</v>
      </c>
      <c r="E534" s="17" t="s">
        <v>7033</v>
      </c>
      <c r="F534" s="17" t="s">
        <v>7170</v>
      </c>
      <c r="G534" s="17" t="s">
        <v>2671</v>
      </c>
      <c r="H534" s="17" t="s">
        <v>4312</v>
      </c>
      <c r="I534" s="17" t="s">
        <v>2672</v>
      </c>
      <c r="J534" s="17" t="s">
        <v>4412</v>
      </c>
      <c r="K534" s="17" t="s">
        <v>7172</v>
      </c>
      <c r="L534" s="17" t="s">
        <v>7035</v>
      </c>
      <c r="M534" s="17" t="s">
        <v>7032</v>
      </c>
      <c r="N534" s="17" t="s">
        <v>7175</v>
      </c>
      <c r="O534" s="17" t="s">
        <v>7635</v>
      </c>
      <c r="P534" s="17" t="s">
        <v>7176</v>
      </c>
      <c r="Q534" s="17" t="s">
        <v>6218</v>
      </c>
      <c r="R534" s="17" t="s">
        <v>7392</v>
      </c>
      <c r="S534" s="17" t="s">
        <v>7635</v>
      </c>
      <c r="T534" s="17" t="s">
        <v>7393</v>
      </c>
      <c r="U534" s="51" t="s">
        <v>6218</v>
      </c>
      <c r="V534" s="51" t="s">
        <v>7392</v>
      </c>
      <c r="W534" s="17" t="s">
        <v>4559</v>
      </c>
      <c r="X534" s="48" t="s">
        <v>13524</v>
      </c>
      <c r="Y534" s="17"/>
    </row>
    <row r="535" spans="1:25">
      <c r="A535" s="17" t="s">
        <v>7177</v>
      </c>
      <c r="B535" s="17" t="s">
        <v>7177</v>
      </c>
      <c r="C535" s="17" t="s">
        <v>7394</v>
      </c>
      <c r="D535" s="17" t="s">
        <v>7032</v>
      </c>
      <c r="E535" s="17" t="s">
        <v>7033</v>
      </c>
      <c r="F535" s="17" t="s">
        <v>7177</v>
      </c>
      <c r="G535" s="17" t="s">
        <v>2671</v>
      </c>
      <c r="H535" s="17" t="s">
        <v>4312</v>
      </c>
      <c r="I535" s="17" t="s">
        <v>2672</v>
      </c>
      <c r="J535" s="17" t="s">
        <v>4412</v>
      </c>
      <c r="K535" s="17" t="s">
        <v>7178</v>
      </c>
      <c r="L535" s="17" t="s">
        <v>7035</v>
      </c>
      <c r="M535" s="17" t="s">
        <v>7032</v>
      </c>
      <c r="N535" s="17" t="s">
        <v>7179</v>
      </c>
      <c r="O535" s="17" t="s">
        <v>7635</v>
      </c>
      <c r="P535" s="17" t="s">
        <v>7180</v>
      </c>
      <c r="Q535" s="17" t="s">
        <v>6218</v>
      </c>
      <c r="R535" s="17" t="s">
        <v>7395</v>
      </c>
      <c r="S535" s="17" t="s">
        <v>7635</v>
      </c>
      <c r="T535" s="17" t="s">
        <v>7396</v>
      </c>
      <c r="U535" s="17"/>
      <c r="V535" s="17"/>
      <c r="W535" s="17"/>
      <c r="X535" s="17"/>
      <c r="Y535" s="17"/>
    </row>
    <row r="536" spans="1:25">
      <c r="A536" s="17" t="s">
        <v>7181</v>
      </c>
      <c r="B536" s="17" t="s">
        <v>7181</v>
      </c>
      <c r="C536" s="17" t="s">
        <v>7397</v>
      </c>
      <c r="D536" s="17" t="s">
        <v>7032</v>
      </c>
      <c r="E536" s="17" t="s">
        <v>7033</v>
      </c>
      <c r="F536" s="17" t="s">
        <v>7181</v>
      </c>
      <c r="G536" s="17" t="s">
        <v>2671</v>
      </c>
      <c r="H536" s="17" t="s">
        <v>4312</v>
      </c>
      <c r="I536" s="17" t="s">
        <v>2672</v>
      </c>
      <c r="J536" s="17" t="s">
        <v>4412</v>
      </c>
      <c r="K536" s="17" t="s">
        <v>7182</v>
      </c>
      <c r="L536" s="17" t="s">
        <v>7035</v>
      </c>
      <c r="M536" s="17" t="s">
        <v>7032</v>
      </c>
      <c r="N536" s="17" t="s">
        <v>7183</v>
      </c>
      <c r="O536" s="17" t="s">
        <v>7635</v>
      </c>
      <c r="P536" s="17" t="s">
        <v>7184</v>
      </c>
      <c r="Q536" s="17" t="s">
        <v>6218</v>
      </c>
      <c r="R536" s="17" t="s">
        <v>7290</v>
      </c>
      <c r="S536" s="17" t="s">
        <v>7635</v>
      </c>
      <c r="T536" s="17" t="s">
        <v>7291</v>
      </c>
      <c r="U536" s="17"/>
      <c r="V536" s="17"/>
      <c r="W536" s="17"/>
      <c r="X536" s="17"/>
      <c r="Y536" s="17"/>
    </row>
    <row r="537" spans="1:25">
      <c r="A537" s="17" t="s">
        <v>7185</v>
      </c>
      <c r="B537" s="17" t="s">
        <v>7185</v>
      </c>
      <c r="C537" s="17" t="s">
        <v>7398</v>
      </c>
      <c r="D537" s="17" t="s">
        <v>6218</v>
      </c>
      <c r="E537" s="17" t="s">
        <v>7033</v>
      </c>
      <c r="F537" s="17" t="s">
        <v>7185</v>
      </c>
      <c r="G537" s="17" t="s">
        <v>2671</v>
      </c>
      <c r="H537" s="17" t="s">
        <v>4312</v>
      </c>
      <c r="I537" s="17" t="s">
        <v>2672</v>
      </c>
      <c r="J537" s="17" t="s">
        <v>4412</v>
      </c>
      <c r="K537" s="17" t="s">
        <v>7187</v>
      </c>
      <c r="L537" s="17" t="s">
        <v>7113</v>
      </c>
      <c r="M537" s="17" t="s">
        <v>6218</v>
      </c>
      <c r="N537" s="17" t="s">
        <v>7190</v>
      </c>
      <c r="O537" s="17" t="s">
        <v>7635</v>
      </c>
      <c r="P537" s="17" t="s">
        <v>7191</v>
      </c>
      <c r="Q537" s="17" t="s">
        <v>6218</v>
      </c>
      <c r="R537" s="17" t="s">
        <v>7399</v>
      </c>
      <c r="S537" s="17" t="s">
        <v>7635</v>
      </c>
      <c r="T537" s="17" t="s">
        <v>7400</v>
      </c>
      <c r="U537" s="17"/>
      <c r="V537" s="17"/>
      <c r="W537" s="17"/>
      <c r="X537" s="17"/>
      <c r="Y537" s="17"/>
    </row>
    <row r="538" spans="1:25">
      <c r="A538" s="17" t="s">
        <v>7204</v>
      </c>
      <c r="B538" s="17" t="s">
        <v>7204</v>
      </c>
      <c r="C538" s="17" t="s">
        <v>7401</v>
      </c>
      <c r="D538" s="17" t="s">
        <v>7032</v>
      </c>
      <c r="E538" s="17" t="s">
        <v>7033</v>
      </c>
      <c r="F538" s="17" t="s">
        <v>7204</v>
      </c>
      <c r="G538" s="17" t="s">
        <v>2671</v>
      </c>
      <c r="H538" s="17" t="s">
        <v>4312</v>
      </c>
      <c r="I538" s="17" t="s">
        <v>2672</v>
      </c>
      <c r="J538" s="17" t="s">
        <v>4412</v>
      </c>
      <c r="K538" s="17" t="s">
        <v>7205</v>
      </c>
      <c r="L538" s="17" t="s">
        <v>7035</v>
      </c>
      <c r="M538" s="17" t="s">
        <v>7032</v>
      </c>
      <c r="N538" s="17" t="s">
        <v>7206</v>
      </c>
      <c r="O538" s="17" t="s">
        <v>7635</v>
      </c>
      <c r="P538" s="17" t="s">
        <v>7207</v>
      </c>
      <c r="Q538" s="17" t="s">
        <v>6218</v>
      </c>
      <c r="R538" s="17" t="s">
        <v>7402</v>
      </c>
      <c r="S538" s="17" t="s">
        <v>7635</v>
      </c>
      <c r="T538" s="17" t="s">
        <v>7403</v>
      </c>
      <c r="U538" s="17"/>
      <c r="V538" s="17"/>
      <c r="W538" s="17"/>
      <c r="X538" s="17"/>
      <c r="Y538" s="17"/>
    </row>
    <row r="539" spans="1:25">
      <c r="A539" s="17" t="s">
        <v>7208</v>
      </c>
      <c r="B539" s="17" t="s">
        <v>7208</v>
      </c>
      <c r="C539" s="17" t="s">
        <v>7404</v>
      </c>
      <c r="D539" s="17" t="s">
        <v>7032</v>
      </c>
      <c r="E539" s="17" t="s">
        <v>7033</v>
      </c>
      <c r="F539" s="17" t="s">
        <v>7208</v>
      </c>
      <c r="G539" s="17" t="s">
        <v>2671</v>
      </c>
      <c r="H539" s="17" t="s">
        <v>4312</v>
      </c>
      <c r="I539" s="17" t="s">
        <v>2672</v>
      </c>
      <c r="J539" s="17" t="s">
        <v>4412</v>
      </c>
      <c r="K539" s="17" t="s">
        <v>7209</v>
      </c>
      <c r="L539" s="17" t="s">
        <v>7035</v>
      </c>
      <c r="M539" s="17" t="s">
        <v>7032</v>
      </c>
      <c r="N539" s="17" t="s">
        <v>7210</v>
      </c>
      <c r="O539" s="17" t="s">
        <v>7635</v>
      </c>
      <c r="P539" s="17" t="s">
        <v>7211</v>
      </c>
      <c r="Q539" s="17"/>
      <c r="R539" s="17"/>
      <c r="S539" s="17"/>
      <c r="T539" s="17"/>
      <c r="U539" s="17"/>
      <c r="V539" s="17"/>
      <c r="W539" s="17"/>
      <c r="X539" s="17"/>
      <c r="Y539" s="17"/>
    </row>
    <row r="540" spans="1:25">
      <c r="A540" s="17" t="s">
        <v>7212</v>
      </c>
      <c r="B540" s="17" t="s">
        <v>7212</v>
      </c>
      <c r="C540" s="17" t="s">
        <v>7300</v>
      </c>
      <c r="D540" s="17" t="s">
        <v>7221</v>
      </c>
      <c r="E540" s="17" t="s">
        <v>4721</v>
      </c>
      <c r="F540" s="17" t="s">
        <v>7212</v>
      </c>
      <c r="G540" s="17" t="s">
        <v>2671</v>
      </c>
      <c r="H540" s="17" t="s">
        <v>4312</v>
      </c>
      <c r="I540" s="17" t="s">
        <v>2672</v>
      </c>
      <c r="J540" s="17" t="s">
        <v>4723</v>
      </c>
      <c r="K540" s="17" t="s">
        <v>7034</v>
      </c>
      <c r="L540" s="17" t="s">
        <v>7222</v>
      </c>
      <c r="M540" s="17" t="s">
        <v>7221</v>
      </c>
      <c r="N540" s="17" t="s">
        <v>7405</v>
      </c>
      <c r="O540" s="17" t="s">
        <v>7635</v>
      </c>
      <c r="P540" s="17" t="s">
        <v>7406</v>
      </c>
      <c r="Q540" s="17" t="s">
        <v>6218</v>
      </c>
      <c r="R540" s="17" t="s">
        <v>7213</v>
      </c>
      <c r="S540" s="17" t="s">
        <v>7635</v>
      </c>
      <c r="T540" s="17" t="s">
        <v>7214</v>
      </c>
      <c r="U540" s="17"/>
      <c r="V540" s="17"/>
      <c r="W540" s="17"/>
      <c r="X540" s="17"/>
      <c r="Y540" s="17"/>
    </row>
    <row r="541" spans="1:25">
      <c r="A541" s="17" t="s">
        <v>7215</v>
      </c>
      <c r="B541" s="17" t="s">
        <v>7215</v>
      </c>
      <c r="C541" s="17" t="s">
        <v>7041</v>
      </c>
      <c r="D541" s="17" t="s">
        <v>7032</v>
      </c>
      <c r="E541" s="17" t="s">
        <v>4721</v>
      </c>
      <c r="F541" s="17" t="s">
        <v>7215</v>
      </c>
      <c r="G541" s="17" t="s">
        <v>2671</v>
      </c>
      <c r="H541" s="17" t="s">
        <v>4312</v>
      </c>
      <c r="I541" s="17" t="s">
        <v>2672</v>
      </c>
      <c r="J541" s="17" t="s">
        <v>4723</v>
      </c>
      <c r="K541" s="17" t="s">
        <v>7042</v>
      </c>
      <c r="L541" s="17" t="s">
        <v>7043</v>
      </c>
      <c r="M541" s="17" t="s">
        <v>7032</v>
      </c>
      <c r="N541" s="17" t="s">
        <v>7044</v>
      </c>
      <c r="O541" s="17" t="s">
        <v>7635</v>
      </c>
      <c r="P541" s="17" t="s">
        <v>7045</v>
      </c>
      <c r="Q541" s="17" t="s">
        <v>6218</v>
      </c>
      <c r="R541" s="17" t="s">
        <v>7407</v>
      </c>
      <c r="S541" s="17" t="s">
        <v>7635</v>
      </c>
      <c r="T541" s="17" t="s">
        <v>7408</v>
      </c>
      <c r="U541" s="17"/>
      <c r="V541" s="17"/>
      <c r="W541" s="17"/>
      <c r="X541" s="17"/>
      <c r="Y541" s="17"/>
    </row>
    <row r="542" spans="1:25">
      <c r="A542" s="17" t="s">
        <v>7216</v>
      </c>
      <c r="B542" s="17" t="s">
        <v>7216</v>
      </c>
      <c r="C542" s="17" t="s">
        <v>7049</v>
      </c>
      <c r="D542" s="17" t="s">
        <v>7032</v>
      </c>
      <c r="E542" s="17" t="s">
        <v>4721</v>
      </c>
      <c r="F542" s="17" t="s">
        <v>7216</v>
      </c>
      <c r="G542" s="17" t="s">
        <v>2671</v>
      </c>
      <c r="H542" s="17" t="s">
        <v>4312</v>
      </c>
      <c r="I542" s="17" t="s">
        <v>2672</v>
      </c>
      <c r="J542" s="17" t="s">
        <v>4723</v>
      </c>
      <c r="K542" s="17" t="s">
        <v>7050</v>
      </c>
      <c r="L542" s="17" t="s">
        <v>7043</v>
      </c>
      <c r="M542" s="17" t="s">
        <v>7032</v>
      </c>
      <c r="N542" s="17" t="s">
        <v>7051</v>
      </c>
      <c r="O542" s="17" t="s">
        <v>7635</v>
      </c>
      <c r="P542" s="17" t="s">
        <v>7052</v>
      </c>
      <c r="Q542" s="17" t="s">
        <v>6218</v>
      </c>
      <c r="R542" s="17" t="s">
        <v>7217</v>
      </c>
      <c r="S542" s="17" t="s">
        <v>7635</v>
      </c>
      <c r="T542" s="17" t="s">
        <v>7218</v>
      </c>
      <c r="U542" s="17"/>
      <c r="V542" s="17"/>
      <c r="W542" s="17"/>
      <c r="X542" s="17"/>
      <c r="Y542" s="17"/>
    </row>
    <row r="543" spans="1:25">
      <c r="A543" s="17" t="s">
        <v>7219</v>
      </c>
      <c r="B543" s="17" t="s">
        <v>7219</v>
      </c>
      <c r="C543" s="17" t="s">
        <v>7220</v>
      </c>
      <c r="D543" s="17" t="s">
        <v>7221</v>
      </c>
      <c r="E543" s="17" t="s">
        <v>4721</v>
      </c>
      <c r="F543" s="17" t="s">
        <v>7219</v>
      </c>
      <c r="G543" s="17" t="s">
        <v>2671</v>
      </c>
      <c r="H543" s="17" t="s">
        <v>4312</v>
      </c>
      <c r="I543" s="17" t="s">
        <v>2672</v>
      </c>
      <c r="J543" s="17" t="s">
        <v>4723</v>
      </c>
      <c r="K543" s="17" t="s">
        <v>7056</v>
      </c>
      <c r="L543" s="17" t="s">
        <v>7222</v>
      </c>
      <c r="M543" s="17" t="s">
        <v>7221</v>
      </c>
      <c r="N543" s="17" t="s">
        <v>7223</v>
      </c>
      <c r="O543" s="17" t="s">
        <v>7635</v>
      </c>
      <c r="P543" s="17" t="s">
        <v>7224</v>
      </c>
      <c r="Q543" s="17" t="s">
        <v>6273</v>
      </c>
      <c r="R543" s="17" t="s">
        <v>7225</v>
      </c>
      <c r="S543" s="17" t="s">
        <v>7635</v>
      </c>
      <c r="T543" s="17" t="s">
        <v>7226</v>
      </c>
      <c r="U543" s="17"/>
      <c r="V543" s="17"/>
      <c r="W543" s="17"/>
      <c r="X543" s="17"/>
      <c r="Y543" s="17"/>
    </row>
    <row r="544" spans="1:25">
      <c r="A544" s="17" t="s">
        <v>7227</v>
      </c>
      <c r="B544" s="17" t="s">
        <v>7227</v>
      </c>
      <c r="C544" s="17" t="s">
        <v>7228</v>
      </c>
      <c r="D544" s="17" t="s">
        <v>6273</v>
      </c>
      <c r="E544" s="17" t="s">
        <v>4721</v>
      </c>
      <c r="F544" s="17" t="s">
        <v>7227</v>
      </c>
      <c r="G544" s="17" t="s">
        <v>2671</v>
      </c>
      <c r="H544" s="17" t="s">
        <v>4312</v>
      </c>
      <c r="I544" s="17" t="s">
        <v>2672</v>
      </c>
      <c r="J544" s="17" t="s">
        <v>4723</v>
      </c>
      <c r="K544" s="17" t="s">
        <v>7060</v>
      </c>
      <c r="L544" s="17" t="s">
        <v>7229</v>
      </c>
      <c r="M544" s="17" t="s">
        <v>6273</v>
      </c>
      <c r="N544" s="17" t="s">
        <v>7230</v>
      </c>
      <c r="O544" s="17" t="s">
        <v>7635</v>
      </c>
      <c r="P544" s="17" t="s">
        <v>7231</v>
      </c>
      <c r="Q544" s="17" t="s">
        <v>6218</v>
      </c>
      <c r="R544" s="17" t="s">
        <v>7232</v>
      </c>
      <c r="S544" s="17" t="s">
        <v>7635</v>
      </c>
      <c r="T544" s="17" t="s">
        <v>7233</v>
      </c>
      <c r="U544" s="17"/>
      <c r="V544" s="17"/>
      <c r="W544" s="17"/>
      <c r="X544" s="17"/>
      <c r="Y544" s="17"/>
    </row>
    <row r="545" spans="1:25">
      <c r="A545" s="17" t="s">
        <v>7068</v>
      </c>
      <c r="B545" s="17" t="s">
        <v>7068</v>
      </c>
      <c r="C545" s="17" t="s">
        <v>7064</v>
      </c>
      <c r="D545" s="17" t="s">
        <v>7032</v>
      </c>
      <c r="E545" s="17" t="s">
        <v>4721</v>
      </c>
      <c r="F545" s="17" t="s">
        <v>7068</v>
      </c>
      <c r="G545" s="17" t="s">
        <v>2671</v>
      </c>
      <c r="H545" s="17" t="s">
        <v>4312</v>
      </c>
      <c r="I545" s="17" t="s">
        <v>2672</v>
      </c>
      <c r="J545" s="17" t="s">
        <v>4723</v>
      </c>
      <c r="K545" s="17" t="s">
        <v>7065</v>
      </c>
      <c r="L545" s="17" t="s">
        <v>7043</v>
      </c>
      <c r="M545" s="17" t="s">
        <v>7032</v>
      </c>
      <c r="N545" s="17" t="s">
        <v>7066</v>
      </c>
      <c r="O545" s="17" t="s">
        <v>7635</v>
      </c>
      <c r="P545" s="17" t="s">
        <v>7067</v>
      </c>
      <c r="Q545" s="17" t="s">
        <v>6218</v>
      </c>
      <c r="R545" s="17" t="s">
        <v>7234</v>
      </c>
      <c r="S545" s="17" t="s">
        <v>7635</v>
      </c>
      <c r="T545" s="17" t="s">
        <v>7235</v>
      </c>
      <c r="U545" s="17"/>
      <c r="V545" s="17"/>
      <c r="W545" s="17"/>
      <c r="X545" s="17"/>
      <c r="Y545" s="17"/>
    </row>
    <row r="546" spans="1:25">
      <c r="A546" s="17" t="s">
        <v>7236</v>
      </c>
      <c r="B546" s="17" t="s">
        <v>7236</v>
      </c>
      <c r="C546" s="17" t="s">
        <v>7070</v>
      </c>
      <c r="D546" s="17" t="s">
        <v>7032</v>
      </c>
      <c r="E546" s="17" t="s">
        <v>4721</v>
      </c>
      <c r="F546" s="17" t="s">
        <v>7236</v>
      </c>
      <c r="G546" s="17" t="s">
        <v>2671</v>
      </c>
      <c r="H546" s="17" t="s">
        <v>4312</v>
      </c>
      <c r="I546" s="17" t="s">
        <v>2672</v>
      </c>
      <c r="J546" s="17" t="s">
        <v>4723</v>
      </c>
      <c r="K546" s="17" t="s">
        <v>7071</v>
      </c>
      <c r="L546" s="17" t="s">
        <v>7043</v>
      </c>
      <c r="M546" s="17" t="s">
        <v>7032</v>
      </c>
      <c r="N546" s="17" t="s">
        <v>7072</v>
      </c>
      <c r="O546" s="17" t="s">
        <v>7635</v>
      </c>
      <c r="P546" s="17" t="s">
        <v>7073</v>
      </c>
      <c r="Q546" s="17" t="s">
        <v>6273</v>
      </c>
      <c r="R546" s="17" t="s">
        <v>7409</v>
      </c>
      <c r="S546" s="17" t="s">
        <v>7635</v>
      </c>
      <c r="T546" s="17" t="s">
        <v>7410</v>
      </c>
      <c r="U546" s="17"/>
      <c r="V546" s="17"/>
      <c r="W546" s="17"/>
      <c r="X546" s="17"/>
      <c r="Y546" s="17"/>
    </row>
    <row r="547" spans="1:25">
      <c r="A547" s="17" t="s">
        <v>7238</v>
      </c>
      <c r="B547" s="17" t="s">
        <v>7238</v>
      </c>
      <c r="C547" s="17" t="s">
        <v>7077</v>
      </c>
      <c r="D547" s="17" t="s">
        <v>7032</v>
      </c>
      <c r="E547" s="17" t="s">
        <v>4721</v>
      </c>
      <c r="F547" s="17" t="s">
        <v>7238</v>
      </c>
      <c r="G547" s="17" t="s">
        <v>2671</v>
      </c>
      <c r="H547" s="17" t="s">
        <v>4312</v>
      </c>
      <c r="I547" s="17" t="s">
        <v>2672</v>
      </c>
      <c r="J547" s="17" t="s">
        <v>4723</v>
      </c>
      <c r="K547" s="17" t="s">
        <v>7078</v>
      </c>
      <c r="L547" s="17" t="s">
        <v>7043</v>
      </c>
      <c r="M547" s="17" t="s">
        <v>7032</v>
      </c>
      <c r="N547" s="17" t="s">
        <v>7079</v>
      </c>
      <c r="O547" s="17" t="s">
        <v>7635</v>
      </c>
      <c r="P547" s="17" t="s">
        <v>7080</v>
      </c>
      <c r="Q547" s="17" t="s">
        <v>6218</v>
      </c>
      <c r="R547" s="17" t="s">
        <v>7239</v>
      </c>
      <c r="S547" s="17" t="s">
        <v>7635</v>
      </c>
      <c r="T547" s="17" t="s">
        <v>7240</v>
      </c>
      <c r="U547" s="17"/>
      <c r="V547" s="17"/>
      <c r="W547" s="17"/>
      <c r="X547" s="17"/>
      <c r="Y547" s="17"/>
    </row>
    <row r="548" spans="1:25">
      <c r="A548" s="17" t="s">
        <v>7241</v>
      </c>
      <c r="B548" s="17" t="s">
        <v>7241</v>
      </c>
      <c r="C548" s="17" t="s">
        <v>7084</v>
      </c>
      <c r="D548" s="17" t="s">
        <v>7032</v>
      </c>
      <c r="E548" s="17" t="s">
        <v>4721</v>
      </c>
      <c r="F548" s="17" t="s">
        <v>7241</v>
      </c>
      <c r="G548" s="17" t="s">
        <v>2671</v>
      </c>
      <c r="H548" s="17" t="s">
        <v>4312</v>
      </c>
      <c r="I548" s="17" t="s">
        <v>2672</v>
      </c>
      <c r="J548" s="17" t="s">
        <v>4723</v>
      </c>
      <c r="K548" s="17" t="s">
        <v>7085</v>
      </c>
      <c r="L548" s="17" t="s">
        <v>7043</v>
      </c>
      <c r="M548" s="17" t="s">
        <v>7032</v>
      </c>
      <c r="N548" s="17" t="s">
        <v>7086</v>
      </c>
      <c r="O548" s="17" t="s">
        <v>7635</v>
      </c>
      <c r="P548" s="17" t="s">
        <v>7087</v>
      </c>
      <c r="Q548" s="17" t="s">
        <v>7221</v>
      </c>
      <c r="R548" s="17" t="s">
        <v>7411</v>
      </c>
      <c r="S548" s="17" t="s">
        <v>7635</v>
      </c>
      <c r="T548" s="17" t="s">
        <v>7412</v>
      </c>
      <c r="U548" s="17"/>
      <c r="V548" s="17"/>
      <c r="W548" s="17"/>
      <c r="X548" s="17"/>
      <c r="Y548" s="17"/>
    </row>
    <row r="549" spans="1:25">
      <c r="A549" s="17" t="s">
        <v>7095</v>
      </c>
      <c r="B549" s="17" t="s">
        <v>7095</v>
      </c>
      <c r="C549" s="17" t="s">
        <v>7091</v>
      </c>
      <c r="D549" s="17" t="s">
        <v>7032</v>
      </c>
      <c r="E549" s="17" t="s">
        <v>4721</v>
      </c>
      <c r="F549" s="17" t="s">
        <v>7095</v>
      </c>
      <c r="G549" s="17" t="s">
        <v>2671</v>
      </c>
      <c r="H549" s="17" t="s">
        <v>4312</v>
      </c>
      <c r="I549" s="17" t="s">
        <v>2672</v>
      </c>
      <c r="J549" s="17" t="s">
        <v>4723</v>
      </c>
      <c r="K549" s="17" t="s">
        <v>7092</v>
      </c>
      <c r="L549" s="17" t="s">
        <v>7043</v>
      </c>
      <c r="M549" s="17" t="s">
        <v>7032</v>
      </c>
      <c r="N549" s="17" t="s">
        <v>7093</v>
      </c>
      <c r="O549" s="17" t="s">
        <v>7635</v>
      </c>
      <c r="P549" s="17" t="s">
        <v>7094</v>
      </c>
      <c r="Q549" s="17" t="s">
        <v>6218</v>
      </c>
      <c r="R549" s="17" t="s">
        <v>7242</v>
      </c>
      <c r="S549" s="17" t="s">
        <v>7635</v>
      </c>
      <c r="T549" s="17" t="s">
        <v>7243</v>
      </c>
      <c r="U549" s="17"/>
      <c r="V549" s="17"/>
      <c r="W549" s="17"/>
      <c r="X549" s="17"/>
      <c r="Y549" s="17"/>
    </row>
    <row r="550" spans="1:25">
      <c r="A550" s="17" t="s">
        <v>7244</v>
      </c>
      <c r="B550" s="17" t="s">
        <v>7244</v>
      </c>
      <c r="C550" s="17" t="s">
        <v>7097</v>
      </c>
      <c r="D550" s="17" t="s">
        <v>7032</v>
      </c>
      <c r="E550" s="17" t="s">
        <v>4721</v>
      </c>
      <c r="F550" s="17" t="s">
        <v>7244</v>
      </c>
      <c r="G550" s="17" t="s">
        <v>2671</v>
      </c>
      <c r="H550" s="17" t="s">
        <v>4312</v>
      </c>
      <c r="I550" s="17" t="s">
        <v>2672</v>
      </c>
      <c r="J550" s="17" t="s">
        <v>4723</v>
      </c>
      <c r="K550" s="17" t="s">
        <v>7098</v>
      </c>
      <c r="L550" s="17" t="s">
        <v>7043</v>
      </c>
      <c r="M550" s="17" t="s">
        <v>7032</v>
      </c>
      <c r="N550" s="17" t="s">
        <v>7099</v>
      </c>
      <c r="O550" s="17" t="s">
        <v>7635</v>
      </c>
      <c r="P550" s="17" t="s">
        <v>7100</v>
      </c>
      <c r="Q550" s="17" t="s">
        <v>7221</v>
      </c>
      <c r="R550" s="17" t="s">
        <v>7245</v>
      </c>
      <c r="S550" s="17" t="s">
        <v>7635</v>
      </c>
      <c r="T550" s="17" t="s">
        <v>7246</v>
      </c>
      <c r="U550" s="17"/>
      <c r="V550" s="17"/>
      <c r="W550" s="17"/>
      <c r="X550" s="17"/>
      <c r="Y550" s="17"/>
    </row>
    <row r="551" spans="1:25">
      <c r="A551" s="17" t="s">
        <v>7247</v>
      </c>
      <c r="B551" s="17" t="s">
        <v>7247</v>
      </c>
      <c r="C551" s="17" t="s">
        <v>7104</v>
      </c>
      <c r="D551" s="17" t="s">
        <v>7032</v>
      </c>
      <c r="E551" s="17" t="s">
        <v>4721</v>
      </c>
      <c r="F551" s="17" t="s">
        <v>7247</v>
      </c>
      <c r="G551" s="17" t="s">
        <v>2671</v>
      </c>
      <c r="H551" s="17" t="s">
        <v>4312</v>
      </c>
      <c r="I551" s="17" t="s">
        <v>2672</v>
      </c>
      <c r="J551" s="17" t="s">
        <v>4723</v>
      </c>
      <c r="K551" s="17" t="s">
        <v>7105</v>
      </c>
      <c r="L551" s="17" t="s">
        <v>7043</v>
      </c>
      <c r="M551" s="17" t="s">
        <v>7032</v>
      </c>
      <c r="N551" s="17" t="s">
        <v>7106</v>
      </c>
      <c r="O551" s="17" t="s">
        <v>7635</v>
      </c>
      <c r="P551" s="17" t="s">
        <v>7107</v>
      </c>
      <c r="Q551" s="17" t="s">
        <v>6218</v>
      </c>
      <c r="R551" s="17" t="s">
        <v>7248</v>
      </c>
      <c r="S551" s="17" t="s">
        <v>7635</v>
      </c>
      <c r="T551" s="17" t="s">
        <v>7249</v>
      </c>
      <c r="U551" s="17"/>
      <c r="V551" s="17"/>
      <c r="W551" s="17"/>
      <c r="X551" s="17"/>
      <c r="Y551" s="17"/>
    </row>
    <row r="552" spans="1:25">
      <c r="A552" s="17" t="s">
        <v>7252</v>
      </c>
      <c r="B552" s="17" t="s">
        <v>7252</v>
      </c>
      <c r="C552" s="17" t="s">
        <v>7300</v>
      </c>
      <c r="D552" s="17" t="s">
        <v>7221</v>
      </c>
      <c r="E552" s="17" t="s">
        <v>4721</v>
      </c>
      <c r="F552" s="17" t="s">
        <v>7252</v>
      </c>
      <c r="G552" s="17" t="s">
        <v>2671</v>
      </c>
      <c r="H552" s="17" t="s">
        <v>4312</v>
      </c>
      <c r="I552" s="17" t="s">
        <v>2672</v>
      </c>
      <c r="J552" s="17" t="s">
        <v>4723</v>
      </c>
      <c r="K552" s="17" t="s">
        <v>7112</v>
      </c>
      <c r="L552" s="17" t="s">
        <v>7222</v>
      </c>
      <c r="M552" s="17" t="s">
        <v>7221</v>
      </c>
      <c r="N552" s="17" t="s">
        <v>7413</v>
      </c>
      <c r="O552" s="17" t="s">
        <v>7635</v>
      </c>
      <c r="P552" s="17" t="s">
        <v>7414</v>
      </c>
      <c r="Q552" s="17" t="s">
        <v>6218</v>
      </c>
      <c r="R552" s="17" t="s">
        <v>7253</v>
      </c>
      <c r="S552" s="17" t="s">
        <v>7635</v>
      </c>
      <c r="T552" s="17" t="s">
        <v>7254</v>
      </c>
      <c r="U552" s="17"/>
      <c r="V552" s="17"/>
      <c r="W552" s="17"/>
      <c r="X552" s="17"/>
      <c r="Y552" s="17"/>
    </row>
    <row r="553" spans="1:25">
      <c r="A553" s="17" t="s">
        <v>7255</v>
      </c>
      <c r="B553" s="17" t="s">
        <v>7255</v>
      </c>
      <c r="C553" s="17" t="s">
        <v>7300</v>
      </c>
      <c r="D553" s="17" t="s">
        <v>7221</v>
      </c>
      <c r="E553" s="17" t="s">
        <v>4721</v>
      </c>
      <c r="F553" s="17" t="s">
        <v>7255</v>
      </c>
      <c r="G553" s="17" t="s">
        <v>2671</v>
      </c>
      <c r="H553" s="17" t="s">
        <v>4312</v>
      </c>
      <c r="I553" s="17" t="s">
        <v>2672</v>
      </c>
      <c r="J553" s="17" t="s">
        <v>4723</v>
      </c>
      <c r="K553" s="17" t="s">
        <v>7119</v>
      </c>
      <c r="L553" s="17" t="s">
        <v>7222</v>
      </c>
      <c r="M553" s="17" t="s">
        <v>7221</v>
      </c>
      <c r="N553" s="17" t="s">
        <v>7415</v>
      </c>
      <c r="O553" s="17" t="s">
        <v>7635</v>
      </c>
      <c r="P553" s="17" t="s">
        <v>7416</v>
      </c>
      <c r="Q553" s="17" t="s">
        <v>6218</v>
      </c>
      <c r="R553" s="17" t="s">
        <v>7256</v>
      </c>
      <c r="S553" s="17" t="s">
        <v>7635</v>
      </c>
      <c r="T553" s="17" t="s">
        <v>7257</v>
      </c>
      <c r="U553" s="17"/>
      <c r="V553" s="17"/>
      <c r="W553" s="17"/>
      <c r="X553" s="17"/>
      <c r="Y553" s="17"/>
    </row>
    <row r="554" spans="1:25">
      <c r="A554" s="17" t="s">
        <v>7258</v>
      </c>
      <c r="B554" s="17" t="s">
        <v>7258</v>
      </c>
      <c r="C554" s="17" t="s">
        <v>7123</v>
      </c>
      <c r="D554" s="17" t="s">
        <v>7032</v>
      </c>
      <c r="E554" s="17" t="s">
        <v>4721</v>
      </c>
      <c r="F554" s="17" t="s">
        <v>7258</v>
      </c>
      <c r="G554" s="17" t="s">
        <v>2671</v>
      </c>
      <c r="H554" s="17" t="s">
        <v>4312</v>
      </c>
      <c r="I554" s="17" t="s">
        <v>2672</v>
      </c>
      <c r="J554" s="17" t="s">
        <v>4723</v>
      </c>
      <c r="K554" s="17" t="s">
        <v>7124</v>
      </c>
      <c r="L554" s="17" t="s">
        <v>7043</v>
      </c>
      <c r="M554" s="17" t="s">
        <v>7032</v>
      </c>
      <c r="N554" s="17" t="s">
        <v>7125</v>
      </c>
      <c r="O554" s="17" t="s">
        <v>7635</v>
      </c>
      <c r="P554" s="17" t="s">
        <v>7126</v>
      </c>
      <c r="Q554" s="17" t="s">
        <v>6218</v>
      </c>
      <c r="R554" s="17" t="s">
        <v>7259</v>
      </c>
      <c r="S554" s="17" t="s">
        <v>7635</v>
      </c>
      <c r="T554" s="17" t="s">
        <v>7260</v>
      </c>
      <c r="U554" s="17"/>
      <c r="V554" s="17"/>
      <c r="W554" s="17"/>
      <c r="X554" s="17"/>
      <c r="Y554" s="17"/>
    </row>
    <row r="555" spans="1:25">
      <c r="A555" s="17" t="s">
        <v>7261</v>
      </c>
      <c r="B555" s="17" t="s">
        <v>7261</v>
      </c>
      <c r="C555" s="17" t="s">
        <v>7130</v>
      </c>
      <c r="D555" s="17" t="s">
        <v>7032</v>
      </c>
      <c r="E555" s="17" t="s">
        <v>4721</v>
      </c>
      <c r="F555" s="17" t="s">
        <v>7261</v>
      </c>
      <c r="G555" s="17" t="s">
        <v>2671</v>
      </c>
      <c r="H555" s="17" t="s">
        <v>4312</v>
      </c>
      <c r="I555" s="17" t="s">
        <v>2672</v>
      </c>
      <c r="J555" s="17" t="s">
        <v>4723</v>
      </c>
      <c r="K555" s="17" t="s">
        <v>7131</v>
      </c>
      <c r="L555" s="17" t="s">
        <v>7043</v>
      </c>
      <c r="M555" s="17" t="s">
        <v>7032</v>
      </c>
      <c r="N555" s="17" t="s">
        <v>7132</v>
      </c>
      <c r="O555" s="17" t="s">
        <v>7635</v>
      </c>
      <c r="P555" s="17" t="s">
        <v>7133</v>
      </c>
      <c r="Q555" s="17" t="s">
        <v>7221</v>
      </c>
      <c r="R555" s="17" t="s">
        <v>7262</v>
      </c>
      <c r="S555" s="17" t="s">
        <v>7635</v>
      </c>
      <c r="T555" s="17" t="s">
        <v>7263</v>
      </c>
      <c r="U555" s="17"/>
      <c r="V555" s="17"/>
      <c r="W555" s="17"/>
      <c r="X555" s="17"/>
      <c r="Y555" s="17"/>
    </row>
    <row r="556" spans="1:25">
      <c r="A556" s="17" t="s">
        <v>7264</v>
      </c>
      <c r="B556" s="17" t="s">
        <v>7264</v>
      </c>
      <c r="C556" s="17" t="s">
        <v>7265</v>
      </c>
      <c r="D556" s="17" t="s">
        <v>6218</v>
      </c>
      <c r="E556" s="17" t="s">
        <v>4721</v>
      </c>
      <c r="F556" s="17" t="s">
        <v>7264</v>
      </c>
      <c r="G556" s="17" t="s">
        <v>2671</v>
      </c>
      <c r="H556" s="17" t="s">
        <v>4312</v>
      </c>
      <c r="I556" s="17" t="s">
        <v>2672</v>
      </c>
      <c r="J556" s="17" t="s">
        <v>4723</v>
      </c>
      <c r="K556" s="17" t="s">
        <v>7138</v>
      </c>
      <c r="L556" s="17" t="s">
        <v>7237</v>
      </c>
      <c r="M556" s="17" t="s">
        <v>6218</v>
      </c>
      <c r="N556" s="17" t="s">
        <v>7266</v>
      </c>
      <c r="O556" s="17" t="s">
        <v>7635</v>
      </c>
      <c r="P556" s="17" t="s">
        <v>7267</v>
      </c>
      <c r="Q556" s="17" t="s">
        <v>7221</v>
      </c>
      <c r="R556" s="17" t="s">
        <v>7268</v>
      </c>
      <c r="S556" s="17" t="s">
        <v>7635</v>
      </c>
      <c r="T556" s="17" t="s">
        <v>7269</v>
      </c>
      <c r="U556" s="17"/>
      <c r="V556" s="17"/>
      <c r="W556" s="17"/>
      <c r="X556" s="17"/>
      <c r="Y556" s="17"/>
    </row>
    <row r="557" spans="1:25">
      <c r="A557" s="17" t="s">
        <v>7270</v>
      </c>
      <c r="B557" s="17" t="s">
        <v>7270</v>
      </c>
      <c r="C557" s="17" t="s">
        <v>7144</v>
      </c>
      <c r="D557" s="17" t="s">
        <v>7032</v>
      </c>
      <c r="E557" s="17" t="s">
        <v>4721</v>
      </c>
      <c r="F557" s="17" t="s">
        <v>7270</v>
      </c>
      <c r="G557" s="17" t="s">
        <v>2671</v>
      </c>
      <c r="H557" s="17" t="s">
        <v>4312</v>
      </c>
      <c r="I557" s="17" t="s">
        <v>2672</v>
      </c>
      <c r="J557" s="17" t="s">
        <v>4723</v>
      </c>
      <c r="K557" s="17" t="s">
        <v>7145</v>
      </c>
      <c r="L557" s="17" t="s">
        <v>7043</v>
      </c>
      <c r="M557" s="17" t="s">
        <v>7032</v>
      </c>
      <c r="N557" s="17" t="s">
        <v>7146</v>
      </c>
      <c r="O557" s="17" t="s">
        <v>7635</v>
      </c>
      <c r="P557" s="17" t="s">
        <v>7147</v>
      </c>
      <c r="Q557" s="17" t="s">
        <v>7221</v>
      </c>
      <c r="R557" s="17" t="s">
        <v>7417</v>
      </c>
      <c r="S557" s="17" t="s">
        <v>7635</v>
      </c>
      <c r="T557" s="17" t="s">
        <v>7418</v>
      </c>
      <c r="U557" s="17"/>
      <c r="V557" s="17"/>
      <c r="W557" s="17"/>
      <c r="X557" s="17"/>
      <c r="Y557" s="17"/>
    </row>
    <row r="558" spans="1:25">
      <c r="A558" s="17" t="s">
        <v>7271</v>
      </c>
      <c r="B558" s="17" t="s">
        <v>7271</v>
      </c>
      <c r="C558" s="17" t="s">
        <v>7151</v>
      </c>
      <c r="D558" s="17" t="s">
        <v>7032</v>
      </c>
      <c r="E558" s="17" t="s">
        <v>4721</v>
      </c>
      <c r="F558" s="17" t="s">
        <v>7271</v>
      </c>
      <c r="G558" s="17" t="s">
        <v>2671</v>
      </c>
      <c r="H558" s="17" t="s">
        <v>4312</v>
      </c>
      <c r="I558" s="17" t="s">
        <v>2672</v>
      </c>
      <c r="J558" s="17" t="s">
        <v>4723</v>
      </c>
      <c r="K558" s="17" t="s">
        <v>7152</v>
      </c>
      <c r="L558" s="17" t="s">
        <v>7043</v>
      </c>
      <c r="M558" s="17" t="s">
        <v>7032</v>
      </c>
      <c r="N558" s="17" t="s">
        <v>7153</v>
      </c>
      <c r="O558" s="17" t="s">
        <v>7635</v>
      </c>
      <c r="P558" s="17" t="s">
        <v>7154</v>
      </c>
      <c r="Q558" s="17" t="s">
        <v>7221</v>
      </c>
      <c r="R558" s="17" t="s">
        <v>7419</v>
      </c>
      <c r="S558" s="17" t="s">
        <v>7635</v>
      </c>
      <c r="T558" s="17" t="s">
        <v>7420</v>
      </c>
      <c r="U558" s="17"/>
      <c r="V558" s="17"/>
      <c r="W558" s="17"/>
      <c r="X558" s="17"/>
      <c r="Y558" s="17"/>
    </row>
    <row r="559" spans="1:25">
      <c r="A559" s="17" t="s">
        <v>7162</v>
      </c>
      <c r="B559" s="17" t="s">
        <v>7162</v>
      </c>
      <c r="C559" s="17" t="s">
        <v>7421</v>
      </c>
      <c r="D559" s="17" t="s">
        <v>6218</v>
      </c>
      <c r="E559" s="17" t="s">
        <v>4721</v>
      </c>
      <c r="F559" s="17" t="s">
        <v>7162</v>
      </c>
      <c r="G559" s="17" t="s">
        <v>2671</v>
      </c>
      <c r="H559" s="17" t="s">
        <v>4312</v>
      </c>
      <c r="I559" s="17" t="s">
        <v>2672</v>
      </c>
      <c r="J559" s="17" t="s">
        <v>4723</v>
      </c>
      <c r="K559" s="17" t="s">
        <v>7159</v>
      </c>
      <c r="L559" s="17" t="s">
        <v>7237</v>
      </c>
      <c r="M559" s="17" t="s">
        <v>6218</v>
      </c>
      <c r="N559" s="17" t="s">
        <v>7422</v>
      </c>
      <c r="O559" s="17" t="s">
        <v>7635</v>
      </c>
      <c r="P559" s="17" t="s">
        <v>7423</v>
      </c>
      <c r="Q559" s="17" t="s">
        <v>6218</v>
      </c>
      <c r="R559" s="17" t="s">
        <v>7274</v>
      </c>
      <c r="S559" s="17" t="s">
        <v>7635</v>
      </c>
      <c r="T559" s="17" t="s">
        <v>7275</v>
      </c>
      <c r="U559" s="17"/>
      <c r="V559" s="17"/>
      <c r="W559" s="17"/>
      <c r="X559" s="17"/>
      <c r="Y559" s="17"/>
    </row>
    <row r="560" spans="1:25">
      <c r="A560" s="17" t="s">
        <v>7276</v>
      </c>
      <c r="B560" s="17" t="s">
        <v>7276</v>
      </c>
      <c r="C560" s="17" t="s">
        <v>7277</v>
      </c>
      <c r="D560" s="17" t="s">
        <v>6218</v>
      </c>
      <c r="E560" s="17" t="s">
        <v>4721</v>
      </c>
      <c r="F560" s="17" t="s">
        <v>7276</v>
      </c>
      <c r="G560" s="17" t="s">
        <v>2671</v>
      </c>
      <c r="H560" s="17" t="s">
        <v>4312</v>
      </c>
      <c r="I560" s="17" t="s">
        <v>2672</v>
      </c>
      <c r="J560" s="17" t="s">
        <v>4723</v>
      </c>
      <c r="K560" s="17" t="s">
        <v>7165</v>
      </c>
      <c r="L560" s="17" t="s">
        <v>7237</v>
      </c>
      <c r="M560" s="17" t="s">
        <v>6218</v>
      </c>
      <c r="N560" s="17" t="s">
        <v>7278</v>
      </c>
      <c r="O560" s="17" t="s">
        <v>7635</v>
      </c>
      <c r="P560" s="17" t="s">
        <v>7279</v>
      </c>
      <c r="Q560" s="17" t="s">
        <v>6273</v>
      </c>
      <c r="R560" s="17" t="s">
        <v>7424</v>
      </c>
      <c r="S560" s="17" t="s">
        <v>7635</v>
      </c>
      <c r="T560" s="17" t="s">
        <v>7425</v>
      </c>
      <c r="U560" s="17"/>
      <c r="V560" s="17"/>
      <c r="W560" s="17"/>
      <c r="X560" s="17"/>
      <c r="Y560" s="17"/>
    </row>
    <row r="561" spans="1:25">
      <c r="A561" s="17" t="s">
        <v>7280</v>
      </c>
      <c r="B561" s="17" t="s">
        <v>7280</v>
      </c>
      <c r="C561" s="17" t="s">
        <v>7171</v>
      </c>
      <c r="D561" s="17" t="s">
        <v>7032</v>
      </c>
      <c r="E561" s="17" t="s">
        <v>4721</v>
      </c>
      <c r="F561" s="17" t="s">
        <v>7280</v>
      </c>
      <c r="G561" s="17" t="s">
        <v>2671</v>
      </c>
      <c r="H561" s="17" t="s">
        <v>4312</v>
      </c>
      <c r="I561" s="17" t="s">
        <v>2672</v>
      </c>
      <c r="J561" s="17" t="s">
        <v>4723</v>
      </c>
      <c r="K561" s="17" t="s">
        <v>7172</v>
      </c>
      <c r="L561" s="17" t="s">
        <v>7043</v>
      </c>
      <c r="M561" s="17" t="s">
        <v>7032</v>
      </c>
      <c r="N561" s="17" t="s">
        <v>7173</v>
      </c>
      <c r="O561" s="17" t="s">
        <v>7635</v>
      </c>
      <c r="P561" s="17" t="s">
        <v>7174</v>
      </c>
      <c r="Q561" s="17" t="s">
        <v>6218</v>
      </c>
      <c r="R561" s="17" t="s">
        <v>7281</v>
      </c>
      <c r="S561" s="17" t="s">
        <v>7635</v>
      </c>
      <c r="T561" s="17" t="s">
        <v>7282</v>
      </c>
      <c r="U561" s="17"/>
      <c r="V561" s="17"/>
      <c r="W561" s="17"/>
      <c r="X561" s="17"/>
      <c r="Y561" s="17"/>
    </row>
    <row r="562" spans="1:25">
      <c r="A562" s="17" t="s">
        <v>7283</v>
      </c>
      <c r="B562" s="17" t="s">
        <v>7283</v>
      </c>
      <c r="C562" s="17" t="s">
        <v>7284</v>
      </c>
      <c r="D562" s="17" t="s">
        <v>6273</v>
      </c>
      <c r="E562" s="17" t="s">
        <v>4721</v>
      </c>
      <c r="F562" s="17" t="s">
        <v>7283</v>
      </c>
      <c r="G562" s="17" t="s">
        <v>2671</v>
      </c>
      <c r="H562" s="17" t="s">
        <v>4312</v>
      </c>
      <c r="I562" s="17" t="s">
        <v>2672</v>
      </c>
      <c r="J562" s="17" t="s">
        <v>4723</v>
      </c>
      <c r="K562" s="17" t="s">
        <v>7178</v>
      </c>
      <c r="L562" s="17" t="s">
        <v>7229</v>
      </c>
      <c r="M562" s="17" t="s">
        <v>6273</v>
      </c>
      <c r="N562" s="17" t="s">
        <v>7285</v>
      </c>
      <c r="O562" s="17" t="s">
        <v>7635</v>
      </c>
      <c r="P562" s="17" t="s">
        <v>7286</v>
      </c>
      <c r="Q562" s="17" t="s">
        <v>6218</v>
      </c>
      <c r="R562" s="17" t="s">
        <v>7287</v>
      </c>
      <c r="S562" s="17" t="s">
        <v>7635</v>
      </c>
      <c r="T562" s="17" t="s">
        <v>7288</v>
      </c>
      <c r="U562" s="17"/>
      <c r="V562" s="17"/>
      <c r="W562" s="17"/>
      <c r="X562" s="17"/>
      <c r="Y562" s="17"/>
    </row>
    <row r="563" spans="1:25">
      <c r="A563" s="17" t="s">
        <v>7289</v>
      </c>
      <c r="B563" s="17" t="s">
        <v>7289</v>
      </c>
      <c r="C563" s="17" t="s">
        <v>7300</v>
      </c>
      <c r="D563" s="17" t="s">
        <v>7221</v>
      </c>
      <c r="E563" s="17" t="s">
        <v>4721</v>
      </c>
      <c r="F563" s="17" t="s">
        <v>7289</v>
      </c>
      <c r="G563" s="17" t="s">
        <v>2671</v>
      </c>
      <c r="H563" s="17" t="s">
        <v>4312</v>
      </c>
      <c r="I563" s="17" t="s">
        <v>2672</v>
      </c>
      <c r="J563" s="17" t="s">
        <v>4723</v>
      </c>
      <c r="K563" s="17" t="s">
        <v>7182</v>
      </c>
      <c r="L563" s="17" t="s">
        <v>7222</v>
      </c>
      <c r="M563" s="17" t="s">
        <v>7221</v>
      </c>
      <c r="N563" s="17" t="s">
        <v>7426</v>
      </c>
      <c r="O563" s="17" t="s">
        <v>7635</v>
      </c>
      <c r="P563" s="17" t="s">
        <v>7427</v>
      </c>
      <c r="Q563" s="17" t="s">
        <v>6273</v>
      </c>
      <c r="R563" s="17" t="s">
        <v>7428</v>
      </c>
      <c r="S563" s="17" t="s">
        <v>7635</v>
      </c>
      <c r="T563" s="17" t="s">
        <v>7429</v>
      </c>
      <c r="U563" s="17"/>
      <c r="V563" s="17"/>
      <c r="W563" s="17"/>
      <c r="X563" s="17"/>
      <c r="Y563" s="17"/>
    </row>
    <row r="564" spans="1:25">
      <c r="A564" s="17" t="s">
        <v>7292</v>
      </c>
      <c r="B564" s="17" t="s">
        <v>7292</v>
      </c>
      <c r="C564" s="17" t="s">
        <v>7186</v>
      </c>
      <c r="D564" s="17" t="s">
        <v>7032</v>
      </c>
      <c r="E564" s="17" t="s">
        <v>4721</v>
      </c>
      <c r="F564" s="17" t="s">
        <v>7292</v>
      </c>
      <c r="G564" s="17" t="s">
        <v>2671</v>
      </c>
      <c r="H564" s="17" t="s">
        <v>4312</v>
      </c>
      <c r="I564" s="17" t="s">
        <v>2672</v>
      </c>
      <c r="J564" s="17" t="s">
        <v>4723</v>
      </c>
      <c r="K564" s="17" t="s">
        <v>7187</v>
      </c>
      <c r="L564" s="17" t="s">
        <v>7043</v>
      </c>
      <c r="M564" s="17" t="s">
        <v>7032</v>
      </c>
      <c r="N564" s="17" t="s">
        <v>7188</v>
      </c>
      <c r="O564" s="17" t="s">
        <v>7635</v>
      </c>
      <c r="P564" s="17" t="s">
        <v>7189</v>
      </c>
      <c r="Q564" s="17" t="s">
        <v>6218</v>
      </c>
      <c r="R564" s="17" t="s">
        <v>7293</v>
      </c>
      <c r="S564" s="17" t="s">
        <v>7635</v>
      </c>
      <c r="T564" s="17" t="s">
        <v>7294</v>
      </c>
      <c r="U564" s="17"/>
      <c r="V564" s="17"/>
      <c r="W564" s="17"/>
      <c r="X564" s="17"/>
      <c r="Y564" s="17"/>
    </row>
    <row r="565" spans="1:25">
      <c r="A565" s="17" t="s">
        <v>7193</v>
      </c>
      <c r="B565" s="17" t="s">
        <v>7193</v>
      </c>
      <c r="C565" s="17" t="s">
        <v>7300</v>
      </c>
      <c r="D565" s="17" t="s">
        <v>7221</v>
      </c>
      <c r="E565" s="17" t="s">
        <v>4721</v>
      </c>
      <c r="F565" s="17" t="s">
        <v>7193</v>
      </c>
      <c r="G565" s="17" t="s">
        <v>2671</v>
      </c>
      <c r="H565" s="17" t="s">
        <v>4312</v>
      </c>
      <c r="I565" s="17" t="s">
        <v>2672</v>
      </c>
      <c r="J565" s="17" t="s">
        <v>4723</v>
      </c>
      <c r="K565" s="17" t="s">
        <v>7192</v>
      </c>
      <c r="L565" s="17" t="s">
        <v>7222</v>
      </c>
      <c r="M565" s="17" t="s">
        <v>7221</v>
      </c>
      <c r="N565" s="17" t="s">
        <v>7430</v>
      </c>
      <c r="O565" s="17" t="s">
        <v>7635</v>
      </c>
      <c r="P565" s="17" t="s">
        <v>7431</v>
      </c>
      <c r="Q565" s="17" t="s">
        <v>6218</v>
      </c>
      <c r="R565" s="17" t="s">
        <v>7295</v>
      </c>
      <c r="S565" s="17" t="s">
        <v>7635</v>
      </c>
      <c r="T565" s="17" t="s">
        <v>7296</v>
      </c>
      <c r="U565" s="17"/>
      <c r="V565" s="17"/>
      <c r="W565" s="17"/>
      <c r="X565" s="17"/>
      <c r="Y565" s="17"/>
    </row>
    <row r="566" spans="1:25">
      <c r="A566" s="17" t="s">
        <v>7198</v>
      </c>
      <c r="B566" s="17" t="s">
        <v>7198</v>
      </c>
      <c r="C566" s="17" t="s">
        <v>7194</v>
      </c>
      <c r="D566" s="17" t="s">
        <v>7032</v>
      </c>
      <c r="E566" s="17" t="s">
        <v>4721</v>
      </c>
      <c r="F566" s="17" t="s">
        <v>7198</v>
      </c>
      <c r="G566" s="17" t="s">
        <v>2671</v>
      </c>
      <c r="H566" s="17" t="s">
        <v>4312</v>
      </c>
      <c r="I566" s="17" t="s">
        <v>2672</v>
      </c>
      <c r="J566" s="17" t="s">
        <v>4723</v>
      </c>
      <c r="K566" s="17" t="s">
        <v>7195</v>
      </c>
      <c r="L566" s="17" t="s">
        <v>7043</v>
      </c>
      <c r="M566" s="17" t="s">
        <v>7032</v>
      </c>
      <c r="N566" s="17" t="s">
        <v>7196</v>
      </c>
      <c r="O566" s="17" t="s">
        <v>7635</v>
      </c>
      <c r="P566" s="17" t="s">
        <v>7197</v>
      </c>
      <c r="Q566" s="17" t="s">
        <v>7221</v>
      </c>
      <c r="R566" s="17" t="s">
        <v>7432</v>
      </c>
      <c r="S566" s="17" t="s">
        <v>7635</v>
      </c>
      <c r="T566" s="17" t="s">
        <v>7433</v>
      </c>
      <c r="U566" s="17"/>
      <c r="V566" s="17"/>
      <c r="W566" s="17"/>
      <c r="X566" s="17"/>
      <c r="Y566" s="17"/>
    </row>
    <row r="567" spans="1:25">
      <c r="A567" s="17" t="s">
        <v>7203</v>
      </c>
      <c r="B567" s="17" t="s">
        <v>7203</v>
      </c>
      <c r="C567" s="17" t="s">
        <v>7199</v>
      </c>
      <c r="D567" s="17" t="s">
        <v>7032</v>
      </c>
      <c r="E567" s="17" t="s">
        <v>4721</v>
      </c>
      <c r="F567" s="17" t="s">
        <v>7203</v>
      </c>
      <c r="G567" s="17" t="s">
        <v>2671</v>
      </c>
      <c r="H567" s="17" t="s">
        <v>4312</v>
      </c>
      <c r="I567" s="17" t="s">
        <v>2672</v>
      </c>
      <c r="J567" s="17" t="s">
        <v>4723</v>
      </c>
      <c r="K567" s="17" t="s">
        <v>7200</v>
      </c>
      <c r="L567" s="17" t="s">
        <v>7043</v>
      </c>
      <c r="M567" s="17" t="s">
        <v>7032</v>
      </c>
      <c r="N567" s="17" t="s">
        <v>7201</v>
      </c>
      <c r="O567" s="17" t="s">
        <v>7635</v>
      </c>
      <c r="P567" s="17" t="s">
        <v>7202</v>
      </c>
      <c r="Q567" s="17" t="s">
        <v>6273</v>
      </c>
      <c r="R567" s="17" t="s">
        <v>7297</v>
      </c>
      <c r="S567" s="17" t="s">
        <v>7635</v>
      </c>
      <c r="T567" s="17" t="s">
        <v>7298</v>
      </c>
      <c r="U567" s="17"/>
      <c r="V567" s="17"/>
      <c r="W567" s="17"/>
      <c r="X567" s="17"/>
      <c r="Y567" s="17"/>
    </row>
    <row r="568" spans="1:25">
      <c r="A568" s="17" t="s">
        <v>7299</v>
      </c>
      <c r="B568" s="17" t="s">
        <v>7299</v>
      </c>
      <c r="C568" s="17" t="s">
        <v>7300</v>
      </c>
      <c r="D568" s="17" t="s">
        <v>7221</v>
      </c>
      <c r="E568" s="17" t="s">
        <v>4721</v>
      </c>
      <c r="F568" s="17" t="s">
        <v>7299</v>
      </c>
      <c r="G568" s="17" t="s">
        <v>2671</v>
      </c>
      <c r="H568" s="17" t="s">
        <v>4312</v>
      </c>
      <c r="I568" s="17" t="s">
        <v>2672</v>
      </c>
      <c r="J568" s="17" t="s">
        <v>4723</v>
      </c>
      <c r="K568" s="17" t="s">
        <v>7205</v>
      </c>
      <c r="L568" s="17" t="s">
        <v>7222</v>
      </c>
      <c r="M568" s="17" t="s">
        <v>7221</v>
      </c>
      <c r="N568" s="17" t="s">
        <v>7301</v>
      </c>
      <c r="O568" s="17" t="s">
        <v>7635</v>
      </c>
      <c r="P568" s="17" t="s">
        <v>7302</v>
      </c>
      <c r="Q568" s="17" t="s">
        <v>6273</v>
      </c>
      <c r="R568" s="17" t="s">
        <v>7434</v>
      </c>
      <c r="S568" s="17" t="s">
        <v>7635</v>
      </c>
      <c r="T568" s="17" t="s">
        <v>7435</v>
      </c>
      <c r="U568" s="17"/>
      <c r="V568" s="17"/>
      <c r="W568" s="17"/>
      <c r="X568" s="17"/>
      <c r="Y568" s="17"/>
    </row>
    <row r="569" spans="1:25">
      <c r="A569" s="17" t="s">
        <v>7303</v>
      </c>
      <c r="B569" s="17" t="s">
        <v>7303</v>
      </c>
      <c r="C569" s="17" t="s">
        <v>7300</v>
      </c>
      <c r="D569" s="17" t="s">
        <v>7221</v>
      </c>
      <c r="E569" s="17" t="s">
        <v>4721</v>
      </c>
      <c r="F569" s="17" t="s">
        <v>7303</v>
      </c>
      <c r="G569" s="17" t="s">
        <v>2671</v>
      </c>
      <c r="H569" s="17" t="s">
        <v>4312</v>
      </c>
      <c r="I569" s="17" t="s">
        <v>2672</v>
      </c>
      <c r="J569" s="17" t="s">
        <v>4723</v>
      </c>
      <c r="K569" s="17" t="s">
        <v>7209</v>
      </c>
      <c r="L569" s="17" t="s">
        <v>7222</v>
      </c>
      <c r="M569" s="17" t="s">
        <v>7221</v>
      </c>
      <c r="N569" s="17" t="s">
        <v>7436</v>
      </c>
      <c r="O569" s="17" t="s">
        <v>7635</v>
      </c>
      <c r="P569" s="17" t="s">
        <v>7437</v>
      </c>
      <c r="Q569" s="17" t="s">
        <v>6273</v>
      </c>
      <c r="R569" s="17" t="s">
        <v>7304</v>
      </c>
      <c r="S569" s="17" t="s">
        <v>7635</v>
      </c>
      <c r="T569" s="17" t="s">
        <v>7305</v>
      </c>
      <c r="U569" s="17"/>
      <c r="V569" s="17"/>
      <c r="W569" s="17"/>
      <c r="X569" s="17"/>
      <c r="Y569" s="17"/>
    </row>
    <row r="570" spans="1:25">
      <c r="A570" s="17" t="s">
        <v>7306</v>
      </c>
      <c r="B570" s="17" t="s">
        <v>7306</v>
      </c>
      <c r="C570" s="17" t="s">
        <v>7300</v>
      </c>
      <c r="D570" s="17" t="s">
        <v>7221</v>
      </c>
      <c r="E570" s="17" t="s">
        <v>4721</v>
      </c>
      <c r="F570" s="17" t="s">
        <v>7306</v>
      </c>
      <c r="G570" s="17" t="s">
        <v>2671</v>
      </c>
      <c r="H570" s="17" t="s">
        <v>4312</v>
      </c>
      <c r="I570" s="17" t="s">
        <v>2672</v>
      </c>
      <c r="J570" s="17" t="s">
        <v>4723</v>
      </c>
      <c r="K570" s="17" t="s">
        <v>7307</v>
      </c>
      <c r="L570" s="17" t="s">
        <v>7308</v>
      </c>
      <c r="M570" s="17" t="s">
        <v>7221</v>
      </c>
      <c r="N570" s="17" t="s">
        <v>7309</v>
      </c>
      <c r="O570" s="17" t="s">
        <v>7635</v>
      </c>
      <c r="P570" s="17" t="s">
        <v>7310</v>
      </c>
      <c r="Q570" s="17" t="s">
        <v>6218</v>
      </c>
      <c r="R570" s="17" t="s">
        <v>7311</v>
      </c>
      <c r="S570" s="17" t="s">
        <v>7635</v>
      </c>
      <c r="T570" s="17" t="s">
        <v>7312</v>
      </c>
      <c r="U570" s="17"/>
      <c r="V570" s="17"/>
      <c r="W570" s="17"/>
      <c r="X570" s="17"/>
      <c r="Y570" s="17"/>
    </row>
    <row r="571" spans="1:25">
      <c r="A571" s="17" t="s">
        <v>7313</v>
      </c>
      <c r="B571" s="17" t="s">
        <v>7313</v>
      </c>
      <c r="C571" s="17" t="s">
        <v>7314</v>
      </c>
      <c r="D571" s="17" t="s">
        <v>6273</v>
      </c>
      <c r="E571" s="17" t="s">
        <v>4721</v>
      </c>
      <c r="F571" s="17" t="s">
        <v>7313</v>
      </c>
      <c r="G571" s="17" t="s">
        <v>2671</v>
      </c>
      <c r="H571" s="17" t="s">
        <v>4312</v>
      </c>
      <c r="I571" s="17" t="s">
        <v>2672</v>
      </c>
      <c r="J571" s="17" t="s">
        <v>4723</v>
      </c>
      <c r="K571" s="17" t="s">
        <v>7315</v>
      </c>
      <c r="L571" s="17" t="s">
        <v>7229</v>
      </c>
      <c r="M571" s="17" t="s">
        <v>6273</v>
      </c>
      <c r="N571" s="17" t="s">
        <v>7316</v>
      </c>
      <c r="O571" s="17" t="s">
        <v>7635</v>
      </c>
      <c r="P571" s="17" t="s">
        <v>7317</v>
      </c>
      <c r="Q571" s="17" t="s">
        <v>6218</v>
      </c>
      <c r="R571" s="17" t="s">
        <v>7438</v>
      </c>
      <c r="S571" s="17" t="s">
        <v>7635</v>
      </c>
      <c r="T571" s="17" t="s">
        <v>7439</v>
      </c>
      <c r="U571" s="17"/>
      <c r="V571" s="17"/>
      <c r="W571" s="17"/>
      <c r="X571" s="17"/>
      <c r="Y571" s="17"/>
    </row>
    <row r="572" spans="1:25">
      <c r="A572" s="17" t="s">
        <v>7318</v>
      </c>
      <c r="B572" s="17" t="s">
        <v>7318</v>
      </c>
      <c r="C572" s="17" t="s">
        <v>7300</v>
      </c>
      <c r="D572" s="17" t="s">
        <v>7221</v>
      </c>
      <c r="E572" s="17" t="s">
        <v>4721</v>
      </c>
      <c r="F572" s="17" t="s">
        <v>7318</v>
      </c>
      <c r="G572" s="17" t="s">
        <v>2671</v>
      </c>
      <c r="H572" s="17" t="s">
        <v>4312</v>
      </c>
      <c r="I572" s="17" t="s">
        <v>2672</v>
      </c>
      <c r="J572" s="17" t="s">
        <v>4723</v>
      </c>
      <c r="K572" s="17" t="s">
        <v>7319</v>
      </c>
      <c r="L572" s="17" t="s">
        <v>7222</v>
      </c>
      <c r="M572" s="17" t="s">
        <v>7221</v>
      </c>
      <c r="N572" s="17" t="s">
        <v>7320</v>
      </c>
      <c r="O572" s="17" t="s">
        <v>7635</v>
      </c>
      <c r="P572" s="17" t="s">
        <v>7321</v>
      </c>
      <c r="Q572" s="17" t="s">
        <v>7221</v>
      </c>
      <c r="R572" s="17" t="s">
        <v>7440</v>
      </c>
      <c r="S572" s="17" t="s">
        <v>7635</v>
      </c>
      <c r="T572" s="17" t="s">
        <v>7441</v>
      </c>
      <c r="U572" s="17"/>
      <c r="V572" s="17"/>
      <c r="W572" s="17"/>
      <c r="X572" s="17"/>
      <c r="Y572" s="17"/>
    </row>
    <row r="573" spans="1:25">
      <c r="A573" s="17" t="s">
        <v>7322</v>
      </c>
      <c r="B573" s="17" t="s">
        <v>7322</v>
      </c>
      <c r="C573" s="17" t="s">
        <v>7300</v>
      </c>
      <c r="D573" s="17" t="s">
        <v>7221</v>
      </c>
      <c r="E573" s="17" t="s">
        <v>4721</v>
      </c>
      <c r="F573" s="17" t="s">
        <v>7322</v>
      </c>
      <c r="G573" s="17" t="s">
        <v>2671</v>
      </c>
      <c r="H573" s="17" t="s">
        <v>4312</v>
      </c>
      <c r="I573" s="17" t="s">
        <v>2672</v>
      </c>
      <c r="J573" s="17" t="s">
        <v>4723</v>
      </c>
      <c r="K573" s="17" t="s">
        <v>7323</v>
      </c>
      <c r="L573" s="17" t="s">
        <v>7222</v>
      </c>
      <c r="M573" s="17" t="s">
        <v>7221</v>
      </c>
      <c r="N573" s="17" t="s">
        <v>7324</v>
      </c>
      <c r="O573" s="17" t="s">
        <v>7635</v>
      </c>
      <c r="P573" s="17" t="s">
        <v>7325</v>
      </c>
      <c r="Q573" s="17" t="s">
        <v>7221</v>
      </c>
      <c r="R573" s="17" t="s">
        <v>7442</v>
      </c>
      <c r="S573" s="17" t="s">
        <v>7635</v>
      </c>
      <c r="T573" s="17" t="s">
        <v>7443</v>
      </c>
      <c r="U573" s="17"/>
      <c r="V573" s="17"/>
      <c r="W573" s="17"/>
      <c r="X573" s="17"/>
      <c r="Y573" s="17"/>
    </row>
    <row r="574" spans="1:25">
      <c r="A574" s="17" t="s">
        <v>7326</v>
      </c>
      <c r="B574" s="17" t="s">
        <v>7326</v>
      </c>
      <c r="C574" s="17" t="s">
        <v>7300</v>
      </c>
      <c r="D574" s="17" t="s">
        <v>7221</v>
      </c>
      <c r="E574" s="17" t="s">
        <v>4721</v>
      </c>
      <c r="F574" s="17" t="s">
        <v>7326</v>
      </c>
      <c r="G574" s="17" t="s">
        <v>2671</v>
      </c>
      <c r="H574" s="17" t="s">
        <v>4312</v>
      </c>
      <c r="I574" s="17" t="s">
        <v>2672</v>
      </c>
      <c r="J574" s="17" t="s">
        <v>4723</v>
      </c>
      <c r="K574" s="17" t="s">
        <v>7327</v>
      </c>
      <c r="L574" s="17" t="s">
        <v>7222</v>
      </c>
      <c r="M574" s="17" t="s">
        <v>7221</v>
      </c>
      <c r="N574" s="17" t="s">
        <v>7328</v>
      </c>
      <c r="O574" s="17" t="s">
        <v>7635</v>
      </c>
      <c r="P574" s="17" t="s">
        <v>7329</v>
      </c>
      <c r="Q574" s="17" t="s">
        <v>6273</v>
      </c>
      <c r="R574" s="17" t="s">
        <v>7444</v>
      </c>
      <c r="S574" s="17" t="s">
        <v>7635</v>
      </c>
      <c r="T574" s="17" t="s">
        <v>7445</v>
      </c>
      <c r="U574" s="17"/>
      <c r="V574" s="17"/>
      <c r="W574" s="17"/>
      <c r="X574" s="17"/>
      <c r="Y574" s="17"/>
    </row>
    <row r="575" spans="1:25">
      <c r="A575" s="17" t="s">
        <v>7330</v>
      </c>
      <c r="B575" s="17" t="s">
        <v>7330</v>
      </c>
      <c r="C575" s="17" t="s">
        <v>7446</v>
      </c>
      <c r="D575" s="17" t="s">
        <v>6273</v>
      </c>
      <c r="E575" s="17" t="s">
        <v>4721</v>
      </c>
      <c r="F575" s="17" t="s">
        <v>7330</v>
      </c>
      <c r="G575" s="17" t="s">
        <v>2671</v>
      </c>
      <c r="H575" s="17" t="s">
        <v>4312</v>
      </c>
      <c r="I575" s="17" t="s">
        <v>2672</v>
      </c>
      <c r="J575" s="17" t="s">
        <v>4723</v>
      </c>
      <c r="K575" s="17" t="s">
        <v>7331</v>
      </c>
      <c r="L575" s="17" t="s">
        <v>7229</v>
      </c>
      <c r="M575" s="17" t="s">
        <v>6273</v>
      </c>
      <c r="N575" s="17" t="s">
        <v>7447</v>
      </c>
      <c r="O575" s="17" t="s">
        <v>7635</v>
      </c>
      <c r="P575" s="17" t="s">
        <v>7448</v>
      </c>
      <c r="Q575" s="17" t="s">
        <v>7221</v>
      </c>
      <c r="R575" s="17" t="s">
        <v>7332</v>
      </c>
      <c r="S575" s="17" t="s">
        <v>7635</v>
      </c>
      <c r="T575" s="17" t="s">
        <v>7333</v>
      </c>
      <c r="U575" s="17" t="s">
        <v>6207</v>
      </c>
      <c r="V575" s="17" t="s">
        <v>16658</v>
      </c>
      <c r="W575" s="17" t="s">
        <v>4559</v>
      </c>
      <c r="X575" s="17" t="s">
        <v>16659</v>
      </c>
      <c r="Y575" s="17" t="s">
        <v>4727</v>
      </c>
    </row>
    <row r="576" spans="1:25">
      <c r="A576" s="17" t="s">
        <v>7334</v>
      </c>
      <c r="B576" s="17" t="s">
        <v>7334</v>
      </c>
      <c r="C576" s="17" t="s">
        <v>7335</v>
      </c>
      <c r="D576" s="17" t="s">
        <v>6273</v>
      </c>
      <c r="E576" s="17" t="s">
        <v>4721</v>
      </c>
      <c r="F576" s="17" t="s">
        <v>7334</v>
      </c>
      <c r="G576" s="17" t="s">
        <v>2671</v>
      </c>
      <c r="H576" s="17" t="s">
        <v>4312</v>
      </c>
      <c r="I576" s="17" t="s">
        <v>2672</v>
      </c>
      <c r="J576" s="17" t="s">
        <v>4723</v>
      </c>
      <c r="K576" s="17" t="s">
        <v>7336</v>
      </c>
      <c r="L576" s="17" t="s">
        <v>7229</v>
      </c>
      <c r="M576" s="17" t="s">
        <v>6273</v>
      </c>
      <c r="N576" s="17" t="s">
        <v>7337</v>
      </c>
      <c r="O576" s="17" t="s">
        <v>7635</v>
      </c>
      <c r="P576" s="17" t="s">
        <v>7338</v>
      </c>
      <c r="Q576" s="17" t="s">
        <v>7221</v>
      </c>
      <c r="R576" s="17" t="s">
        <v>7339</v>
      </c>
      <c r="S576" s="17" t="s">
        <v>7635</v>
      </c>
      <c r="T576" s="17" t="s">
        <v>7340</v>
      </c>
      <c r="U576" s="17"/>
      <c r="V576" s="17"/>
      <c r="W576" s="17"/>
      <c r="X576" s="17"/>
      <c r="Y576" s="17"/>
    </row>
    <row r="577" spans="1:25">
      <c r="A577" s="17" t="s">
        <v>7485</v>
      </c>
      <c r="B577" s="17" t="s">
        <v>7485</v>
      </c>
      <c r="C577" s="17" t="s">
        <v>7488</v>
      </c>
      <c r="D577" s="17" t="s">
        <v>7032</v>
      </c>
      <c r="E577" s="17" t="s">
        <v>2863</v>
      </c>
      <c r="F577" s="17" t="s">
        <v>7485</v>
      </c>
      <c r="G577" s="17" t="s">
        <v>2671</v>
      </c>
      <c r="H577" s="17" t="s">
        <v>4247</v>
      </c>
      <c r="I577" s="17" t="s">
        <v>2672</v>
      </c>
      <c r="J577" s="17" t="s">
        <v>4723</v>
      </c>
      <c r="K577" s="17" t="s">
        <v>3168</v>
      </c>
      <c r="L577" s="17" t="s">
        <v>7487</v>
      </c>
      <c r="M577" s="17" t="s">
        <v>7032</v>
      </c>
      <c r="N577" s="17" t="s">
        <v>7485</v>
      </c>
      <c r="O577" s="17" t="s">
        <v>7635</v>
      </c>
      <c r="P577" s="17" t="s">
        <v>7486</v>
      </c>
      <c r="Q577" s="17"/>
      <c r="R577" s="17"/>
      <c r="S577" s="17"/>
      <c r="T577" s="17"/>
      <c r="U577" s="17"/>
      <c r="V577" s="17"/>
      <c r="W577" s="17"/>
      <c r="X577" s="17"/>
      <c r="Y577" s="17"/>
    </row>
    <row r="578" spans="1:25">
      <c r="A578" s="17" t="s">
        <v>7636</v>
      </c>
      <c r="B578" s="17" t="s">
        <v>7636</v>
      </c>
      <c r="C578" s="17" t="s">
        <v>7637</v>
      </c>
      <c r="D578" s="17" t="s">
        <v>6218</v>
      </c>
      <c r="E578" s="17" t="s">
        <v>7033</v>
      </c>
      <c r="F578" s="17" t="s">
        <v>7636</v>
      </c>
      <c r="G578" s="17" t="s">
        <v>2671</v>
      </c>
      <c r="H578" s="17" t="s">
        <v>4312</v>
      </c>
      <c r="I578" s="17" t="s">
        <v>2672</v>
      </c>
      <c r="J578" s="17" t="s">
        <v>4412</v>
      </c>
      <c r="K578" s="17" t="s">
        <v>7034</v>
      </c>
      <c r="L578" s="17" t="s">
        <v>7638</v>
      </c>
      <c r="M578" s="17" t="s">
        <v>6218</v>
      </c>
      <c r="N578" s="17" t="s">
        <v>7639</v>
      </c>
      <c r="O578" s="17" t="s">
        <v>7635</v>
      </c>
      <c r="P578" s="17" t="s">
        <v>7640</v>
      </c>
      <c r="Q578" s="17"/>
      <c r="R578" s="17"/>
      <c r="S578" s="17"/>
      <c r="T578" s="17"/>
      <c r="U578" s="17"/>
      <c r="V578" s="17"/>
      <c r="W578" s="17"/>
      <c r="X578" s="17"/>
      <c r="Y578" s="17"/>
    </row>
    <row r="579" spans="1:25">
      <c r="A579" s="17" t="s">
        <v>7641</v>
      </c>
      <c r="B579" s="17" t="s">
        <v>7641</v>
      </c>
      <c r="C579" s="17" t="s">
        <v>7642</v>
      </c>
      <c r="D579" s="17" t="s">
        <v>6218</v>
      </c>
      <c r="E579" s="17" t="s">
        <v>7033</v>
      </c>
      <c r="F579" s="17" t="s">
        <v>7641</v>
      </c>
      <c r="G579" s="17" t="s">
        <v>2671</v>
      </c>
      <c r="H579" s="17" t="s">
        <v>4312</v>
      </c>
      <c r="I579" s="17" t="s">
        <v>2672</v>
      </c>
      <c r="J579" s="17" t="s">
        <v>4412</v>
      </c>
      <c r="K579" s="17" t="s">
        <v>7042</v>
      </c>
      <c r="L579" s="17" t="s">
        <v>7638</v>
      </c>
      <c r="M579" s="17" t="s">
        <v>6218</v>
      </c>
      <c r="N579" s="17" t="s">
        <v>7643</v>
      </c>
      <c r="O579" s="17" t="s">
        <v>7635</v>
      </c>
      <c r="P579" s="17" t="s">
        <v>7644</v>
      </c>
      <c r="Q579" s="17"/>
      <c r="R579" s="17"/>
      <c r="S579" s="17"/>
      <c r="T579" s="17"/>
      <c r="U579" s="17"/>
      <c r="V579" s="17"/>
      <c r="W579" s="17"/>
      <c r="X579" s="17"/>
      <c r="Y579" s="17"/>
    </row>
    <row r="580" spans="1:25">
      <c r="A580" s="17" t="s">
        <v>7645</v>
      </c>
      <c r="B580" s="17" t="s">
        <v>7645</v>
      </c>
      <c r="C580" s="17" t="s">
        <v>7646</v>
      </c>
      <c r="D580" s="17" t="s">
        <v>6218</v>
      </c>
      <c r="E580" s="17" t="s">
        <v>7033</v>
      </c>
      <c r="F580" s="17" t="s">
        <v>7645</v>
      </c>
      <c r="G580" s="17" t="s">
        <v>2671</v>
      </c>
      <c r="H580" s="17" t="s">
        <v>4312</v>
      </c>
      <c r="I580" s="17" t="s">
        <v>2672</v>
      </c>
      <c r="J580" s="17" t="s">
        <v>4412</v>
      </c>
      <c r="K580" s="17" t="s">
        <v>7056</v>
      </c>
      <c r="L580" s="17" t="s">
        <v>7638</v>
      </c>
      <c r="M580" s="17" t="s">
        <v>6218</v>
      </c>
      <c r="N580" s="17" t="s">
        <v>7647</v>
      </c>
      <c r="O580" s="17" t="s">
        <v>7635</v>
      </c>
      <c r="P580" s="17" t="s">
        <v>7648</v>
      </c>
      <c r="Q580" s="17"/>
      <c r="R580" s="17"/>
      <c r="S580" s="17"/>
      <c r="T580" s="17"/>
      <c r="U580" s="17"/>
      <c r="V580" s="17"/>
      <c r="W580" s="17"/>
      <c r="X580" s="17"/>
      <c r="Y580" s="17"/>
    </row>
    <row r="581" spans="1:25">
      <c r="A581" s="17" t="s">
        <v>7649</v>
      </c>
      <c r="B581" s="17" t="s">
        <v>7649</v>
      </c>
      <c r="C581" s="17" t="s">
        <v>7650</v>
      </c>
      <c r="D581" s="17" t="s">
        <v>6218</v>
      </c>
      <c r="E581" s="17" t="s">
        <v>7033</v>
      </c>
      <c r="F581" s="17" t="s">
        <v>7649</v>
      </c>
      <c r="G581" s="17" t="s">
        <v>2671</v>
      </c>
      <c r="H581" s="17" t="s">
        <v>4312</v>
      </c>
      <c r="I581" s="17" t="s">
        <v>2672</v>
      </c>
      <c r="J581" s="17" t="s">
        <v>4412</v>
      </c>
      <c r="K581" s="17" t="s">
        <v>7060</v>
      </c>
      <c r="L581" s="17" t="s">
        <v>7638</v>
      </c>
      <c r="M581" s="17" t="s">
        <v>6218</v>
      </c>
      <c r="N581" s="17" t="s">
        <v>7651</v>
      </c>
      <c r="O581" s="17" t="s">
        <v>7635</v>
      </c>
      <c r="P581" s="17" t="s">
        <v>7652</v>
      </c>
      <c r="Q581" s="17" t="s">
        <v>6218</v>
      </c>
      <c r="R581" s="17" t="s">
        <v>7653</v>
      </c>
      <c r="S581" s="17" t="s">
        <v>7635</v>
      </c>
      <c r="T581" s="17" t="s">
        <v>7654</v>
      </c>
      <c r="U581" s="17"/>
      <c r="V581" s="17"/>
      <c r="W581" s="17"/>
      <c r="X581" s="17"/>
      <c r="Y581" s="17"/>
    </row>
    <row r="582" spans="1:25">
      <c r="A582" s="17" t="s">
        <v>7655</v>
      </c>
      <c r="B582" s="17" t="s">
        <v>7655</v>
      </c>
      <c r="C582" s="17" t="s">
        <v>7656</v>
      </c>
      <c r="D582" s="17" t="s">
        <v>6218</v>
      </c>
      <c r="E582" s="17" t="s">
        <v>7033</v>
      </c>
      <c r="F582" s="17" t="s">
        <v>7655</v>
      </c>
      <c r="G582" s="17" t="s">
        <v>2671</v>
      </c>
      <c r="H582" s="17" t="s">
        <v>4312</v>
      </c>
      <c r="I582" s="17" t="s">
        <v>2672</v>
      </c>
      <c r="J582" s="17" t="s">
        <v>4412</v>
      </c>
      <c r="K582" s="17" t="s">
        <v>7065</v>
      </c>
      <c r="L582" s="17" t="s">
        <v>7638</v>
      </c>
      <c r="M582" s="17" t="s">
        <v>6218</v>
      </c>
      <c r="N582" s="17" t="s">
        <v>7657</v>
      </c>
      <c r="O582" s="17" t="s">
        <v>7635</v>
      </c>
      <c r="P582" s="17" t="s">
        <v>7658</v>
      </c>
      <c r="Q582" s="17"/>
      <c r="R582" s="17"/>
      <c r="S582" s="17"/>
      <c r="T582" s="17"/>
      <c r="U582" s="17"/>
      <c r="V582" s="17"/>
      <c r="W582" s="17"/>
      <c r="X582" s="17"/>
      <c r="Y582" s="17"/>
    </row>
    <row r="583" spans="1:25">
      <c r="A583" s="17" t="s">
        <v>7659</v>
      </c>
      <c r="B583" s="17" t="s">
        <v>7659</v>
      </c>
      <c r="C583" s="17" t="s">
        <v>7660</v>
      </c>
      <c r="D583" s="17" t="s">
        <v>6218</v>
      </c>
      <c r="E583" s="17" t="s">
        <v>7033</v>
      </c>
      <c r="F583" s="17" t="s">
        <v>7659</v>
      </c>
      <c r="G583" s="17" t="s">
        <v>2671</v>
      </c>
      <c r="H583" s="17" t="s">
        <v>4312</v>
      </c>
      <c r="I583" s="17" t="s">
        <v>2672</v>
      </c>
      <c r="J583" s="17" t="s">
        <v>4412</v>
      </c>
      <c r="K583" s="17" t="s">
        <v>7071</v>
      </c>
      <c r="L583" s="17" t="s">
        <v>7638</v>
      </c>
      <c r="M583" s="17" t="s">
        <v>6218</v>
      </c>
      <c r="N583" s="17" t="s">
        <v>7661</v>
      </c>
      <c r="O583" s="17" t="s">
        <v>7635</v>
      </c>
      <c r="P583" s="17" t="s">
        <v>7662</v>
      </c>
      <c r="Q583" s="17"/>
      <c r="R583" s="17"/>
      <c r="S583" s="17"/>
      <c r="T583" s="17"/>
      <c r="U583" s="17"/>
      <c r="V583" s="17"/>
      <c r="W583" s="17"/>
      <c r="X583" s="17"/>
      <c r="Y583" s="17"/>
    </row>
    <row r="584" spans="1:25">
      <c r="A584" s="17" t="s">
        <v>7663</v>
      </c>
      <c r="B584" s="17" t="s">
        <v>7663</v>
      </c>
      <c r="C584" s="17" t="s">
        <v>7664</v>
      </c>
      <c r="D584" s="17" t="s">
        <v>6218</v>
      </c>
      <c r="E584" s="17" t="s">
        <v>7033</v>
      </c>
      <c r="F584" s="17" t="s">
        <v>7663</v>
      </c>
      <c r="G584" s="17" t="s">
        <v>2671</v>
      </c>
      <c r="H584" s="17" t="s">
        <v>4312</v>
      </c>
      <c r="I584" s="17" t="s">
        <v>2672</v>
      </c>
      <c r="J584" s="17" t="s">
        <v>4412</v>
      </c>
      <c r="K584" s="17" t="s">
        <v>7078</v>
      </c>
      <c r="L584" s="17" t="s">
        <v>7638</v>
      </c>
      <c r="M584" s="17" t="s">
        <v>6218</v>
      </c>
      <c r="N584" s="17" t="s">
        <v>7665</v>
      </c>
      <c r="O584" s="17" t="s">
        <v>7635</v>
      </c>
      <c r="P584" s="17" t="s">
        <v>7666</v>
      </c>
      <c r="Q584" s="17"/>
      <c r="R584" s="17"/>
      <c r="S584" s="17"/>
      <c r="T584" s="17"/>
      <c r="U584" s="17"/>
      <c r="V584" s="17"/>
      <c r="W584" s="17"/>
      <c r="X584" s="17"/>
      <c r="Y584" s="17"/>
    </row>
    <row r="585" spans="1:25">
      <c r="A585" s="17" t="s">
        <v>7667</v>
      </c>
      <c r="B585" s="17" t="s">
        <v>7667</v>
      </c>
      <c r="C585" s="17" t="s">
        <v>7668</v>
      </c>
      <c r="D585" s="17" t="s">
        <v>6218</v>
      </c>
      <c r="E585" s="17" t="s">
        <v>7033</v>
      </c>
      <c r="F585" s="17" t="s">
        <v>7667</v>
      </c>
      <c r="G585" s="17" t="s">
        <v>2671</v>
      </c>
      <c r="H585" s="17" t="s">
        <v>4312</v>
      </c>
      <c r="I585" s="17" t="s">
        <v>2672</v>
      </c>
      <c r="J585" s="17" t="s">
        <v>4412</v>
      </c>
      <c r="K585" s="17" t="s">
        <v>7085</v>
      </c>
      <c r="L585" s="17" t="s">
        <v>7638</v>
      </c>
      <c r="M585" s="17" t="s">
        <v>6218</v>
      </c>
      <c r="N585" s="17" t="s">
        <v>7669</v>
      </c>
      <c r="O585" s="17" t="s">
        <v>7635</v>
      </c>
      <c r="P585" s="17" t="s">
        <v>7670</v>
      </c>
      <c r="Q585" s="17" t="s">
        <v>6218</v>
      </c>
      <c r="R585" s="17" t="s">
        <v>7671</v>
      </c>
      <c r="S585" s="17" t="s">
        <v>7635</v>
      </c>
      <c r="T585" s="17" t="s">
        <v>7672</v>
      </c>
      <c r="U585" s="17"/>
      <c r="V585" s="17"/>
      <c r="W585" s="17"/>
      <c r="X585" s="17"/>
      <c r="Y585" s="17"/>
    </row>
    <row r="586" spans="1:25">
      <c r="A586" s="17" t="s">
        <v>7673</v>
      </c>
      <c r="B586" s="17" t="s">
        <v>7673</v>
      </c>
      <c r="C586" s="17" t="s">
        <v>7674</v>
      </c>
      <c r="D586" s="17" t="s">
        <v>6218</v>
      </c>
      <c r="E586" s="17" t="s">
        <v>7033</v>
      </c>
      <c r="F586" s="17" t="s">
        <v>7673</v>
      </c>
      <c r="G586" s="17" t="s">
        <v>2671</v>
      </c>
      <c r="H586" s="17" t="s">
        <v>4312</v>
      </c>
      <c r="I586" s="17" t="s">
        <v>2672</v>
      </c>
      <c r="J586" s="17" t="s">
        <v>4412</v>
      </c>
      <c r="K586" s="17" t="s">
        <v>7092</v>
      </c>
      <c r="L586" s="17" t="s">
        <v>7638</v>
      </c>
      <c r="M586" s="17" t="s">
        <v>6218</v>
      </c>
      <c r="N586" s="17" t="s">
        <v>7675</v>
      </c>
      <c r="O586" s="17" t="s">
        <v>7635</v>
      </c>
      <c r="P586" s="17" t="s">
        <v>7676</v>
      </c>
      <c r="Q586" s="17" t="s">
        <v>6218</v>
      </c>
      <c r="R586" s="17" t="s">
        <v>7677</v>
      </c>
      <c r="S586" s="17" t="s">
        <v>7635</v>
      </c>
      <c r="T586" s="17" t="s">
        <v>7678</v>
      </c>
      <c r="U586" s="17"/>
      <c r="V586" s="17"/>
      <c r="W586" s="17"/>
      <c r="X586" s="17"/>
      <c r="Y586" s="17"/>
    </row>
    <row r="587" spans="1:25">
      <c r="A587" s="17" t="s">
        <v>7679</v>
      </c>
      <c r="B587" s="17" t="s">
        <v>7679</v>
      </c>
      <c r="C587" s="17" t="s">
        <v>7680</v>
      </c>
      <c r="D587" s="17" t="s">
        <v>6218</v>
      </c>
      <c r="E587" s="17" t="s">
        <v>7033</v>
      </c>
      <c r="F587" s="17" t="s">
        <v>7679</v>
      </c>
      <c r="G587" s="17" t="s">
        <v>2671</v>
      </c>
      <c r="H587" s="17" t="s">
        <v>4312</v>
      </c>
      <c r="I587" s="17" t="s">
        <v>2672</v>
      </c>
      <c r="J587" s="17" t="s">
        <v>4412</v>
      </c>
      <c r="K587" s="17" t="s">
        <v>7098</v>
      </c>
      <c r="L587" s="17" t="s">
        <v>7638</v>
      </c>
      <c r="M587" s="17" t="s">
        <v>6218</v>
      </c>
      <c r="N587" s="17" t="s">
        <v>7681</v>
      </c>
      <c r="O587" s="17" t="s">
        <v>7635</v>
      </c>
      <c r="P587" s="17" t="s">
        <v>7682</v>
      </c>
      <c r="Q587" s="17" t="s">
        <v>6218</v>
      </c>
      <c r="R587" s="17" t="s">
        <v>7683</v>
      </c>
      <c r="S587" s="17" t="s">
        <v>7635</v>
      </c>
      <c r="T587" s="17" t="s">
        <v>7684</v>
      </c>
      <c r="U587" s="17"/>
      <c r="V587" s="17"/>
      <c r="W587" s="17"/>
      <c r="X587" s="17"/>
      <c r="Y587" s="17"/>
    </row>
    <row r="588" spans="1:25">
      <c r="A588" s="17" t="s">
        <v>7685</v>
      </c>
      <c r="B588" s="17" t="s">
        <v>7685</v>
      </c>
      <c r="C588" s="17" t="s">
        <v>7686</v>
      </c>
      <c r="D588" s="17" t="s">
        <v>6218</v>
      </c>
      <c r="E588" s="17" t="s">
        <v>7033</v>
      </c>
      <c r="F588" s="17" t="s">
        <v>7685</v>
      </c>
      <c r="G588" s="17" t="s">
        <v>2671</v>
      </c>
      <c r="H588" s="17" t="s">
        <v>4312</v>
      </c>
      <c r="I588" s="17" t="s">
        <v>2672</v>
      </c>
      <c r="J588" s="17" t="s">
        <v>4412</v>
      </c>
      <c r="K588" s="17" t="s">
        <v>7105</v>
      </c>
      <c r="L588" s="17" t="s">
        <v>7638</v>
      </c>
      <c r="M588" s="17" t="s">
        <v>6218</v>
      </c>
      <c r="N588" s="17" t="s">
        <v>7687</v>
      </c>
      <c r="O588" s="17" t="s">
        <v>7635</v>
      </c>
      <c r="P588" s="17" t="s">
        <v>7688</v>
      </c>
      <c r="Q588" s="17" t="s">
        <v>6218</v>
      </c>
      <c r="R588" s="17" t="s">
        <v>7689</v>
      </c>
      <c r="S588" s="17" t="s">
        <v>7635</v>
      </c>
      <c r="T588" s="17" t="s">
        <v>7690</v>
      </c>
      <c r="U588" s="17"/>
      <c r="V588" s="17"/>
      <c r="W588" s="17"/>
      <c r="X588" s="17"/>
      <c r="Y588" s="17"/>
    </row>
    <row r="589" spans="1:25">
      <c r="A589" s="17" t="s">
        <v>7691</v>
      </c>
      <c r="B589" s="17" t="s">
        <v>7691</v>
      </c>
      <c r="C589" s="17" t="s">
        <v>7692</v>
      </c>
      <c r="D589" s="17" t="s">
        <v>6218</v>
      </c>
      <c r="E589" s="17" t="s">
        <v>7033</v>
      </c>
      <c r="F589" s="17" t="s">
        <v>7691</v>
      </c>
      <c r="G589" s="17" t="s">
        <v>2671</v>
      </c>
      <c r="H589" s="17" t="s">
        <v>4312</v>
      </c>
      <c r="I589" s="17" t="s">
        <v>2672</v>
      </c>
      <c r="J589" s="17" t="s">
        <v>4412</v>
      </c>
      <c r="K589" s="17" t="s">
        <v>7112</v>
      </c>
      <c r="L589" s="17" t="s">
        <v>7638</v>
      </c>
      <c r="M589" s="17" t="s">
        <v>6218</v>
      </c>
      <c r="N589" s="17" t="s">
        <v>7693</v>
      </c>
      <c r="O589" s="17" t="s">
        <v>7635</v>
      </c>
      <c r="P589" s="17" t="s">
        <v>7694</v>
      </c>
      <c r="Q589" s="17"/>
      <c r="R589" s="17"/>
      <c r="S589" s="17"/>
      <c r="T589" s="17"/>
      <c r="U589" s="17"/>
      <c r="V589" s="17"/>
      <c r="W589" s="17"/>
      <c r="X589" s="17"/>
      <c r="Y589" s="17"/>
    </row>
    <row r="590" spans="1:25">
      <c r="A590" s="17" t="s">
        <v>7695</v>
      </c>
      <c r="B590" s="17" t="s">
        <v>7695</v>
      </c>
      <c r="C590" s="17" t="s">
        <v>7696</v>
      </c>
      <c r="D590" s="17" t="s">
        <v>6218</v>
      </c>
      <c r="E590" s="17" t="s">
        <v>7033</v>
      </c>
      <c r="F590" s="17" t="s">
        <v>7695</v>
      </c>
      <c r="G590" s="17" t="s">
        <v>2671</v>
      </c>
      <c r="H590" s="17" t="s">
        <v>4312</v>
      </c>
      <c r="I590" s="17" t="s">
        <v>2672</v>
      </c>
      <c r="J590" s="17" t="s">
        <v>4412</v>
      </c>
      <c r="K590" s="17" t="s">
        <v>7119</v>
      </c>
      <c r="L590" s="17" t="s">
        <v>7638</v>
      </c>
      <c r="M590" s="17" t="s">
        <v>6218</v>
      </c>
      <c r="N590" s="17" t="s">
        <v>7697</v>
      </c>
      <c r="O590" s="17" t="s">
        <v>7635</v>
      </c>
      <c r="P590" s="17" t="s">
        <v>7698</v>
      </c>
      <c r="Q590" s="17" t="s">
        <v>6218</v>
      </c>
      <c r="R590" s="17" t="s">
        <v>7699</v>
      </c>
      <c r="S590" s="17" t="s">
        <v>7635</v>
      </c>
      <c r="T590" s="17" t="s">
        <v>7700</v>
      </c>
      <c r="U590" s="17"/>
      <c r="V590" s="17"/>
      <c r="W590" s="17"/>
      <c r="X590" s="17"/>
      <c r="Y590" s="17"/>
    </row>
    <row r="591" spans="1:25">
      <c r="A591" s="17" t="s">
        <v>7701</v>
      </c>
      <c r="B591" s="17" t="s">
        <v>7701</v>
      </c>
      <c r="C591" s="17" t="s">
        <v>7702</v>
      </c>
      <c r="D591" s="17" t="s">
        <v>6218</v>
      </c>
      <c r="E591" s="17" t="s">
        <v>7033</v>
      </c>
      <c r="F591" s="17" t="s">
        <v>7701</v>
      </c>
      <c r="G591" s="17" t="s">
        <v>2671</v>
      </c>
      <c r="H591" s="17" t="s">
        <v>4312</v>
      </c>
      <c r="I591" s="17" t="s">
        <v>2672</v>
      </c>
      <c r="J591" s="17" t="s">
        <v>4412</v>
      </c>
      <c r="K591" s="17" t="s">
        <v>7124</v>
      </c>
      <c r="L591" s="17" t="s">
        <v>7638</v>
      </c>
      <c r="M591" s="17" t="s">
        <v>6218</v>
      </c>
      <c r="N591" s="17" t="s">
        <v>7703</v>
      </c>
      <c r="O591" s="17" t="s">
        <v>7635</v>
      </c>
      <c r="P591" s="17" t="s">
        <v>7704</v>
      </c>
      <c r="Q591" s="17" t="s">
        <v>6218</v>
      </c>
      <c r="R591" s="17" t="s">
        <v>7705</v>
      </c>
      <c r="S591" s="17" t="s">
        <v>7635</v>
      </c>
      <c r="T591" s="17" t="s">
        <v>7706</v>
      </c>
      <c r="U591" s="17"/>
      <c r="V591" s="17"/>
      <c r="W591" s="17"/>
      <c r="X591" s="17"/>
      <c r="Y591" s="17"/>
    </row>
    <row r="592" spans="1:25">
      <c r="A592" s="17" t="s">
        <v>7707</v>
      </c>
      <c r="B592" s="17" t="s">
        <v>7707</v>
      </c>
      <c r="C592" s="17" t="s">
        <v>7708</v>
      </c>
      <c r="D592" s="17" t="s">
        <v>6218</v>
      </c>
      <c r="E592" s="17" t="s">
        <v>7033</v>
      </c>
      <c r="F592" s="17" t="s">
        <v>7707</v>
      </c>
      <c r="G592" s="17" t="s">
        <v>2671</v>
      </c>
      <c r="H592" s="17" t="s">
        <v>4312</v>
      </c>
      <c r="I592" s="17" t="s">
        <v>2672</v>
      </c>
      <c r="J592" s="17" t="s">
        <v>4412</v>
      </c>
      <c r="K592" s="17" t="s">
        <v>7131</v>
      </c>
      <c r="L592" s="17" t="s">
        <v>7638</v>
      </c>
      <c r="M592" s="17" t="s">
        <v>6218</v>
      </c>
      <c r="N592" s="17" t="s">
        <v>7709</v>
      </c>
      <c r="O592" s="17" t="s">
        <v>7635</v>
      </c>
      <c r="P592" s="17" t="s">
        <v>7710</v>
      </c>
      <c r="Q592" s="17"/>
      <c r="R592" s="17"/>
      <c r="S592" s="17"/>
      <c r="T592" s="17"/>
      <c r="U592" s="17"/>
      <c r="V592" s="17"/>
      <c r="W592" s="17"/>
      <c r="X592" s="17"/>
      <c r="Y592" s="17"/>
    </row>
    <row r="593" spans="1:25">
      <c r="A593" s="17" t="s">
        <v>7711</v>
      </c>
      <c r="B593" s="17" t="s">
        <v>7711</v>
      </c>
      <c r="C593" s="17" t="s">
        <v>7712</v>
      </c>
      <c r="D593" s="17" t="s">
        <v>6218</v>
      </c>
      <c r="E593" s="17" t="s">
        <v>7033</v>
      </c>
      <c r="F593" s="17" t="s">
        <v>7711</v>
      </c>
      <c r="G593" s="17" t="s">
        <v>2671</v>
      </c>
      <c r="H593" s="17" t="s">
        <v>4312</v>
      </c>
      <c r="I593" s="17" t="s">
        <v>2672</v>
      </c>
      <c r="J593" s="17" t="s">
        <v>4412</v>
      </c>
      <c r="K593" s="17" t="s">
        <v>7138</v>
      </c>
      <c r="L593" s="17" t="s">
        <v>7638</v>
      </c>
      <c r="M593" s="17" t="s">
        <v>6218</v>
      </c>
      <c r="N593" s="17" t="s">
        <v>7713</v>
      </c>
      <c r="O593" s="17" t="s">
        <v>7635</v>
      </c>
      <c r="P593" s="17" t="s">
        <v>7714</v>
      </c>
      <c r="Q593" s="17"/>
      <c r="R593" s="17"/>
      <c r="S593" s="17"/>
      <c r="T593" s="17"/>
      <c r="U593" s="17"/>
      <c r="V593" s="17"/>
      <c r="W593" s="17"/>
      <c r="X593" s="17"/>
      <c r="Y593" s="17"/>
    </row>
    <row r="594" spans="1:25">
      <c r="A594" s="17" t="s">
        <v>7715</v>
      </c>
      <c r="B594" s="17" t="s">
        <v>7715</v>
      </c>
      <c r="C594" s="17" t="s">
        <v>7716</v>
      </c>
      <c r="D594" s="17" t="s">
        <v>6218</v>
      </c>
      <c r="E594" s="17" t="s">
        <v>7033</v>
      </c>
      <c r="F594" s="17" t="s">
        <v>7715</v>
      </c>
      <c r="G594" s="17" t="s">
        <v>2671</v>
      </c>
      <c r="H594" s="17" t="s">
        <v>4312</v>
      </c>
      <c r="I594" s="17" t="s">
        <v>2672</v>
      </c>
      <c r="J594" s="17" t="s">
        <v>4412</v>
      </c>
      <c r="K594" s="17" t="s">
        <v>7145</v>
      </c>
      <c r="L594" s="17" t="s">
        <v>7638</v>
      </c>
      <c r="M594" s="17" t="s">
        <v>6218</v>
      </c>
      <c r="N594" s="17" t="s">
        <v>7717</v>
      </c>
      <c r="O594" s="17" t="s">
        <v>7635</v>
      </c>
      <c r="P594" s="17" t="s">
        <v>7718</v>
      </c>
      <c r="Q594" s="17"/>
      <c r="R594" s="17"/>
      <c r="S594" s="17"/>
      <c r="T594" s="17"/>
      <c r="U594" s="17"/>
      <c r="V594" s="17"/>
      <c r="W594" s="17"/>
      <c r="X594" s="17"/>
      <c r="Y594" s="17"/>
    </row>
    <row r="595" spans="1:25">
      <c r="A595" s="17" t="s">
        <v>7719</v>
      </c>
      <c r="B595" s="17" t="s">
        <v>7719</v>
      </c>
      <c r="C595" s="17" t="s">
        <v>7720</v>
      </c>
      <c r="D595" s="17" t="s">
        <v>6218</v>
      </c>
      <c r="E595" s="17" t="s">
        <v>7033</v>
      </c>
      <c r="F595" s="17" t="s">
        <v>7719</v>
      </c>
      <c r="G595" s="17" t="s">
        <v>2671</v>
      </c>
      <c r="H595" s="17" t="s">
        <v>4312</v>
      </c>
      <c r="I595" s="17" t="s">
        <v>2672</v>
      </c>
      <c r="J595" s="17" t="s">
        <v>4412</v>
      </c>
      <c r="K595" s="17" t="s">
        <v>7152</v>
      </c>
      <c r="L595" s="17" t="s">
        <v>7638</v>
      </c>
      <c r="M595" s="17" t="s">
        <v>6218</v>
      </c>
      <c r="N595" s="17" t="s">
        <v>7721</v>
      </c>
      <c r="O595" s="17" t="s">
        <v>7635</v>
      </c>
      <c r="P595" s="17" t="s">
        <v>7722</v>
      </c>
      <c r="Q595" s="17" t="s">
        <v>6218</v>
      </c>
      <c r="R595" s="17" t="s">
        <v>7723</v>
      </c>
      <c r="S595" s="17" t="s">
        <v>7635</v>
      </c>
      <c r="T595" s="17" t="s">
        <v>7724</v>
      </c>
      <c r="U595" s="17"/>
      <c r="V595" s="17"/>
      <c r="W595" s="17"/>
      <c r="X595" s="17"/>
      <c r="Y595" s="17"/>
    </row>
    <row r="596" spans="1:25">
      <c r="A596" s="17" t="s">
        <v>7725</v>
      </c>
      <c r="B596" s="17" t="s">
        <v>7725</v>
      </c>
      <c r="C596" s="17" t="s">
        <v>7726</v>
      </c>
      <c r="D596" s="17" t="s">
        <v>6218</v>
      </c>
      <c r="E596" s="17" t="s">
        <v>7033</v>
      </c>
      <c r="F596" s="17" t="s">
        <v>7725</v>
      </c>
      <c r="G596" s="17" t="s">
        <v>2671</v>
      </c>
      <c r="H596" s="17" t="s">
        <v>4312</v>
      </c>
      <c r="I596" s="17" t="s">
        <v>2672</v>
      </c>
      <c r="J596" s="17" t="s">
        <v>4412</v>
      </c>
      <c r="K596" s="17" t="s">
        <v>7159</v>
      </c>
      <c r="L596" s="17" t="s">
        <v>7638</v>
      </c>
      <c r="M596" s="17" t="s">
        <v>6218</v>
      </c>
      <c r="N596" s="17" t="s">
        <v>7727</v>
      </c>
      <c r="O596" s="17" t="s">
        <v>7635</v>
      </c>
      <c r="P596" s="17" t="s">
        <v>7728</v>
      </c>
      <c r="Q596" s="17" t="s">
        <v>6218</v>
      </c>
      <c r="R596" s="17" t="s">
        <v>7729</v>
      </c>
      <c r="S596" s="17" t="s">
        <v>7635</v>
      </c>
      <c r="T596" s="17" t="s">
        <v>7730</v>
      </c>
      <c r="U596" s="17"/>
      <c r="V596" s="17"/>
      <c r="W596" s="17"/>
      <c r="X596" s="17"/>
      <c r="Y596" s="17"/>
    </row>
    <row r="597" spans="1:25">
      <c r="A597" s="17" t="s">
        <v>7731</v>
      </c>
      <c r="B597" s="17" t="s">
        <v>7731</v>
      </c>
      <c r="C597" s="17" t="s">
        <v>7732</v>
      </c>
      <c r="D597" s="17" t="s">
        <v>6218</v>
      </c>
      <c r="E597" s="17" t="s">
        <v>7033</v>
      </c>
      <c r="F597" s="17" t="s">
        <v>7731</v>
      </c>
      <c r="G597" s="17" t="s">
        <v>2671</v>
      </c>
      <c r="H597" s="17" t="s">
        <v>4312</v>
      </c>
      <c r="I597" s="17" t="s">
        <v>2672</v>
      </c>
      <c r="J597" s="17" t="s">
        <v>4412</v>
      </c>
      <c r="K597" s="17" t="s">
        <v>7165</v>
      </c>
      <c r="L597" s="17" t="s">
        <v>7638</v>
      </c>
      <c r="M597" s="17" t="s">
        <v>6218</v>
      </c>
      <c r="N597" s="17" t="s">
        <v>7733</v>
      </c>
      <c r="O597" s="17" t="s">
        <v>7635</v>
      </c>
      <c r="P597" s="17" t="s">
        <v>7734</v>
      </c>
      <c r="Q597" s="17"/>
      <c r="R597" s="17"/>
      <c r="S597" s="17"/>
      <c r="T597" s="17"/>
      <c r="U597" s="17"/>
      <c r="V597" s="17"/>
      <c r="W597" s="17"/>
      <c r="X597" s="17"/>
      <c r="Y597" s="17"/>
    </row>
    <row r="598" spans="1:25">
      <c r="A598" s="17" t="s">
        <v>7735</v>
      </c>
      <c r="B598" s="17" t="s">
        <v>7735</v>
      </c>
      <c r="C598" s="17" t="s">
        <v>7736</v>
      </c>
      <c r="D598" s="17" t="s">
        <v>6218</v>
      </c>
      <c r="E598" s="17" t="s">
        <v>7033</v>
      </c>
      <c r="F598" s="17" t="s">
        <v>7735</v>
      </c>
      <c r="G598" s="17" t="s">
        <v>2671</v>
      </c>
      <c r="H598" s="17" t="s">
        <v>4312</v>
      </c>
      <c r="I598" s="17" t="s">
        <v>2672</v>
      </c>
      <c r="J598" s="17" t="s">
        <v>4412</v>
      </c>
      <c r="K598" s="17" t="s">
        <v>7172</v>
      </c>
      <c r="L598" s="17" t="s">
        <v>7638</v>
      </c>
      <c r="M598" s="17" t="s">
        <v>6218</v>
      </c>
      <c r="N598" s="17" t="s">
        <v>7737</v>
      </c>
      <c r="O598" s="17" t="s">
        <v>7635</v>
      </c>
      <c r="P598" s="17" t="s">
        <v>7738</v>
      </c>
      <c r="Q598" s="17"/>
      <c r="R598" s="17"/>
      <c r="S598" s="17"/>
      <c r="T598" s="17"/>
      <c r="U598" s="17"/>
      <c r="V598" s="17"/>
      <c r="W598" s="17"/>
      <c r="X598" s="17"/>
      <c r="Y598" s="17"/>
    </row>
    <row r="599" spans="1:25">
      <c r="A599" s="17" t="s">
        <v>7739</v>
      </c>
      <c r="B599" s="17" t="s">
        <v>7739</v>
      </c>
      <c r="C599" s="17" t="s">
        <v>7740</v>
      </c>
      <c r="D599" s="17" t="s">
        <v>6218</v>
      </c>
      <c r="E599" s="17" t="s">
        <v>7033</v>
      </c>
      <c r="F599" s="17" t="s">
        <v>7739</v>
      </c>
      <c r="G599" s="17" t="s">
        <v>2671</v>
      </c>
      <c r="H599" s="17" t="s">
        <v>4312</v>
      </c>
      <c r="I599" s="17" t="s">
        <v>2672</v>
      </c>
      <c r="J599" s="17" t="s">
        <v>4412</v>
      </c>
      <c r="K599" s="17" t="s">
        <v>7178</v>
      </c>
      <c r="L599" s="17" t="s">
        <v>7638</v>
      </c>
      <c r="M599" s="17" t="s">
        <v>6218</v>
      </c>
      <c r="N599" s="17" t="s">
        <v>7741</v>
      </c>
      <c r="O599" s="17" t="s">
        <v>7635</v>
      </c>
      <c r="P599" s="17" t="s">
        <v>7742</v>
      </c>
      <c r="Q599" s="17"/>
      <c r="R599" s="17"/>
      <c r="S599" s="17"/>
      <c r="T599" s="17"/>
      <c r="U599" s="17"/>
      <c r="V599" s="17"/>
      <c r="W599" s="17"/>
      <c r="X599" s="17"/>
      <c r="Y599" s="17"/>
    </row>
    <row r="600" spans="1:25">
      <c r="A600" s="17" t="s">
        <v>7743</v>
      </c>
      <c r="B600" s="17" t="s">
        <v>7743</v>
      </c>
      <c r="C600" s="17" t="s">
        <v>7744</v>
      </c>
      <c r="D600" s="17" t="s">
        <v>6218</v>
      </c>
      <c r="E600" s="17" t="s">
        <v>7033</v>
      </c>
      <c r="F600" s="17" t="s">
        <v>7743</v>
      </c>
      <c r="G600" s="17" t="s">
        <v>2671</v>
      </c>
      <c r="H600" s="17" t="s">
        <v>4312</v>
      </c>
      <c r="I600" s="17" t="s">
        <v>2672</v>
      </c>
      <c r="J600" s="17" t="s">
        <v>4412</v>
      </c>
      <c r="K600" s="17" t="s">
        <v>7182</v>
      </c>
      <c r="L600" s="17" t="s">
        <v>7638</v>
      </c>
      <c r="M600" s="17" t="s">
        <v>6218</v>
      </c>
      <c r="N600" s="17" t="s">
        <v>7745</v>
      </c>
      <c r="O600" s="17" t="s">
        <v>7635</v>
      </c>
      <c r="P600" s="17" t="s">
        <v>7746</v>
      </c>
      <c r="Q600" s="17"/>
      <c r="R600" s="17"/>
      <c r="S600" s="17"/>
      <c r="T600" s="17"/>
      <c r="U600" s="17"/>
      <c r="V600" s="17"/>
      <c r="W600" s="17"/>
      <c r="X600" s="17"/>
      <c r="Y600" s="17"/>
    </row>
    <row r="601" spans="1:25">
      <c r="A601" s="17" t="s">
        <v>7747</v>
      </c>
      <c r="B601" s="17" t="s">
        <v>7747</v>
      </c>
      <c r="C601" s="17" t="s">
        <v>7748</v>
      </c>
      <c r="D601" s="17" t="s">
        <v>6218</v>
      </c>
      <c r="E601" s="17" t="s">
        <v>7033</v>
      </c>
      <c r="F601" s="17" t="s">
        <v>7747</v>
      </c>
      <c r="G601" s="17" t="s">
        <v>2671</v>
      </c>
      <c r="H601" s="17" t="s">
        <v>4312</v>
      </c>
      <c r="I601" s="17" t="s">
        <v>2672</v>
      </c>
      <c r="J601" s="17" t="s">
        <v>4412</v>
      </c>
      <c r="K601" s="17" t="s">
        <v>7187</v>
      </c>
      <c r="L601" s="17" t="s">
        <v>7638</v>
      </c>
      <c r="M601" s="17" t="s">
        <v>6218</v>
      </c>
      <c r="N601" s="17" t="s">
        <v>7749</v>
      </c>
      <c r="O601" s="17" t="s">
        <v>7635</v>
      </c>
      <c r="P601" s="17" t="s">
        <v>7750</v>
      </c>
      <c r="Q601" s="17"/>
      <c r="R601" s="17"/>
      <c r="S601" s="17"/>
      <c r="T601" s="17"/>
      <c r="U601" s="17"/>
      <c r="V601" s="17"/>
      <c r="W601" s="17"/>
      <c r="X601" s="17"/>
      <c r="Y601" s="17"/>
    </row>
    <row r="602" spans="1:25">
      <c r="A602" s="17" t="s">
        <v>7751</v>
      </c>
      <c r="B602" s="17" t="s">
        <v>7751</v>
      </c>
      <c r="C602" s="17" t="s">
        <v>7752</v>
      </c>
      <c r="D602" s="17" t="s">
        <v>6218</v>
      </c>
      <c r="E602" s="17" t="s">
        <v>7033</v>
      </c>
      <c r="F602" s="17" t="s">
        <v>7751</v>
      </c>
      <c r="G602" s="17" t="s">
        <v>2671</v>
      </c>
      <c r="H602" s="17" t="s">
        <v>4312</v>
      </c>
      <c r="I602" s="17" t="s">
        <v>2672</v>
      </c>
      <c r="J602" s="17" t="s">
        <v>4412</v>
      </c>
      <c r="K602" s="17" t="s">
        <v>7192</v>
      </c>
      <c r="L602" s="17" t="s">
        <v>7638</v>
      </c>
      <c r="M602" s="17" t="s">
        <v>6218</v>
      </c>
      <c r="N602" s="17" t="s">
        <v>7753</v>
      </c>
      <c r="O602" s="17" t="s">
        <v>7635</v>
      </c>
      <c r="P602" s="17" t="s">
        <v>7754</v>
      </c>
      <c r="Q602" s="17" t="s">
        <v>6218</v>
      </c>
      <c r="R602" s="17" t="s">
        <v>7755</v>
      </c>
      <c r="S602" s="17" t="s">
        <v>7635</v>
      </c>
      <c r="T602" s="17" t="s">
        <v>7756</v>
      </c>
      <c r="U602" s="17"/>
      <c r="V602" s="17"/>
      <c r="W602" s="17"/>
      <c r="X602" s="17"/>
      <c r="Y602" s="17"/>
    </row>
    <row r="603" spans="1:25">
      <c r="A603" s="17" t="s">
        <v>7757</v>
      </c>
      <c r="B603" s="17" t="s">
        <v>7757</v>
      </c>
      <c r="C603" s="17" t="s">
        <v>7758</v>
      </c>
      <c r="D603" s="17" t="s">
        <v>6218</v>
      </c>
      <c r="E603" s="17" t="s">
        <v>7033</v>
      </c>
      <c r="F603" s="17" t="s">
        <v>7757</v>
      </c>
      <c r="G603" s="17" t="s">
        <v>2671</v>
      </c>
      <c r="H603" s="17" t="s">
        <v>4312</v>
      </c>
      <c r="I603" s="17" t="s">
        <v>2672</v>
      </c>
      <c r="J603" s="17" t="s">
        <v>4412</v>
      </c>
      <c r="K603" s="17" t="s">
        <v>7195</v>
      </c>
      <c r="L603" s="17" t="s">
        <v>7638</v>
      </c>
      <c r="M603" s="17" t="s">
        <v>6218</v>
      </c>
      <c r="N603" s="17" t="s">
        <v>7759</v>
      </c>
      <c r="O603" s="17" t="s">
        <v>7635</v>
      </c>
      <c r="P603" s="17" t="s">
        <v>7760</v>
      </c>
      <c r="Q603" s="17" t="s">
        <v>6218</v>
      </c>
      <c r="R603" s="17" t="s">
        <v>7761</v>
      </c>
      <c r="S603" s="17" t="s">
        <v>7635</v>
      </c>
      <c r="T603" s="17" t="s">
        <v>7762</v>
      </c>
      <c r="U603" s="17"/>
      <c r="V603" s="17"/>
      <c r="W603" s="17"/>
      <c r="X603" s="17"/>
      <c r="Y603" s="17"/>
    </row>
    <row r="604" spans="1:25">
      <c r="A604" s="17" t="s">
        <v>7763</v>
      </c>
      <c r="B604" s="17" t="s">
        <v>7763</v>
      </c>
      <c r="C604" s="17" t="s">
        <v>7764</v>
      </c>
      <c r="D604" s="17" t="s">
        <v>6218</v>
      </c>
      <c r="E604" s="17" t="s">
        <v>7033</v>
      </c>
      <c r="F604" s="17" t="s">
        <v>7763</v>
      </c>
      <c r="G604" s="17" t="s">
        <v>2671</v>
      </c>
      <c r="H604" s="17" t="s">
        <v>4312</v>
      </c>
      <c r="I604" s="17" t="s">
        <v>2672</v>
      </c>
      <c r="J604" s="17" t="s">
        <v>4412</v>
      </c>
      <c r="K604" s="17" t="s">
        <v>7200</v>
      </c>
      <c r="L604" s="17" t="s">
        <v>7638</v>
      </c>
      <c r="M604" s="17" t="s">
        <v>6218</v>
      </c>
      <c r="N604" s="17" t="s">
        <v>7765</v>
      </c>
      <c r="O604" s="17" t="s">
        <v>7635</v>
      </c>
      <c r="P604" s="17" t="s">
        <v>7766</v>
      </c>
      <c r="Q604" s="17"/>
      <c r="R604" s="17"/>
      <c r="S604" s="17"/>
      <c r="T604" s="17"/>
      <c r="U604" s="17"/>
      <c r="V604" s="17"/>
      <c r="W604" s="17"/>
      <c r="X604" s="17"/>
      <c r="Y604" s="17"/>
    </row>
    <row r="605" spans="1:25">
      <c r="A605" s="17" t="s">
        <v>7767</v>
      </c>
      <c r="B605" s="17" t="s">
        <v>7767</v>
      </c>
      <c r="C605" s="17" t="s">
        <v>7768</v>
      </c>
      <c r="D605" s="17" t="s">
        <v>6218</v>
      </c>
      <c r="E605" s="17" t="s">
        <v>7033</v>
      </c>
      <c r="F605" s="17" t="s">
        <v>7767</v>
      </c>
      <c r="G605" s="17" t="s">
        <v>2671</v>
      </c>
      <c r="H605" s="17" t="s">
        <v>4312</v>
      </c>
      <c r="I605" s="17" t="s">
        <v>2672</v>
      </c>
      <c r="J605" s="17" t="s">
        <v>4412</v>
      </c>
      <c r="K605" s="17" t="s">
        <v>7205</v>
      </c>
      <c r="L605" s="17" t="s">
        <v>7638</v>
      </c>
      <c r="M605" s="17" t="s">
        <v>6218</v>
      </c>
      <c r="N605" s="17" t="s">
        <v>7769</v>
      </c>
      <c r="O605" s="17" t="s">
        <v>7635</v>
      </c>
      <c r="P605" s="17" t="s">
        <v>7770</v>
      </c>
      <c r="Q605" s="17"/>
      <c r="R605" s="17"/>
      <c r="S605" s="17"/>
      <c r="T605" s="17"/>
      <c r="U605" s="17"/>
      <c r="V605" s="17"/>
      <c r="W605" s="17"/>
      <c r="X605" s="17"/>
      <c r="Y605" s="17"/>
    </row>
    <row r="606" spans="1:25">
      <c r="A606" s="17" t="s">
        <v>7771</v>
      </c>
      <c r="B606" s="17" t="s">
        <v>7771</v>
      </c>
      <c r="C606" s="17" t="s">
        <v>7772</v>
      </c>
      <c r="D606" s="17" t="s">
        <v>6218</v>
      </c>
      <c r="E606" s="17" t="s">
        <v>7033</v>
      </c>
      <c r="F606" s="17" t="s">
        <v>7771</v>
      </c>
      <c r="G606" s="17" t="s">
        <v>2671</v>
      </c>
      <c r="H606" s="17" t="s">
        <v>4312</v>
      </c>
      <c r="I606" s="17" t="s">
        <v>2672</v>
      </c>
      <c r="J606" s="17" t="s">
        <v>4412</v>
      </c>
      <c r="K606" s="17" t="s">
        <v>7209</v>
      </c>
      <c r="L606" s="17" t="s">
        <v>7638</v>
      </c>
      <c r="M606" s="17" t="s">
        <v>6218</v>
      </c>
      <c r="N606" s="17" t="s">
        <v>7773</v>
      </c>
      <c r="O606" s="17" t="s">
        <v>7635</v>
      </c>
      <c r="P606" s="17" t="s">
        <v>7774</v>
      </c>
      <c r="Q606" s="17"/>
      <c r="R606" s="17"/>
      <c r="S606" s="17"/>
      <c r="T606" s="17"/>
      <c r="U606" s="17"/>
      <c r="V606" s="17"/>
      <c r="W606" s="17"/>
      <c r="X606" s="17"/>
      <c r="Y606" s="17"/>
    </row>
    <row r="607" spans="1:25">
      <c r="A607" s="17" t="s">
        <v>7775</v>
      </c>
      <c r="B607" s="17" t="s">
        <v>7775</v>
      </c>
      <c r="C607" s="17" t="s">
        <v>7776</v>
      </c>
      <c r="D607" s="17" t="s">
        <v>6218</v>
      </c>
      <c r="E607" s="17" t="s">
        <v>7033</v>
      </c>
      <c r="F607" s="17" t="s">
        <v>7775</v>
      </c>
      <c r="G607" s="17" t="s">
        <v>2671</v>
      </c>
      <c r="H607" s="17" t="s">
        <v>4312</v>
      </c>
      <c r="I607" s="17" t="s">
        <v>2672</v>
      </c>
      <c r="J607" s="17" t="s">
        <v>4412</v>
      </c>
      <c r="K607" s="17" t="s">
        <v>7307</v>
      </c>
      <c r="L607" s="17" t="s">
        <v>7638</v>
      </c>
      <c r="M607" s="17" t="s">
        <v>6218</v>
      </c>
      <c r="N607" s="17" t="s">
        <v>7777</v>
      </c>
      <c r="O607" s="17" t="s">
        <v>7635</v>
      </c>
      <c r="P607" s="17" t="s">
        <v>7778</v>
      </c>
      <c r="Q607" s="17" t="s">
        <v>6218</v>
      </c>
      <c r="R607" s="17" t="s">
        <v>7777</v>
      </c>
      <c r="S607" s="17" t="s">
        <v>7635</v>
      </c>
      <c r="T607" s="17" t="s">
        <v>7779</v>
      </c>
      <c r="U607" s="17"/>
      <c r="V607" s="17"/>
      <c r="W607" s="17"/>
      <c r="X607" s="17"/>
      <c r="Y607" s="17"/>
    </row>
    <row r="608" spans="1:25">
      <c r="A608" s="17" t="s">
        <v>7780</v>
      </c>
      <c r="B608" s="17" t="s">
        <v>7780</v>
      </c>
      <c r="C608" s="17" t="s">
        <v>7781</v>
      </c>
      <c r="D608" s="17" t="s">
        <v>4401</v>
      </c>
      <c r="E608" s="17" t="s">
        <v>7782</v>
      </c>
      <c r="F608" s="17" t="s">
        <v>7780</v>
      </c>
      <c r="G608" s="17" t="s">
        <v>2671</v>
      </c>
      <c r="H608" s="17" t="s">
        <v>7783</v>
      </c>
      <c r="I608" s="17" t="s">
        <v>4376</v>
      </c>
      <c r="J608" s="17" t="s">
        <v>4789</v>
      </c>
      <c r="K608" s="17" t="s">
        <v>2674</v>
      </c>
      <c r="L608" s="17" t="s">
        <v>7784</v>
      </c>
      <c r="M608" s="17" t="s">
        <v>6273</v>
      </c>
      <c r="N608" s="17" t="s">
        <v>7786</v>
      </c>
      <c r="O608" s="17" t="s">
        <v>7635</v>
      </c>
      <c r="P608" s="17" t="s">
        <v>7785</v>
      </c>
      <c r="Q608" s="17"/>
      <c r="R608" s="17"/>
      <c r="S608" s="17"/>
      <c r="T608" s="17"/>
      <c r="U608" s="17"/>
      <c r="V608" s="17"/>
      <c r="W608" s="17"/>
      <c r="X608" s="17"/>
      <c r="Y608" s="17"/>
    </row>
    <row r="609" spans="1:25">
      <c r="A609" s="17" t="s">
        <v>7926</v>
      </c>
      <c r="B609" s="17" t="s">
        <v>7926</v>
      </c>
      <c r="C609" s="17" t="s">
        <v>7930</v>
      </c>
      <c r="D609" s="17" t="s">
        <v>6273</v>
      </c>
      <c r="E609" s="17" t="s">
        <v>4372</v>
      </c>
      <c r="F609" s="17" t="s">
        <v>7926</v>
      </c>
      <c r="G609" s="17" t="s">
        <v>2671</v>
      </c>
      <c r="H609" s="17" t="s">
        <v>6341</v>
      </c>
      <c r="I609" s="17" t="s">
        <v>4376</v>
      </c>
      <c r="J609" s="17" t="s">
        <v>4798</v>
      </c>
      <c r="K609" s="17" t="s">
        <v>2818</v>
      </c>
      <c r="L609" s="17" t="s">
        <v>7929</v>
      </c>
      <c r="M609" s="17" t="s">
        <v>7928</v>
      </c>
      <c r="N609" s="17" t="s">
        <v>7926</v>
      </c>
      <c r="O609" s="17" t="s">
        <v>7635</v>
      </c>
      <c r="P609" s="17" t="s">
        <v>7927</v>
      </c>
      <c r="Q609" s="17"/>
      <c r="R609" s="17"/>
      <c r="S609" s="17"/>
      <c r="T609" s="17"/>
      <c r="U609" s="17"/>
      <c r="V609" s="13"/>
      <c r="W609" s="17"/>
      <c r="X609" s="50"/>
      <c r="Y609" s="17"/>
    </row>
    <row r="610" spans="1:25">
      <c r="A610" s="17" t="s">
        <v>8493</v>
      </c>
      <c r="B610" s="17" t="s">
        <v>8493</v>
      </c>
      <c r="C610" s="17" t="s">
        <v>8494</v>
      </c>
      <c r="D610" s="17" t="s">
        <v>8495</v>
      </c>
      <c r="E610" s="17">
        <v>3528</v>
      </c>
      <c r="F610" s="17" t="s">
        <v>8493</v>
      </c>
      <c r="G610" s="17" t="s">
        <v>2671</v>
      </c>
      <c r="H610" s="17" t="s">
        <v>4272</v>
      </c>
      <c r="I610" s="17" t="s">
        <v>3870</v>
      </c>
      <c r="J610" s="17" t="s">
        <v>8496</v>
      </c>
      <c r="K610" s="17" t="s">
        <v>8497</v>
      </c>
      <c r="L610" s="17" t="s">
        <v>8498</v>
      </c>
      <c r="M610" s="17" t="s">
        <v>8495</v>
      </c>
      <c r="N610" s="17" t="s">
        <v>8493</v>
      </c>
      <c r="O610" s="17" t="s">
        <v>7635</v>
      </c>
      <c r="P610" s="17" t="s">
        <v>8499</v>
      </c>
      <c r="Q610" s="17"/>
      <c r="R610" s="17"/>
      <c r="S610" s="17"/>
      <c r="T610" s="17"/>
      <c r="U610" s="17"/>
      <c r="V610" s="17"/>
      <c r="W610" s="17"/>
      <c r="X610" s="17"/>
      <c r="Y610" s="17"/>
    </row>
    <row r="611" spans="1:25">
      <c r="A611" s="17" t="s">
        <v>10746</v>
      </c>
      <c r="B611" s="17" t="s">
        <v>10746</v>
      </c>
      <c r="C611" s="17" t="s">
        <v>10747</v>
      </c>
      <c r="D611" s="17" t="s">
        <v>10664</v>
      </c>
      <c r="E611" s="17" t="s">
        <v>2968</v>
      </c>
      <c r="F611" s="17" t="s">
        <v>10746</v>
      </c>
      <c r="G611" s="17" t="s">
        <v>2671</v>
      </c>
      <c r="H611" s="17" t="s">
        <v>426</v>
      </c>
      <c r="I611" s="17" t="s">
        <v>4237</v>
      </c>
      <c r="J611" s="17" t="s">
        <v>2969</v>
      </c>
      <c r="K611" s="17" t="s">
        <v>10749</v>
      </c>
      <c r="L611" s="17" t="s">
        <v>10750</v>
      </c>
      <c r="M611" s="17" t="s">
        <v>7928</v>
      </c>
      <c r="N611" s="17" t="s">
        <v>10746</v>
      </c>
      <c r="O611" s="17" t="s">
        <v>7635</v>
      </c>
      <c r="P611" s="17" t="s">
        <v>10751</v>
      </c>
      <c r="Q611" s="17"/>
      <c r="R611" s="17"/>
      <c r="S611" s="17"/>
      <c r="T611" s="17"/>
      <c r="U611" s="17" t="s">
        <v>7928</v>
      </c>
      <c r="V611" s="17" t="s">
        <v>10746</v>
      </c>
      <c r="W611" s="17" t="s">
        <v>4559</v>
      </c>
      <c r="X611" s="17" t="s">
        <v>10752</v>
      </c>
      <c r="Y611" s="17" t="s">
        <v>4727</v>
      </c>
    </row>
    <row r="612" spans="1:25">
      <c r="A612" s="17" t="s">
        <v>10748</v>
      </c>
      <c r="B612" s="17" t="s">
        <v>10748</v>
      </c>
      <c r="C612" s="17" t="s">
        <v>10747</v>
      </c>
      <c r="D612" s="17" t="s">
        <v>10664</v>
      </c>
      <c r="E612" s="17" t="s">
        <v>3258</v>
      </c>
      <c r="F612" s="17" t="s">
        <v>10748</v>
      </c>
      <c r="G612" s="17" t="s">
        <v>2671</v>
      </c>
      <c r="H612" s="17" t="s">
        <v>426</v>
      </c>
      <c r="I612" s="17" t="s">
        <v>4237</v>
      </c>
      <c r="J612" s="17" t="s">
        <v>3259</v>
      </c>
      <c r="K612" s="17" t="s">
        <v>10749</v>
      </c>
      <c r="L612" s="17" t="s">
        <v>10750</v>
      </c>
      <c r="M612" s="17" t="s">
        <v>7928</v>
      </c>
      <c r="N612" s="17" t="s">
        <v>10748</v>
      </c>
      <c r="O612" s="17" t="s">
        <v>7635</v>
      </c>
      <c r="P612" s="17" t="s">
        <v>10753</v>
      </c>
      <c r="Q612" s="17"/>
      <c r="R612" s="17"/>
      <c r="S612" s="17"/>
      <c r="T612" s="17"/>
      <c r="U612" s="17" t="s">
        <v>7928</v>
      </c>
      <c r="V612" s="17" t="s">
        <v>10748</v>
      </c>
      <c r="W612" s="17" t="s">
        <v>4559</v>
      </c>
      <c r="X612" s="17" t="s">
        <v>10754</v>
      </c>
      <c r="Y612" s="17" t="s">
        <v>4727</v>
      </c>
    </row>
    <row r="613" spans="1:25">
      <c r="A613" s="17" t="s">
        <v>10763</v>
      </c>
      <c r="B613" s="17" t="s">
        <v>10763</v>
      </c>
      <c r="C613" s="17" t="s">
        <v>10764</v>
      </c>
      <c r="D613" s="17" t="s">
        <v>10765</v>
      </c>
      <c r="E613" s="17" t="s">
        <v>10766</v>
      </c>
      <c r="F613" s="17" t="s">
        <v>10767</v>
      </c>
      <c r="G613" s="17" t="s">
        <v>2671</v>
      </c>
      <c r="H613" s="17" t="s">
        <v>10768</v>
      </c>
      <c r="I613" s="17" t="s">
        <v>6700</v>
      </c>
      <c r="J613" s="17" t="s">
        <v>12488</v>
      </c>
      <c r="K613" s="17"/>
      <c r="L613" s="17" t="s">
        <v>14465</v>
      </c>
      <c r="M613" s="17" t="s">
        <v>10765</v>
      </c>
      <c r="N613" s="17" t="s">
        <v>10767</v>
      </c>
      <c r="O613" s="17" t="s">
        <v>7635</v>
      </c>
      <c r="P613" s="17" t="s">
        <v>10769</v>
      </c>
      <c r="Q613" s="17"/>
      <c r="R613" s="17"/>
      <c r="S613" s="17"/>
      <c r="T613" s="17"/>
      <c r="U613" s="17"/>
      <c r="V613" s="17"/>
      <c r="W613" s="17"/>
      <c r="X613" s="17"/>
      <c r="Y613" s="17"/>
    </row>
    <row r="614" spans="1:25">
      <c r="A614" s="17" t="s">
        <v>6277</v>
      </c>
      <c r="B614" s="17" t="s">
        <v>6277</v>
      </c>
      <c r="C614" s="17" t="s">
        <v>11112</v>
      </c>
      <c r="D614" s="17" t="s">
        <v>6732</v>
      </c>
      <c r="E614" s="17" t="s">
        <v>4372</v>
      </c>
      <c r="F614" s="17" t="s">
        <v>6277</v>
      </c>
      <c r="G614" s="17" t="s">
        <v>2671</v>
      </c>
      <c r="H614" s="17" t="s">
        <v>6278</v>
      </c>
      <c r="I614" s="17" t="s">
        <v>4376</v>
      </c>
      <c r="J614" s="17" t="s">
        <v>4798</v>
      </c>
      <c r="K614" s="17" t="s">
        <v>2945</v>
      </c>
      <c r="L614" s="17" t="s">
        <v>11114</v>
      </c>
      <c r="M614" s="17" t="s">
        <v>6732</v>
      </c>
      <c r="N614" s="17" t="s">
        <v>11111</v>
      </c>
      <c r="O614" s="17" t="s">
        <v>7635</v>
      </c>
      <c r="P614" s="17" t="s">
        <v>11113</v>
      </c>
      <c r="Q614" s="17"/>
      <c r="R614" s="17"/>
      <c r="S614" s="17"/>
      <c r="T614" s="17"/>
      <c r="U614" s="17" t="s">
        <v>11116</v>
      </c>
      <c r="V614" s="17" t="s">
        <v>11115</v>
      </c>
      <c r="W614" s="17" t="s">
        <v>4559</v>
      </c>
      <c r="X614" s="17" t="s">
        <v>11117</v>
      </c>
      <c r="Y614" s="17"/>
    </row>
    <row r="615" spans="1:25">
      <c r="A615" s="17" t="s">
        <v>13994</v>
      </c>
      <c r="B615" s="17" t="s">
        <v>13994</v>
      </c>
      <c r="C615" s="17" t="s">
        <v>13996</v>
      </c>
      <c r="D615" s="17" t="s">
        <v>6218</v>
      </c>
      <c r="E615" s="17" t="s">
        <v>4721</v>
      </c>
      <c r="F615" s="17" t="s">
        <v>13994</v>
      </c>
      <c r="G615" s="17" t="s">
        <v>2671</v>
      </c>
      <c r="H615" s="17" t="s">
        <v>426</v>
      </c>
      <c r="I615" s="17" t="s">
        <v>2672</v>
      </c>
      <c r="J615" s="17" t="s">
        <v>4723</v>
      </c>
      <c r="K615" s="17" t="s">
        <v>10749</v>
      </c>
      <c r="L615" s="17" t="s">
        <v>14000</v>
      </c>
      <c r="M615" s="17" t="s">
        <v>6218</v>
      </c>
      <c r="N615" s="17" t="s">
        <v>13994</v>
      </c>
      <c r="O615" s="17" t="s">
        <v>7635</v>
      </c>
      <c r="P615" s="17" t="s">
        <v>14002</v>
      </c>
      <c r="Q615" s="17"/>
      <c r="R615" s="17"/>
      <c r="S615" s="17"/>
      <c r="T615" s="17"/>
      <c r="U615" s="17" t="s">
        <v>14004</v>
      </c>
      <c r="V615" s="17" t="s">
        <v>13994</v>
      </c>
      <c r="W615" s="17" t="s">
        <v>4559</v>
      </c>
      <c r="X615" s="17" t="s">
        <v>14005</v>
      </c>
      <c r="Y615" s="17" t="s">
        <v>4727</v>
      </c>
    </row>
    <row r="616" spans="1:25">
      <c r="A616" s="17" t="s">
        <v>13995</v>
      </c>
      <c r="B616" s="17" t="s">
        <v>13995</v>
      </c>
      <c r="C616" s="17" t="s">
        <v>13997</v>
      </c>
      <c r="D616" s="17" t="s">
        <v>13998</v>
      </c>
      <c r="E616" s="17" t="s">
        <v>4721</v>
      </c>
      <c r="F616" s="17" t="s">
        <v>13995</v>
      </c>
      <c r="G616" s="17" t="s">
        <v>2671</v>
      </c>
      <c r="H616" s="17" t="s">
        <v>426</v>
      </c>
      <c r="I616" s="17" t="s">
        <v>2672</v>
      </c>
      <c r="J616" s="17" t="s">
        <v>4723</v>
      </c>
      <c r="K616" s="17" t="s">
        <v>13999</v>
      </c>
      <c r="L616" s="17" t="s">
        <v>14001</v>
      </c>
      <c r="M616" s="17" t="s">
        <v>6703</v>
      </c>
      <c r="N616" s="17" t="s">
        <v>13995</v>
      </c>
      <c r="O616" s="17" t="s">
        <v>7635</v>
      </c>
      <c r="P616" s="17" t="s">
        <v>14003</v>
      </c>
      <c r="Q616" s="17"/>
      <c r="R616" s="17"/>
      <c r="S616" s="17"/>
      <c r="T616" s="17"/>
      <c r="U616" s="17" t="s">
        <v>6703</v>
      </c>
      <c r="V616" s="17" t="s">
        <v>13995</v>
      </c>
      <c r="W616" s="17" t="s">
        <v>4559</v>
      </c>
      <c r="X616" s="17" t="s">
        <v>14006</v>
      </c>
      <c r="Y616" s="17" t="s">
        <v>4727</v>
      </c>
    </row>
    <row r="617" spans="1:25">
      <c r="A617" s="17" t="s">
        <v>14041</v>
      </c>
      <c r="B617" s="17" t="s">
        <v>14041</v>
      </c>
      <c r="C617" s="17" t="s">
        <v>14042</v>
      </c>
      <c r="D617" s="17" t="s">
        <v>21</v>
      </c>
      <c r="E617" s="17" t="s">
        <v>2968</v>
      </c>
      <c r="F617" s="17" t="s">
        <v>6204</v>
      </c>
      <c r="G617" s="17" t="s">
        <v>2671</v>
      </c>
      <c r="H617" s="17" t="s">
        <v>4247</v>
      </c>
      <c r="I617" s="17" t="s">
        <v>4237</v>
      </c>
      <c r="J617" s="17" t="s">
        <v>2969</v>
      </c>
      <c r="K617" s="17"/>
      <c r="L617" s="17" t="s">
        <v>14043</v>
      </c>
      <c r="M617" s="17"/>
      <c r="N617" s="17"/>
      <c r="O617" s="17"/>
      <c r="P617" s="17"/>
      <c r="Q617" s="17"/>
      <c r="R617" s="17"/>
      <c r="S617" s="17"/>
      <c r="T617" s="17"/>
      <c r="U617" s="17" t="s">
        <v>14044</v>
      </c>
      <c r="V617" s="17" t="s">
        <v>6204</v>
      </c>
      <c r="W617" s="17" t="s">
        <v>4559</v>
      </c>
      <c r="X617" s="17" t="s">
        <v>14045</v>
      </c>
      <c r="Y617" s="17" t="s">
        <v>4728</v>
      </c>
    </row>
    <row r="618" spans="1:25">
      <c r="A618" s="17" t="s">
        <v>14253</v>
      </c>
      <c r="B618" s="17" t="s">
        <v>14253</v>
      </c>
      <c r="C618" s="17" t="s">
        <v>14304</v>
      </c>
      <c r="D618" s="17" t="s">
        <v>6218</v>
      </c>
      <c r="E618" s="17" t="s">
        <v>4721</v>
      </c>
      <c r="F618" s="17" t="s">
        <v>14288</v>
      </c>
      <c r="G618" s="17" t="s">
        <v>2671</v>
      </c>
      <c r="H618" s="17" t="s">
        <v>4312</v>
      </c>
      <c r="I618" s="17" t="s">
        <v>2672</v>
      </c>
      <c r="J618" s="17" t="s">
        <v>4723</v>
      </c>
      <c r="K618" s="17" t="s">
        <v>14288</v>
      </c>
      <c r="L618" s="17" t="s">
        <v>14339</v>
      </c>
      <c r="M618" s="17" t="s">
        <v>6218</v>
      </c>
      <c r="N618" s="17" t="s">
        <v>14340</v>
      </c>
      <c r="O618" s="17" t="s">
        <v>7635</v>
      </c>
      <c r="P618" s="17" t="s">
        <v>14341</v>
      </c>
      <c r="Q618" s="17"/>
      <c r="R618" s="17"/>
      <c r="S618" s="17"/>
      <c r="T618" s="17"/>
      <c r="U618" s="17" t="s">
        <v>14004</v>
      </c>
      <c r="V618" s="17" t="s">
        <v>14340</v>
      </c>
      <c r="W618" s="17" t="s">
        <v>4559</v>
      </c>
      <c r="X618" s="17" t="s">
        <v>14408</v>
      </c>
      <c r="Y618" s="17" t="s">
        <v>4727</v>
      </c>
    </row>
    <row r="619" spans="1:25">
      <c r="A619" s="17" t="s">
        <v>14254</v>
      </c>
      <c r="B619" s="17" t="s">
        <v>14254</v>
      </c>
      <c r="C619" s="17" t="s">
        <v>14305</v>
      </c>
      <c r="D619" s="17" t="s">
        <v>6218</v>
      </c>
      <c r="E619" s="17" t="s">
        <v>4721</v>
      </c>
      <c r="F619" s="17" t="s">
        <v>14289</v>
      </c>
      <c r="G619" s="17" t="s">
        <v>2671</v>
      </c>
      <c r="H619" s="17" t="s">
        <v>4312</v>
      </c>
      <c r="I619" s="17" t="s">
        <v>2672</v>
      </c>
      <c r="J619" s="17" t="s">
        <v>4723</v>
      </c>
      <c r="K619" s="17" t="s">
        <v>14289</v>
      </c>
      <c r="L619" s="17" t="s">
        <v>14339</v>
      </c>
      <c r="M619" s="17" t="s">
        <v>6218</v>
      </c>
      <c r="N619" s="17" t="s">
        <v>14342</v>
      </c>
      <c r="O619" s="17" t="s">
        <v>7635</v>
      </c>
      <c r="P619" s="17" t="s">
        <v>14343</v>
      </c>
      <c r="Q619" s="17"/>
      <c r="R619" s="17"/>
      <c r="S619" s="17"/>
      <c r="T619" s="17"/>
      <c r="U619" s="17" t="s">
        <v>14004</v>
      </c>
      <c r="V619" s="17" t="s">
        <v>14342</v>
      </c>
      <c r="W619" s="17" t="s">
        <v>4559</v>
      </c>
      <c r="X619" s="17" t="s">
        <v>14409</v>
      </c>
      <c r="Y619" s="17" t="s">
        <v>4727</v>
      </c>
    </row>
    <row r="620" spans="1:25">
      <c r="A620" s="17" t="s">
        <v>14255</v>
      </c>
      <c r="B620" s="17" t="s">
        <v>14255</v>
      </c>
      <c r="C620" s="17" t="s">
        <v>14306</v>
      </c>
      <c r="D620" s="17" t="s">
        <v>6218</v>
      </c>
      <c r="E620" s="17" t="s">
        <v>4721</v>
      </c>
      <c r="F620" s="17" t="s">
        <v>14290</v>
      </c>
      <c r="G620" s="17" t="s">
        <v>2671</v>
      </c>
      <c r="H620" s="17" t="s">
        <v>4312</v>
      </c>
      <c r="I620" s="17" t="s">
        <v>2672</v>
      </c>
      <c r="J620" s="17" t="s">
        <v>4723</v>
      </c>
      <c r="K620" s="17" t="s">
        <v>14290</v>
      </c>
      <c r="L620" s="17" t="s">
        <v>14339</v>
      </c>
      <c r="M620" s="17" t="s">
        <v>6218</v>
      </c>
      <c r="N620" s="17" t="s">
        <v>14344</v>
      </c>
      <c r="O620" s="17" t="s">
        <v>7635</v>
      </c>
      <c r="P620" s="17" t="s">
        <v>14345</v>
      </c>
      <c r="Q620" s="17"/>
      <c r="R620" s="17"/>
      <c r="S620" s="17"/>
      <c r="T620" s="17"/>
      <c r="U620" s="17" t="s">
        <v>14004</v>
      </c>
      <c r="V620" s="17" t="s">
        <v>14344</v>
      </c>
      <c r="W620" s="17" t="s">
        <v>4559</v>
      </c>
      <c r="X620" s="17" t="s">
        <v>14410</v>
      </c>
      <c r="Y620" s="17" t="s">
        <v>4727</v>
      </c>
    </row>
    <row r="621" spans="1:25">
      <c r="A621" s="17" t="s">
        <v>14256</v>
      </c>
      <c r="B621" s="17" t="s">
        <v>14256</v>
      </c>
      <c r="C621" s="17" t="s">
        <v>14307</v>
      </c>
      <c r="D621" s="17" t="s">
        <v>6218</v>
      </c>
      <c r="E621" s="17" t="s">
        <v>4721</v>
      </c>
      <c r="F621" s="17" t="s">
        <v>14291</v>
      </c>
      <c r="G621" s="17" t="s">
        <v>2671</v>
      </c>
      <c r="H621" s="17" t="s">
        <v>4312</v>
      </c>
      <c r="I621" s="17" t="s">
        <v>2672</v>
      </c>
      <c r="J621" s="17" t="s">
        <v>4723</v>
      </c>
      <c r="K621" s="17" t="s">
        <v>14291</v>
      </c>
      <c r="L621" s="17" t="s">
        <v>14339</v>
      </c>
      <c r="M621" s="17" t="s">
        <v>6218</v>
      </c>
      <c r="N621" s="17" t="s">
        <v>14346</v>
      </c>
      <c r="O621" s="17" t="s">
        <v>7635</v>
      </c>
      <c r="P621" s="17" t="s">
        <v>14347</v>
      </c>
      <c r="Q621" s="17"/>
      <c r="R621" s="17"/>
      <c r="S621" s="17"/>
      <c r="T621" s="17"/>
      <c r="U621" s="17" t="s">
        <v>14004</v>
      </c>
      <c r="V621" s="17" t="s">
        <v>14346</v>
      </c>
      <c r="W621" s="17" t="s">
        <v>4559</v>
      </c>
      <c r="X621" s="17" t="s">
        <v>14411</v>
      </c>
      <c r="Y621" s="17" t="s">
        <v>4727</v>
      </c>
    </row>
    <row r="622" spans="1:25">
      <c r="A622" s="17" t="s">
        <v>14257</v>
      </c>
      <c r="B622" s="17" t="s">
        <v>14257</v>
      </c>
      <c r="C622" s="17" t="s">
        <v>14308</v>
      </c>
      <c r="D622" s="17" t="s">
        <v>6218</v>
      </c>
      <c r="E622" s="17" t="s">
        <v>4721</v>
      </c>
      <c r="F622" s="17" t="s">
        <v>14292</v>
      </c>
      <c r="G622" s="17" t="s">
        <v>2671</v>
      </c>
      <c r="H622" s="17" t="s">
        <v>4312</v>
      </c>
      <c r="I622" s="17" t="s">
        <v>2672</v>
      </c>
      <c r="J622" s="17" t="s">
        <v>4723</v>
      </c>
      <c r="K622" s="17" t="s">
        <v>14292</v>
      </c>
      <c r="L622" s="17" t="s">
        <v>14339</v>
      </c>
      <c r="M622" s="17" t="s">
        <v>6218</v>
      </c>
      <c r="N622" s="17" t="s">
        <v>14348</v>
      </c>
      <c r="O622" s="17" t="s">
        <v>7635</v>
      </c>
      <c r="P622" s="17" t="s">
        <v>14349</v>
      </c>
      <c r="Q622" s="17"/>
      <c r="R622" s="17"/>
      <c r="S622" s="17"/>
      <c r="T622" s="17"/>
      <c r="U622" s="17" t="s">
        <v>14004</v>
      </c>
      <c r="V622" s="17" t="s">
        <v>14348</v>
      </c>
      <c r="W622" s="17" t="s">
        <v>4559</v>
      </c>
      <c r="X622" s="17" t="s">
        <v>14412</v>
      </c>
      <c r="Y622" s="17" t="s">
        <v>4727</v>
      </c>
    </row>
    <row r="623" spans="1:25">
      <c r="A623" s="17" t="s">
        <v>14258</v>
      </c>
      <c r="B623" s="17" t="s">
        <v>14258</v>
      </c>
      <c r="C623" s="17" t="s">
        <v>14309</v>
      </c>
      <c r="D623" s="17" t="s">
        <v>6218</v>
      </c>
      <c r="E623" s="17" t="s">
        <v>4721</v>
      </c>
      <c r="F623" s="17" t="s">
        <v>14293</v>
      </c>
      <c r="G623" s="17" t="s">
        <v>2671</v>
      </c>
      <c r="H623" s="17" t="s">
        <v>4312</v>
      </c>
      <c r="I623" s="17" t="s">
        <v>2672</v>
      </c>
      <c r="J623" s="17" t="s">
        <v>4723</v>
      </c>
      <c r="K623" s="17" t="s">
        <v>14293</v>
      </c>
      <c r="L623" s="17" t="s">
        <v>14339</v>
      </c>
      <c r="M623" s="17" t="s">
        <v>6218</v>
      </c>
      <c r="N623" s="17" t="s">
        <v>14350</v>
      </c>
      <c r="O623" s="17" t="s">
        <v>7635</v>
      </c>
      <c r="P623" s="17" t="s">
        <v>14351</v>
      </c>
      <c r="Q623" s="17"/>
      <c r="R623" s="17"/>
      <c r="S623" s="17"/>
      <c r="T623" s="17"/>
      <c r="U623" s="17" t="s">
        <v>14004</v>
      </c>
      <c r="V623" s="17" t="s">
        <v>14350</v>
      </c>
      <c r="W623" s="17" t="s">
        <v>4559</v>
      </c>
      <c r="X623" s="17" t="s">
        <v>14413</v>
      </c>
      <c r="Y623" s="17" t="s">
        <v>4727</v>
      </c>
    </row>
    <row r="624" spans="1:25">
      <c r="A624" s="17" t="s">
        <v>14259</v>
      </c>
      <c r="B624" s="17" t="s">
        <v>14259</v>
      </c>
      <c r="C624" s="17" t="s">
        <v>14310</v>
      </c>
      <c r="D624" s="17" t="s">
        <v>6218</v>
      </c>
      <c r="E624" s="17" t="s">
        <v>4721</v>
      </c>
      <c r="F624" s="17" t="s">
        <v>14294</v>
      </c>
      <c r="G624" s="17" t="s">
        <v>2671</v>
      </c>
      <c r="H624" s="17" t="s">
        <v>4312</v>
      </c>
      <c r="I624" s="17" t="s">
        <v>2672</v>
      </c>
      <c r="J624" s="17" t="s">
        <v>4723</v>
      </c>
      <c r="K624" s="17" t="s">
        <v>14294</v>
      </c>
      <c r="L624" s="17" t="s">
        <v>14339</v>
      </c>
      <c r="M624" s="17" t="s">
        <v>6218</v>
      </c>
      <c r="N624" s="17" t="s">
        <v>14352</v>
      </c>
      <c r="O624" s="17" t="s">
        <v>7635</v>
      </c>
      <c r="P624" s="17" t="s">
        <v>14353</v>
      </c>
      <c r="Q624" s="17"/>
      <c r="R624" s="17"/>
      <c r="S624" s="17"/>
      <c r="T624" s="17"/>
      <c r="U624" s="17" t="s">
        <v>14004</v>
      </c>
      <c r="V624" s="17" t="s">
        <v>14352</v>
      </c>
      <c r="W624" s="17" t="s">
        <v>4559</v>
      </c>
      <c r="X624" s="17" t="s">
        <v>14414</v>
      </c>
      <c r="Y624" s="17" t="s">
        <v>4727</v>
      </c>
    </row>
    <row r="625" spans="1:25">
      <c r="A625" s="17" t="s">
        <v>14260</v>
      </c>
      <c r="B625" s="17" t="s">
        <v>14260</v>
      </c>
      <c r="C625" s="17" t="s">
        <v>14311</v>
      </c>
      <c r="D625" s="17" t="s">
        <v>6218</v>
      </c>
      <c r="E625" s="17" t="s">
        <v>4721</v>
      </c>
      <c r="F625" s="17" t="s">
        <v>14295</v>
      </c>
      <c r="G625" s="17" t="s">
        <v>2671</v>
      </c>
      <c r="H625" s="17" t="s">
        <v>4312</v>
      </c>
      <c r="I625" s="17" t="s">
        <v>2672</v>
      </c>
      <c r="J625" s="17" t="s">
        <v>4723</v>
      </c>
      <c r="K625" s="17" t="s">
        <v>14295</v>
      </c>
      <c r="L625" s="17" t="s">
        <v>14339</v>
      </c>
      <c r="M625" s="17" t="s">
        <v>6218</v>
      </c>
      <c r="N625" s="17" t="s">
        <v>14354</v>
      </c>
      <c r="O625" s="17" t="s">
        <v>7635</v>
      </c>
      <c r="P625" s="17" t="s">
        <v>14355</v>
      </c>
      <c r="Q625" s="17"/>
      <c r="R625" s="17"/>
      <c r="S625" s="17"/>
      <c r="T625" s="17"/>
      <c r="U625" s="17" t="s">
        <v>14004</v>
      </c>
      <c r="V625" s="17" t="s">
        <v>14354</v>
      </c>
      <c r="W625" s="17" t="s">
        <v>4559</v>
      </c>
      <c r="X625" s="17" t="s">
        <v>14415</v>
      </c>
      <c r="Y625" s="17" t="s">
        <v>4727</v>
      </c>
    </row>
    <row r="626" spans="1:25">
      <c r="A626" s="17" t="s">
        <v>14261</v>
      </c>
      <c r="B626" s="17" t="s">
        <v>14261</v>
      </c>
      <c r="C626" s="17" t="s">
        <v>14312</v>
      </c>
      <c r="D626" s="17" t="s">
        <v>6218</v>
      </c>
      <c r="E626" s="17" t="s">
        <v>4721</v>
      </c>
      <c r="F626" s="17" t="s">
        <v>14296</v>
      </c>
      <c r="G626" s="17" t="s">
        <v>2671</v>
      </c>
      <c r="H626" s="17" t="s">
        <v>4312</v>
      </c>
      <c r="I626" s="17" t="s">
        <v>2672</v>
      </c>
      <c r="J626" s="17" t="s">
        <v>4723</v>
      </c>
      <c r="K626" s="17" t="s">
        <v>14296</v>
      </c>
      <c r="L626" s="17" t="s">
        <v>14339</v>
      </c>
      <c r="M626" s="17" t="s">
        <v>6218</v>
      </c>
      <c r="N626" s="17" t="s">
        <v>14356</v>
      </c>
      <c r="O626" s="17" t="s">
        <v>7635</v>
      </c>
      <c r="P626" s="17" t="s">
        <v>14357</v>
      </c>
      <c r="Q626" s="17"/>
      <c r="R626" s="17"/>
      <c r="S626" s="17"/>
      <c r="T626" s="17"/>
      <c r="U626" s="17" t="s">
        <v>14004</v>
      </c>
      <c r="V626" s="17" t="s">
        <v>14356</v>
      </c>
      <c r="W626" s="17" t="s">
        <v>4559</v>
      </c>
      <c r="X626" s="17" t="s">
        <v>14416</v>
      </c>
      <c r="Y626" s="17" t="s">
        <v>4727</v>
      </c>
    </row>
    <row r="627" spans="1:25">
      <c r="A627" s="17" t="s">
        <v>14262</v>
      </c>
      <c r="B627" s="17" t="s">
        <v>14262</v>
      </c>
      <c r="C627" s="17" t="s">
        <v>14313</v>
      </c>
      <c r="D627" s="17" t="s">
        <v>6218</v>
      </c>
      <c r="E627" s="17" t="s">
        <v>4721</v>
      </c>
      <c r="F627" s="17" t="s">
        <v>14297</v>
      </c>
      <c r="G627" s="17" t="s">
        <v>2671</v>
      </c>
      <c r="H627" s="17" t="s">
        <v>4312</v>
      </c>
      <c r="I627" s="17" t="s">
        <v>2672</v>
      </c>
      <c r="J627" s="17" t="s">
        <v>4723</v>
      </c>
      <c r="K627" s="17" t="s">
        <v>14297</v>
      </c>
      <c r="L627" s="17" t="s">
        <v>14339</v>
      </c>
      <c r="M627" s="17" t="s">
        <v>6218</v>
      </c>
      <c r="N627" s="17" t="s">
        <v>14358</v>
      </c>
      <c r="O627" s="17" t="s">
        <v>7635</v>
      </c>
      <c r="P627" s="17" t="s">
        <v>14359</v>
      </c>
      <c r="Q627" s="17"/>
      <c r="R627" s="17"/>
      <c r="S627" s="17"/>
      <c r="T627" s="17"/>
      <c r="U627" s="17" t="s">
        <v>14004</v>
      </c>
      <c r="V627" s="17" t="s">
        <v>14358</v>
      </c>
      <c r="W627" s="17" t="s">
        <v>4559</v>
      </c>
      <c r="X627" s="17" t="s">
        <v>14417</v>
      </c>
      <c r="Y627" s="17" t="s">
        <v>4727</v>
      </c>
    </row>
    <row r="628" spans="1:25">
      <c r="A628" s="17" t="s">
        <v>14263</v>
      </c>
      <c r="B628" s="17" t="s">
        <v>14263</v>
      </c>
      <c r="C628" s="17" t="s">
        <v>14314</v>
      </c>
      <c r="D628" s="17" t="s">
        <v>6218</v>
      </c>
      <c r="E628" s="17" t="s">
        <v>4721</v>
      </c>
      <c r="F628" s="17" t="s">
        <v>14298</v>
      </c>
      <c r="G628" s="17" t="s">
        <v>2671</v>
      </c>
      <c r="H628" s="17" t="s">
        <v>4312</v>
      </c>
      <c r="I628" s="17" t="s">
        <v>2672</v>
      </c>
      <c r="J628" s="17" t="s">
        <v>4723</v>
      </c>
      <c r="K628" s="17" t="s">
        <v>14298</v>
      </c>
      <c r="L628" s="17" t="s">
        <v>14339</v>
      </c>
      <c r="M628" s="17" t="s">
        <v>6218</v>
      </c>
      <c r="N628" s="17" t="s">
        <v>14360</v>
      </c>
      <c r="O628" s="17" t="s">
        <v>7635</v>
      </c>
      <c r="P628" s="17" t="s">
        <v>14361</v>
      </c>
      <c r="Q628" s="17"/>
      <c r="R628" s="17"/>
      <c r="S628" s="17"/>
      <c r="T628" s="17"/>
      <c r="U628" s="17" t="s">
        <v>14004</v>
      </c>
      <c r="V628" s="17" t="s">
        <v>14360</v>
      </c>
      <c r="W628" s="17" t="s">
        <v>4559</v>
      </c>
      <c r="X628" s="17" t="s">
        <v>14418</v>
      </c>
      <c r="Y628" s="17" t="s">
        <v>4727</v>
      </c>
    </row>
    <row r="629" spans="1:25">
      <c r="A629" s="17" t="s">
        <v>14264</v>
      </c>
      <c r="B629" s="17" t="s">
        <v>14264</v>
      </c>
      <c r="C629" s="17" t="s">
        <v>14315</v>
      </c>
      <c r="D629" s="17" t="s">
        <v>6218</v>
      </c>
      <c r="E629" s="17" t="s">
        <v>4721</v>
      </c>
      <c r="F629" s="17" t="s">
        <v>14299</v>
      </c>
      <c r="G629" s="17" t="s">
        <v>2671</v>
      </c>
      <c r="H629" s="17" t="s">
        <v>4312</v>
      </c>
      <c r="I629" s="17" t="s">
        <v>2672</v>
      </c>
      <c r="J629" s="17" t="s">
        <v>4723</v>
      </c>
      <c r="K629" s="17" t="s">
        <v>14299</v>
      </c>
      <c r="L629" s="17" t="s">
        <v>14339</v>
      </c>
      <c r="M629" s="17" t="s">
        <v>6218</v>
      </c>
      <c r="N629" s="17" t="s">
        <v>14362</v>
      </c>
      <c r="O629" s="17" t="s">
        <v>7635</v>
      </c>
      <c r="P629" s="17" t="s">
        <v>14363</v>
      </c>
      <c r="Q629" s="17"/>
      <c r="R629" s="17"/>
      <c r="S629" s="17"/>
      <c r="T629" s="17"/>
      <c r="U629" s="17" t="s">
        <v>14004</v>
      </c>
      <c r="V629" s="17" t="s">
        <v>14362</v>
      </c>
      <c r="W629" s="17" t="s">
        <v>4559</v>
      </c>
      <c r="X629" s="17" t="s">
        <v>14419</v>
      </c>
      <c r="Y629" s="17" t="s">
        <v>4727</v>
      </c>
    </row>
    <row r="630" spans="1:25">
      <c r="A630" s="17" t="s">
        <v>14265</v>
      </c>
      <c r="B630" s="17" t="s">
        <v>14265</v>
      </c>
      <c r="C630" s="17" t="s">
        <v>14316</v>
      </c>
      <c r="D630" s="17" t="s">
        <v>6218</v>
      </c>
      <c r="E630" s="17" t="s">
        <v>4721</v>
      </c>
      <c r="F630" s="17" t="s">
        <v>4709</v>
      </c>
      <c r="G630" s="17" t="s">
        <v>2671</v>
      </c>
      <c r="H630" s="17" t="s">
        <v>4312</v>
      </c>
      <c r="I630" s="17" t="s">
        <v>2672</v>
      </c>
      <c r="J630" s="17" t="s">
        <v>4723</v>
      </c>
      <c r="K630" s="17" t="s">
        <v>4709</v>
      </c>
      <c r="L630" s="17" t="s">
        <v>14339</v>
      </c>
      <c r="M630" s="17" t="s">
        <v>6218</v>
      </c>
      <c r="N630" s="17" t="s">
        <v>14364</v>
      </c>
      <c r="O630" s="17" t="s">
        <v>7635</v>
      </c>
      <c r="P630" s="17" t="s">
        <v>14365</v>
      </c>
      <c r="Q630" s="17"/>
      <c r="R630" s="17"/>
      <c r="S630" s="17"/>
      <c r="T630" s="17"/>
      <c r="U630" s="17" t="s">
        <v>14004</v>
      </c>
      <c r="V630" s="17" t="s">
        <v>14364</v>
      </c>
      <c r="W630" s="17" t="s">
        <v>4559</v>
      </c>
      <c r="X630" s="17" t="s">
        <v>14420</v>
      </c>
      <c r="Y630" s="17" t="s">
        <v>4727</v>
      </c>
    </row>
    <row r="631" spans="1:25">
      <c r="A631" s="17" t="s">
        <v>14266</v>
      </c>
      <c r="B631" s="17" t="s">
        <v>14266</v>
      </c>
      <c r="C631" s="17" t="s">
        <v>14317</v>
      </c>
      <c r="D631" s="17" t="s">
        <v>6218</v>
      </c>
      <c r="E631" s="17" t="s">
        <v>4721</v>
      </c>
      <c r="F631" s="17" t="s">
        <v>2703</v>
      </c>
      <c r="G631" s="17" t="s">
        <v>2671</v>
      </c>
      <c r="H631" s="17" t="s">
        <v>4312</v>
      </c>
      <c r="I631" s="17" t="s">
        <v>2672</v>
      </c>
      <c r="J631" s="17" t="s">
        <v>4723</v>
      </c>
      <c r="K631" s="17" t="s">
        <v>2703</v>
      </c>
      <c r="L631" s="17" t="s">
        <v>14339</v>
      </c>
      <c r="M631" s="17" t="s">
        <v>6218</v>
      </c>
      <c r="N631" s="17" t="s">
        <v>14366</v>
      </c>
      <c r="O631" s="17" t="s">
        <v>7635</v>
      </c>
      <c r="P631" s="17" t="s">
        <v>14367</v>
      </c>
      <c r="Q631" s="17"/>
      <c r="R631" s="17"/>
      <c r="S631" s="17"/>
      <c r="T631" s="17"/>
      <c r="U631" s="17" t="s">
        <v>14004</v>
      </c>
      <c r="V631" s="17" t="s">
        <v>14366</v>
      </c>
      <c r="W631" s="17" t="s">
        <v>4559</v>
      </c>
      <c r="X631" s="17" t="s">
        <v>14421</v>
      </c>
      <c r="Y631" s="17" t="s">
        <v>4727</v>
      </c>
    </row>
    <row r="632" spans="1:25">
      <c r="A632" s="17" t="s">
        <v>14267</v>
      </c>
      <c r="B632" s="17" t="s">
        <v>14267</v>
      </c>
      <c r="C632" s="17" t="s">
        <v>14318</v>
      </c>
      <c r="D632" s="17" t="s">
        <v>6218</v>
      </c>
      <c r="E632" s="17" t="s">
        <v>4721</v>
      </c>
      <c r="F632" s="17" t="s">
        <v>14300</v>
      </c>
      <c r="G632" s="17" t="s">
        <v>2671</v>
      </c>
      <c r="H632" s="17" t="s">
        <v>4312</v>
      </c>
      <c r="I632" s="17" t="s">
        <v>2672</v>
      </c>
      <c r="J632" s="17" t="s">
        <v>4723</v>
      </c>
      <c r="K632" s="17" t="s">
        <v>14300</v>
      </c>
      <c r="L632" s="17" t="s">
        <v>14339</v>
      </c>
      <c r="M632" s="17" t="s">
        <v>6218</v>
      </c>
      <c r="N632" s="17" t="s">
        <v>14368</v>
      </c>
      <c r="O632" s="17" t="s">
        <v>7635</v>
      </c>
      <c r="P632" s="17" t="s">
        <v>14369</v>
      </c>
      <c r="Q632" s="17"/>
      <c r="R632" s="17"/>
      <c r="S632" s="17"/>
      <c r="T632" s="17"/>
      <c r="U632" s="17" t="s">
        <v>14004</v>
      </c>
      <c r="V632" s="17" t="s">
        <v>14368</v>
      </c>
      <c r="W632" s="17" t="s">
        <v>4559</v>
      </c>
      <c r="X632" s="17" t="s">
        <v>14422</v>
      </c>
      <c r="Y632" s="17" t="s">
        <v>4727</v>
      </c>
    </row>
    <row r="633" spans="1:25">
      <c r="A633" s="17" t="s">
        <v>14268</v>
      </c>
      <c r="B633" s="17" t="s">
        <v>14268</v>
      </c>
      <c r="C633" s="17" t="s">
        <v>14319</v>
      </c>
      <c r="D633" s="17" t="s">
        <v>6218</v>
      </c>
      <c r="E633" s="17" t="s">
        <v>4721</v>
      </c>
      <c r="F633" s="17" t="s">
        <v>14301</v>
      </c>
      <c r="G633" s="17" t="s">
        <v>2671</v>
      </c>
      <c r="H633" s="17" t="s">
        <v>4312</v>
      </c>
      <c r="I633" s="17" t="s">
        <v>2672</v>
      </c>
      <c r="J633" s="17" t="s">
        <v>4723</v>
      </c>
      <c r="K633" s="17" t="s">
        <v>14301</v>
      </c>
      <c r="L633" s="17" t="s">
        <v>14339</v>
      </c>
      <c r="M633" s="17" t="s">
        <v>6218</v>
      </c>
      <c r="N633" s="17" t="s">
        <v>14370</v>
      </c>
      <c r="O633" s="17" t="s">
        <v>7635</v>
      </c>
      <c r="P633" s="17" t="s">
        <v>14371</v>
      </c>
      <c r="Q633" s="17"/>
      <c r="R633" s="17"/>
      <c r="S633" s="17"/>
      <c r="T633" s="17"/>
      <c r="U633" s="17" t="s">
        <v>14004</v>
      </c>
      <c r="V633" s="17" t="s">
        <v>14370</v>
      </c>
      <c r="W633" s="17" t="s">
        <v>4559</v>
      </c>
      <c r="X633" s="17" t="s">
        <v>14423</v>
      </c>
      <c r="Y633" s="17" t="s">
        <v>4727</v>
      </c>
    </row>
    <row r="634" spans="1:25">
      <c r="A634" s="17" t="s">
        <v>14269</v>
      </c>
      <c r="B634" s="17" t="s">
        <v>14269</v>
      </c>
      <c r="C634" s="17" t="s">
        <v>14320</v>
      </c>
      <c r="D634" s="17" t="s">
        <v>6218</v>
      </c>
      <c r="E634" s="17" t="s">
        <v>4721</v>
      </c>
      <c r="F634" s="17" t="s">
        <v>2729</v>
      </c>
      <c r="G634" s="17" t="s">
        <v>2671</v>
      </c>
      <c r="H634" s="17" t="s">
        <v>4312</v>
      </c>
      <c r="I634" s="17" t="s">
        <v>2672</v>
      </c>
      <c r="J634" s="17" t="s">
        <v>4723</v>
      </c>
      <c r="K634" s="17" t="s">
        <v>2729</v>
      </c>
      <c r="L634" s="17" t="s">
        <v>14339</v>
      </c>
      <c r="M634" s="17" t="s">
        <v>6218</v>
      </c>
      <c r="N634" s="17" t="s">
        <v>14372</v>
      </c>
      <c r="O634" s="17" t="s">
        <v>7635</v>
      </c>
      <c r="P634" s="17" t="s">
        <v>14373</v>
      </c>
      <c r="Q634" s="17"/>
      <c r="R634" s="17"/>
      <c r="S634" s="17"/>
      <c r="T634" s="17"/>
      <c r="U634" s="17" t="s">
        <v>14004</v>
      </c>
      <c r="V634" s="17" t="s">
        <v>14372</v>
      </c>
      <c r="W634" s="17" t="s">
        <v>4559</v>
      </c>
      <c r="X634" s="17" t="s">
        <v>14424</v>
      </c>
      <c r="Y634" s="17" t="s">
        <v>4727</v>
      </c>
    </row>
    <row r="635" spans="1:25">
      <c r="A635" s="17" t="s">
        <v>14270</v>
      </c>
      <c r="B635" s="17" t="s">
        <v>14270</v>
      </c>
      <c r="C635" s="17" t="s">
        <v>14321</v>
      </c>
      <c r="D635" s="17" t="s">
        <v>6218</v>
      </c>
      <c r="E635" s="17" t="s">
        <v>4721</v>
      </c>
      <c r="F635" s="17" t="s">
        <v>2738</v>
      </c>
      <c r="G635" s="17" t="s">
        <v>2671</v>
      </c>
      <c r="H635" s="17" t="s">
        <v>4312</v>
      </c>
      <c r="I635" s="17" t="s">
        <v>2672</v>
      </c>
      <c r="J635" s="17" t="s">
        <v>4723</v>
      </c>
      <c r="K635" s="17" t="s">
        <v>2738</v>
      </c>
      <c r="L635" s="17" t="s">
        <v>14339</v>
      </c>
      <c r="M635" s="17" t="s">
        <v>6218</v>
      </c>
      <c r="N635" s="17" t="s">
        <v>14374</v>
      </c>
      <c r="O635" s="17" t="s">
        <v>7635</v>
      </c>
      <c r="P635" s="17" t="s">
        <v>14375</v>
      </c>
      <c r="Q635" s="17"/>
      <c r="R635" s="17"/>
      <c r="S635" s="17"/>
      <c r="T635" s="17"/>
      <c r="U635" s="17" t="s">
        <v>14004</v>
      </c>
      <c r="V635" s="17" t="s">
        <v>14374</v>
      </c>
      <c r="W635" s="17" t="s">
        <v>4559</v>
      </c>
      <c r="X635" s="17" t="s">
        <v>14425</v>
      </c>
      <c r="Y635" s="17" t="s">
        <v>4727</v>
      </c>
    </row>
    <row r="636" spans="1:25">
      <c r="A636" s="17" t="s">
        <v>14271</v>
      </c>
      <c r="B636" s="17" t="s">
        <v>14271</v>
      </c>
      <c r="C636" s="17" t="s">
        <v>14322</v>
      </c>
      <c r="D636" s="17" t="s">
        <v>6218</v>
      </c>
      <c r="E636" s="17" t="s">
        <v>4721</v>
      </c>
      <c r="F636" s="17" t="s">
        <v>2742</v>
      </c>
      <c r="G636" s="17" t="s">
        <v>2671</v>
      </c>
      <c r="H636" s="17" t="s">
        <v>4312</v>
      </c>
      <c r="I636" s="17" t="s">
        <v>2672</v>
      </c>
      <c r="J636" s="17" t="s">
        <v>4723</v>
      </c>
      <c r="K636" s="17" t="s">
        <v>2742</v>
      </c>
      <c r="L636" s="17" t="s">
        <v>14339</v>
      </c>
      <c r="M636" s="17" t="s">
        <v>6218</v>
      </c>
      <c r="N636" s="17" t="s">
        <v>14376</v>
      </c>
      <c r="O636" s="17" t="s">
        <v>7635</v>
      </c>
      <c r="P636" s="17" t="s">
        <v>14377</v>
      </c>
      <c r="Q636" s="17"/>
      <c r="R636" s="17"/>
      <c r="S636" s="17"/>
      <c r="T636" s="17"/>
      <c r="U636" s="17" t="s">
        <v>14004</v>
      </c>
      <c r="V636" s="17" t="s">
        <v>14376</v>
      </c>
      <c r="W636" s="17" t="s">
        <v>4559</v>
      </c>
      <c r="X636" s="17" t="s">
        <v>14426</v>
      </c>
      <c r="Y636" s="17" t="s">
        <v>4727</v>
      </c>
    </row>
    <row r="637" spans="1:25">
      <c r="A637" s="17" t="s">
        <v>14272</v>
      </c>
      <c r="B637" s="17" t="s">
        <v>14272</v>
      </c>
      <c r="C637" s="17" t="s">
        <v>14323</v>
      </c>
      <c r="D637" s="17" t="s">
        <v>6218</v>
      </c>
      <c r="E637" s="17" t="s">
        <v>4721</v>
      </c>
      <c r="F637" s="17" t="s">
        <v>2751</v>
      </c>
      <c r="G637" s="17" t="s">
        <v>2671</v>
      </c>
      <c r="H637" s="17" t="s">
        <v>4312</v>
      </c>
      <c r="I637" s="17" t="s">
        <v>2672</v>
      </c>
      <c r="J637" s="17" t="s">
        <v>4723</v>
      </c>
      <c r="K637" s="17" t="s">
        <v>2751</v>
      </c>
      <c r="L637" s="17" t="s">
        <v>14339</v>
      </c>
      <c r="M637" s="17" t="s">
        <v>6218</v>
      </c>
      <c r="N637" s="17" t="s">
        <v>14378</v>
      </c>
      <c r="O637" s="17" t="s">
        <v>7635</v>
      </c>
      <c r="P637" s="17" t="s">
        <v>14379</v>
      </c>
      <c r="Q637" s="17"/>
      <c r="R637" s="17"/>
      <c r="S637" s="17"/>
      <c r="T637" s="17"/>
      <c r="U637" s="17" t="s">
        <v>14004</v>
      </c>
      <c r="V637" s="17" t="s">
        <v>14378</v>
      </c>
      <c r="W637" s="17" t="s">
        <v>4559</v>
      </c>
      <c r="X637" s="17" t="s">
        <v>14427</v>
      </c>
      <c r="Y637" s="17" t="s">
        <v>4727</v>
      </c>
    </row>
    <row r="638" spans="1:25">
      <c r="A638" s="17" t="s">
        <v>14273</v>
      </c>
      <c r="B638" s="17" t="s">
        <v>14273</v>
      </c>
      <c r="C638" s="17" t="s">
        <v>14324</v>
      </c>
      <c r="D638" s="17" t="s">
        <v>6218</v>
      </c>
      <c r="E638" s="17" t="s">
        <v>4721</v>
      </c>
      <c r="F638" s="17" t="s">
        <v>2760</v>
      </c>
      <c r="G638" s="17" t="s">
        <v>2671</v>
      </c>
      <c r="H638" s="17" t="s">
        <v>4312</v>
      </c>
      <c r="I638" s="17" t="s">
        <v>2672</v>
      </c>
      <c r="J638" s="17" t="s">
        <v>4723</v>
      </c>
      <c r="K638" s="17" t="s">
        <v>2760</v>
      </c>
      <c r="L638" s="17" t="s">
        <v>14339</v>
      </c>
      <c r="M638" s="17" t="s">
        <v>6218</v>
      </c>
      <c r="N638" s="17" t="s">
        <v>14380</v>
      </c>
      <c r="O638" s="17" t="s">
        <v>7635</v>
      </c>
      <c r="P638" s="17" t="s">
        <v>14381</v>
      </c>
      <c r="Q638" s="17"/>
      <c r="R638" s="17"/>
      <c r="S638" s="17"/>
      <c r="T638" s="17"/>
      <c r="U638" s="17" t="s">
        <v>14004</v>
      </c>
      <c r="V638" s="17" t="s">
        <v>14380</v>
      </c>
      <c r="W638" s="17" t="s">
        <v>4559</v>
      </c>
      <c r="X638" s="17" t="s">
        <v>14428</v>
      </c>
      <c r="Y638" s="17" t="s">
        <v>4727</v>
      </c>
    </row>
    <row r="639" spans="1:25">
      <c r="A639" s="17" t="s">
        <v>14274</v>
      </c>
      <c r="B639" s="17" t="s">
        <v>14274</v>
      </c>
      <c r="C639" s="17" t="s">
        <v>14325</v>
      </c>
      <c r="D639" s="17" t="s">
        <v>6218</v>
      </c>
      <c r="E639" s="17" t="s">
        <v>4721</v>
      </c>
      <c r="F639" s="17" t="s">
        <v>2769</v>
      </c>
      <c r="G639" s="17" t="s">
        <v>2671</v>
      </c>
      <c r="H639" s="17" t="s">
        <v>4312</v>
      </c>
      <c r="I639" s="17" t="s">
        <v>2672</v>
      </c>
      <c r="J639" s="17" t="s">
        <v>4723</v>
      </c>
      <c r="K639" s="17" t="s">
        <v>2769</v>
      </c>
      <c r="L639" s="17" t="s">
        <v>14339</v>
      </c>
      <c r="M639" s="17" t="s">
        <v>6218</v>
      </c>
      <c r="N639" s="17" t="s">
        <v>14382</v>
      </c>
      <c r="O639" s="17" t="s">
        <v>7635</v>
      </c>
      <c r="P639" s="17" t="s">
        <v>14383</v>
      </c>
      <c r="Q639" s="17"/>
      <c r="R639" s="17"/>
      <c r="S639" s="17"/>
      <c r="T639" s="17"/>
      <c r="U639" s="17" t="s">
        <v>14004</v>
      </c>
      <c r="V639" s="17" t="s">
        <v>14382</v>
      </c>
      <c r="W639" s="17" t="s">
        <v>4559</v>
      </c>
      <c r="X639" s="17" t="s">
        <v>14429</v>
      </c>
      <c r="Y639" s="17" t="s">
        <v>4727</v>
      </c>
    </row>
    <row r="640" spans="1:25">
      <c r="A640" s="17" t="s">
        <v>14275</v>
      </c>
      <c r="B640" s="17" t="s">
        <v>14275</v>
      </c>
      <c r="C640" s="17" t="s">
        <v>14326</v>
      </c>
      <c r="D640" s="17" t="s">
        <v>6218</v>
      </c>
      <c r="E640" s="17" t="s">
        <v>4721</v>
      </c>
      <c r="F640" s="17" t="s">
        <v>2778</v>
      </c>
      <c r="G640" s="17" t="s">
        <v>2671</v>
      </c>
      <c r="H640" s="17" t="s">
        <v>4312</v>
      </c>
      <c r="I640" s="17" t="s">
        <v>2672</v>
      </c>
      <c r="J640" s="17" t="s">
        <v>4723</v>
      </c>
      <c r="K640" s="17" t="s">
        <v>2778</v>
      </c>
      <c r="L640" s="17" t="s">
        <v>14339</v>
      </c>
      <c r="M640" s="17" t="s">
        <v>6218</v>
      </c>
      <c r="N640" s="17" t="s">
        <v>14384</v>
      </c>
      <c r="O640" s="17" t="s">
        <v>7635</v>
      </c>
      <c r="P640" s="17" t="s">
        <v>14385</v>
      </c>
      <c r="Q640" s="17"/>
      <c r="R640" s="17"/>
      <c r="S640" s="17"/>
      <c r="T640" s="17"/>
      <c r="U640" s="17" t="s">
        <v>14004</v>
      </c>
      <c r="V640" s="17" t="s">
        <v>14384</v>
      </c>
      <c r="W640" s="17" t="s">
        <v>4559</v>
      </c>
      <c r="X640" s="17" t="s">
        <v>14430</v>
      </c>
      <c r="Y640" s="17" t="s">
        <v>4727</v>
      </c>
    </row>
    <row r="641" spans="1:25">
      <c r="A641" s="17" t="s">
        <v>14276</v>
      </c>
      <c r="B641" s="17" t="s">
        <v>14276</v>
      </c>
      <c r="C641" s="17" t="s">
        <v>14327</v>
      </c>
      <c r="D641" s="17" t="s">
        <v>6218</v>
      </c>
      <c r="E641" s="17" t="s">
        <v>4721</v>
      </c>
      <c r="F641" s="17" t="s">
        <v>2787</v>
      </c>
      <c r="G641" s="17" t="s">
        <v>2671</v>
      </c>
      <c r="H641" s="17" t="s">
        <v>4312</v>
      </c>
      <c r="I641" s="17" t="s">
        <v>2672</v>
      </c>
      <c r="J641" s="17" t="s">
        <v>4723</v>
      </c>
      <c r="K641" s="17" t="s">
        <v>2787</v>
      </c>
      <c r="L641" s="17" t="s">
        <v>14339</v>
      </c>
      <c r="M641" s="17" t="s">
        <v>6218</v>
      </c>
      <c r="N641" s="17" t="s">
        <v>14386</v>
      </c>
      <c r="O641" s="17" t="s">
        <v>7635</v>
      </c>
      <c r="P641" s="17" t="s">
        <v>14387</v>
      </c>
      <c r="Q641" s="17"/>
      <c r="R641" s="17"/>
      <c r="S641" s="17"/>
      <c r="T641" s="17"/>
      <c r="U641" s="17" t="s">
        <v>14004</v>
      </c>
      <c r="V641" s="17" t="s">
        <v>14386</v>
      </c>
      <c r="W641" s="17" t="s">
        <v>4559</v>
      </c>
      <c r="X641" s="17" t="s">
        <v>14431</v>
      </c>
      <c r="Y641" s="17" t="s">
        <v>4727</v>
      </c>
    </row>
    <row r="642" spans="1:25">
      <c r="A642" s="17" t="s">
        <v>14277</v>
      </c>
      <c r="B642" s="17" t="s">
        <v>14277</v>
      </c>
      <c r="C642" s="17" t="s">
        <v>14328</v>
      </c>
      <c r="D642" s="17" t="s">
        <v>6218</v>
      </c>
      <c r="E642" s="17" t="s">
        <v>4721</v>
      </c>
      <c r="F642" s="17" t="s">
        <v>2791</v>
      </c>
      <c r="G642" s="17" t="s">
        <v>2671</v>
      </c>
      <c r="H642" s="17" t="s">
        <v>4312</v>
      </c>
      <c r="I642" s="17" t="s">
        <v>2672</v>
      </c>
      <c r="J642" s="17" t="s">
        <v>4723</v>
      </c>
      <c r="K642" s="17" t="s">
        <v>2791</v>
      </c>
      <c r="L642" s="17" t="s">
        <v>14339</v>
      </c>
      <c r="M642" s="17" t="s">
        <v>6218</v>
      </c>
      <c r="N642" s="17" t="s">
        <v>14388</v>
      </c>
      <c r="O642" s="17" t="s">
        <v>7635</v>
      </c>
      <c r="P642" s="17" t="s">
        <v>14389</v>
      </c>
      <c r="Q642" s="17"/>
      <c r="R642" s="17"/>
      <c r="S642" s="17"/>
      <c r="T642" s="17"/>
      <c r="U642" s="17" t="s">
        <v>14004</v>
      </c>
      <c r="V642" s="17" t="s">
        <v>14388</v>
      </c>
      <c r="W642" s="17" t="s">
        <v>4559</v>
      </c>
      <c r="X642" s="17" t="s">
        <v>14432</v>
      </c>
      <c r="Y642" s="17" t="s">
        <v>4727</v>
      </c>
    </row>
    <row r="643" spans="1:25">
      <c r="A643" s="17" t="s">
        <v>14278</v>
      </c>
      <c r="B643" s="17" t="s">
        <v>14278</v>
      </c>
      <c r="C643" s="17" t="s">
        <v>14329</v>
      </c>
      <c r="D643" s="17" t="s">
        <v>6218</v>
      </c>
      <c r="E643" s="17" t="s">
        <v>4721</v>
      </c>
      <c r="F643" s="17" t="s">
        <v>2800</v>
      </c>
      <c r="G643" s="17" t="s">
        <v>2671</v>
      </c>
      <c r="H643" s="17" t="s">
        <v>4312</v>
      </c>
      <c r="I643" s="17" t="s">
        <v>2672</v>
      </c>
      <c r="J643" s="17" t="s">
        <v>4723</v>
      </c>
      <c r="K643" s="17" t="s">
        <v>2800</v>
      </c>
      <c r="L643" s="17" t="s">
        <v>14339</v>
      </c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spans="1:25">
      <c r="A644" s="17" t="s">
        <v>14279</v>
      </c>
      <c r="B644" s="17" t="s">
        <v>14279</v>
      </c>
      <c r="C644" s="17" t="s">
        <v>14330</v>
      </c>
      <c r="D644" s="17" t="s">
        <v>6218</v>
      </c>
      <c r="E644" s="17" t="s">
        <v>4721</v>
      </c>
      <c r="F644" s="17" t="s">
        <v>2809</v>
      </c>
      <c r="G644" s="17" t="s">
        <v>2671</v>
      </c>
      <c r="H644" s="17" t="s">
        <v>4312</v>
      </c>
      <c r="I644" s="17" t="s">
        <v>2672</v>
      </c>
      <c r="J644" s="17" t="s">
        <v>4723</v>
      </c>
      <c r="K644" s="17" t="s">
        <v>2809</v>
      </c>
      <c r="L644" s="17" t="s">
        <v>14339</v>
      </c>
      <c r="M644" s="17" t="s">
        <v>6218</v>
      </c>
      <c r="N644" s="17" t="s">
        <v>14390</v>
      </c>
      <c r="O644" s="17" t="s">
        <v>7635</v>
      </c>
      <c r="P644" s="17" t="s">
        <v>14391</v>
      </c>
      <c r="Q644" s="17"/>
      <c r="R644" s="17"/>
      <c r="S644" s="17"/>
      <c r="T644" s="17"/>
      <c r="U644" s="17" t="s">
        <v>14004</v>
      </c>
      <c r="V644" s="17" t="s">
        <v>14390</v>
      </c>
      <c r="W644" s="17" t="s">
        <v>4559</v>
      </c>
      <c r="X644" s="17" t="s">
        <v>14433</v>
      </c>
      <c r="Y644" s="17" t="s">
        <v>4727</v>
      </c>
    </row>
    <row r="645" spans="1:25">
      <c r="A645" s="17" t="s">
        <v>14280</v>
      </c>
      <c r="B645" s="17" t="s">
        <v>14280</v>
      </c>
      <c r="C645" s="17" t="s">
        <v>14331</v>
      </c>
      <c r="D645" s="17" t="s">
        <v>6218</v>
      </c>
      <c r="E645" s="17" t="s">
        <v>4721</v>
      </c>
      <c r="F645" s="17" t="s">
        <v>2818</v>
      </c>
      <c r="G645" s="17" t="s">
        <v>2671</v>
      </c>
      <c r="H645" s="17" t="s">
        <v>4312</v>
      </c>
      <c r="I645" s="17" t="s">
        <v>2672</v>
      </c>
      <c r="J645" s="17" t="s">
        <v>4723</v>
      </c>
      <c r="K645" s="17" t="s">
        <v>2818</v>
      </c>
      <c r="L645" s="17" t="s">
        <v>14339</v>
      </c>
      <c r="M645" s="17" t="s">
        <v>6218</v>
      </c>
      <c r="N645" s="17" t="s">
        <v>14392</v>
      </c>
      <c r="O645" s="17" t="s">
        <v>7635</v>
      </c>
      <c r="P645" s="17" t="s">
        <v>14393</v>
      </c>
      <c r="Q645" s="17"/>
      <c r="R645" s="17"/>
      <c r="S645" s="17"/>
      <c r="T645" s="17"/>
      <c r="U645" s="17" t="s">
        <v>14004</v>
      </c>
      <c r="V645" s="17" t="s">
        <v>14392</v>
      </c>
      <c r="W645" s="17" t="s">
        <v>4559</v>
      </c>
      <c r="X645" s="17" t="s">
        <v>14434</v>
      </c>
      <c r="Y645" s="17" t="s">
        <v>4727</v>
      </c>
    </row>
    <row r="646" spans="1:25">
      <c r="A646" s="17" t="s">
        <v>14281</v>
      </c>
      <c r="B646" s="17" t="s">
        <v>14281</v>
      </c>
      <c r="C646" s="17" t="s">
        <v>14332</v>
      </c>
      <c r="D646" s="17" t="s">
        <v>6218</v>
      </c>
      <c r="E646" s="17" t="s">
        <v>4721</v>
      </c>
      <c r="F646" s="17" t="s">
        <v>14302</v>
      </c>
      <c r="G646" s="17" t="s">
        <v>2671</v>
      </c>
      <c r="H646" s="17" t="s">
        <v>4312</v>
      </c>
      <c r="I646" s="17" t="s">
        <v>2672</v>
      </c>
      <c r="J646" s="17" t="s">
        <v>4723</v>
      </c>
      <c r="K646" s="17" t="s">
        <v>14302</v>
      </c>
      <c r="L646" s="17" t="s">
        <v>14339</v>
      </c>
      <c r="M646" s="17" t="s">
        <v>6218</v>
      </c>
      <c r="N646" s="17" t="s">
        <v>14394</v>
      </c>
      <c r="O646" s="17" t="s">
        <v>7635</v>
      </c>
      <c r="P646" s="17" t="s">
        <v>14395</v>
      </c>
      <c r="Q646" s="17"/>
      <c r="R646" s="17"/>
      <c r="S646" s="17"/>
      <c r="T646" s="17"/>
      <c r="U646" s="17" t="s">
        <v>14004</v>
      </c>
      <c r="V646" s="17" t="s">
        <v>14394</v>
      </c>
      <c r="W646" s="17" t="s">
        <v>4559</v>
      </c>
      <c r="X646" s="17" t="s">
        <v>14435</v>
      </c>
      <c r="Y646" s="17" t="s">
        <v>4727</v>
      </c>
    </row>
    <row r="647" spans="1:25">
      <c r="A647" s="17" t="s">
        <v>14282</v>
      </c>
      <c r="B647" s="17" t="s">
        <v>14282</v>
      </c>
      <c r="C647" s="17" t="s">
        <v>14333</v>
      </c>
      <c r="D647" s="17" t="s">
        <v>6218</v>
      </c>
      <c r="E647" s="17" t="s">
        <v>4721</v>
      </c>
      <c r="F647" s="17" t="s">
        <v>2836</v>
      </c>
      <c r="G647" s="17" t="s">
        <v>2671</v>
      </c>
      <c r="H647" s="17" t="s">
        <v>4312</v>
      </c>
      <c r="I647" s="17" t="s">
        <v>2672</v>
      </c>
      <c r="J647" s="17" t="s">
        <v>4723</v>
      </c>
      <c r="K647" s="17" t="s">
        <v>2836</v>
      </c>
      <c r="L647" s="17" t="s">
        <v>14339</v>
      </c>
      <c r="M647" s="17" t="s">
        <v>6218</v>
      </c>
      <c r="N647" s="17" t="s">
        <v>14396</v>
      </c>
      <c r="O647" s="17" t="s">
        <v>7635</v>
      </c>
      <c r="P647" s="17" t="s">
        <v>14397</v>
      </c>
      <c r="Q647" s="17"/>
      <c r="R647" s="17"/>
      <c r="S647" s="17"/>
      <c r="T647" s="17"/>
      <c r="U647" s="17" t="s">
        <v>14004</v>
      </c>
      <c r="V647" s="17" t="s">
        <v>14396</v>
      </c>
      <c r="W647" s="17" t="s">
        <v>4559</v>
      </c>
      <c r="X647" s="17" t="s">
        <v>14436</v>
      </c>
      <c r="Y647" s="17" t="s">
        <v>4727</v>
      </c>
    </row>
    <row r="648" spans="1:25">
      <c r="A648" s="17" t="s">
        <v>14283</v>
      </c>
      <c r="B648" s="17" t="s">
        <v>14283</v>
      </c>
      <c r="C648" s="17" t="s">
        <v>14334</v>
      </c>
      <c r="D648" s="17" t="s">
        <v>6218</v>
      </c>
      <c r="E648" s="17" t="s">
        <v>4721</v>
      </c>
      <c r="F648" s="17" t="s">
        <v>2845</v>
      </c>
      <c r="G648" s="17" t="s">
        <v>2671</v>
      </c>
      <c r="H648" s="17" t="s">
        <v>4312</v>
      </c>
      <c r="I648" s="17" t="s">
        <v>2672</v>
      </c>
      <c r="J648" s="17" t="s">
        <v>4723</v>
      </c>
      <c r="K648" s="17" t="s">
        <v>2845</v>
      </c>
      <c r="L648" s="17" t="s">
        <v>14339</v>
      </c>
      <c r="M648" s="17" t="s">
        <v>6218</v>
      </c>
      <c r="N648" s="17" t="s">
        <v>14398</v>
      </c>
      <c r="O648" s="17" t="s">
        <v>7635</v>
      </c>
      <c r="P648" s="17" t="s">
        <v>14399</v>
      </c>
      <c r="Q648" s="17"/>
      <c r="R648" s="17"/>
      <c r="S648" s="17"/>
      <c r="T648" s="17"/>
      <c r="U648" s="17"/>
      <c r="V648" s="17"/>
      <c r="W648" s="17"/>
      <c r="X648" s="17"/>
      <c r="Y648" s="17"/>
    </row>
    <row r="649" spans="1:25">
      <c r="A649" s="17" t="s">
        <v>14284</v>
      </c>
      <c r="B649" s="17" t="s">
        <v>14284</v>
      </c>
      <c r="C649" s="17" t="s">
        <v>14335</v>
      </c>
      <c r="D649" s="17" t="s">
        <v>6218</v>
      </c>
      <c r="E649" s="17" t="s">
        <v>4721</v>
      </c>
      <c r="F649" s="17" t="s">
        <v>2854</v>
      </c>
      <c r="G649" s="17" t="s">
        <v>2671</v>
      </c>
      <c r="H649" s="17" t="s">
        <v>4312</v>
      </c>
      <c r="I649" s="17" t="s">
        <v>2672</v>
      </c>
      <c r="J649" s="17" t="s">
        <v>4723</v>
      </c>
      <c r="K649" s="17" t="s">
        <v>2854</v>
      </c>
      <c r="L649" s="17" t="s">
        <v>14339</v>
      </c>
      <c r="M649" s="17" t="s">
        <v>6218</v>
      </c>
      <c r="N649" s="17" t="s">
        <v>14401</v>
      </c>
      <c r="O649" s="17" t="s">
        <v>7635</v>
      </c>
      <c r="P649" s="17" t="s">
        <v>14400</v>
      </c>
      <c r="Q649" s="17"/>
      <c r="R649" s="17"/>
      <c r="S649" s="17"/>
      <c r="T649" s="17"/>
      <c r="U649" s="17"/>
      <c r="V649" s="17"/>
      <c r="W649" s="17"/>
      <c r="X649" s="17"/>
      <c r="Y649" s="17"/>
    </row>
    <row r="650" spans="1:25">
      <c r="A650" s="17" t="s">
        <v>14285</v>
      </c>
      <c r="B650" s="17" t="s">
        <v>14285</v>
      </c>
      <c r="C650" s="17" t="s">
        <v>14336</v>
      </c>
      <c r="D650" s="17" t="s">
        <v>6218</v>
      </c>
      <c r="E650" s="17" t="s">
        <v>4721</v>
      </c>
      <c r="F650" s="17" t="s">
        <v>2864</v>
      </c>
      <c r="G650" s="17" t="s">
        <v>2671</v>
      </c>
      <c r="H650" s="17" t="s">
        <v>4312</v>
      </c>
      <c r="I650" s="17" t="s">
        <v>2672</v>
      </c>
      <c r="J650" s="17" t="s">
        <v>4723</v>
      </c>
      <c r="K650" s="17" t="s">
        <v>2864</v>
      </c>
      <c r="L650" s="17" t="s">
        <v>14339</v>
      </c>
      <c r="M650" s="17" t="s">
        <v>6218</v>
      </c>
      <c r="N650" s="17" t="s">
        <v>14402</v>
      </c>
      <c r="O650" s="17" t="s">
        <v>7635</v>
      </c>
      <c r="P650" s="17" t="s">
        <v>14403</v>
      </c>
      <c r="Q650" s="17"/>
      <c r="R650" s="17"/>
      <c r="S650" s="17"/>
      <c r="T650" s="17"/>
      <c r="U650" s="17" t="s">
        <v>14004</v>
      </c>
      <c r="V650" s="17" t="s">
        <v>14402</v>
      </c>
      <c r="W650" s="17" t="s">
        <v>4559</v>
      </c>
      <c r="X650" s="17" t="s">
        <v>14437</v>
      </c>
      <c r="Y650" s="17" t="s">
        <v>4727</v>
      </c>
    </row>
    <row r="651" spans="1:25">
      <c r="A651" s="17" t="s">
        <v>14286</v>
      </c>
      <c r="B651" s="17" t="s">
        <v>14286</v>
      </c>
      <c r="C651" s="17" t="s">
        <v>14337</v>
      </c>
      <c r="D651" s="17" t="s">
        <v>6218</v>
      </c>
      <c r="E651" s="17" t="s">
        <v>4721</v>
      </c>
      <c r="F651" s="17" t="s">
        <v>14303</v>
      </c>
      <c r="G651" s="17" t="s">
        <v>2671</v>
      </c>
      <c r="H651" s="17" t="s">
        <v>4312</v>
      </c>
      <c r="I651" s="17" t="s">
        <v>2672</v>
      </c>
      <c r="J651" s="17" t="s">
        <v>4723</v>
      </c>
      <c r="K651" s="17" t="s">
        <v>14303</v>
      </c>
      <c r="L651" s="17" t="s">
        <v>14339</v>
      </c>
      <c r="M651" s="17" t="s">
        <v>6218</v>
      </c>
      <c r="N651" s="17" t="s">
        <v>14404</v>
      </c>
      <c r="O651" s="17" t="s">
        <v>7635</v>
      </c>
      <c r="P651" s="17" t="s">
        <v>14405</v>
      </c>
      <c r="Q651" s="17"/>
      <c r="R651" s="17"/>
      <c r="S651" s="17"/>
      <c r="T651" s="17"/>
      <c r="U651" s="17"/>
      <c r="V651" s="17"/>
      <c r="W651" s="17"/>
      <c r="X651" s="17"/>
      <c r="Y651" s="17"/>
    </row>
    <row r="652" spans="1:25">
      <c r="A652" s="17" t="s">
        <v>14287</v>
      </c>
      <c r="B652" s="17" t="s">
        <v>14287</v>
      </c>
      <c r="C652" s="17" t="s">
        <v>14338</v>
      </c>
      <c r="D652" s="17" t="s">
        <v>6218</v>
      </c>
      <c r="E652" s="17" t="s">
        <v>4721</v>
      </c>
      <c r="F652" s="17" t="s">
        <v>2882</v>
      </c>
      <c r="G652" s="17" t="s">
        <v>2671</v>
      </c>
      <c r="H652" s="17" t="s">
        <v>4312</v>
      </c>
      <c r="I652" s="17" t="s">
        <v>2672</v>
      </c>
      <c r="J652" s="17" t="s">
        <v>4723</v>
      </c>
      <c r="K652" s="17" t="s">
        <v>2882</v>
      </c>
      <c r="L652" s="17" t="s">
        <v>14339</v>
      </c>
      <c r="M652" s="17" t="s">
        <v>6218</v>
      </c>
      <c r="N652" s="17" t="s">
        <v>14406</v>
      </c>
      <c r="O652" s="17" t="s">
        <v>7635</v>
      </c>
      <c r="P652" s="17" t="s">
        <v>14407</v>
      </c>
      <c r="Q652" s="17"/>
      <c r="R652" s="17"/>
      <c r="S652" s="17"/>
      <c r="T652" s="17"/>
      <c r="U652" s="17" t="s">
        <v>14004</v>
      </c>
      <c r="V652" s="17" t="s">
        <v>14406</v>
      </c>
      <c r="W652" s="17" t="s">
        <v>4559</v>
      </c>
      <c r="X652" s="17" t="s">
        <v>14438</v>
      </c>
      <c r="Y652" s="17" t="s">
        <v>4727</v>
      </c>
    </row>
    <row r="653" spans="1:25">
      <c r="A653" t="s">
        <v>18789</v>
      </c>
      <c r="B653" t="s">
        <v>18789</v>
      </c>
      <c r="C653" t="s">
        <v>18790</v>
      </c>
      <c r="D653" s="52" t="s">
        <v>6703</v>
      </c>
      <c r="E653" s="52" t="s">
        <v>18796</v>
      </c>
      <c r="F653" s="52" t="s">
        <v>2800</v>
      </c>
      <c r="G653" s="17" t="s">
        <v>2671</v>
      </c>
      <c r="H653" s="52" t="s">
        <v>4247</v>
      </c>
      <c r="I653" s="17" t="s">
        <v>2672</v>
      </c>
      <c r="J653" s="17" t="s">
        <v>18792</v>
      </c>
      <c r="K653" s="52" t="s">
        <v>2800</v>
      </c>
      <c r="L653" t="s">
        <v>18799</v>
      </c>
      <c r="M653" s="52" t="s">
        <v>6703</v>
      </c>
      <c r="N653" t="s">
        <v>18789</v>
      </c>
      <c r="O653" s="17" t="s">
        <v>7635</v>
      </c>
      <c r="P653" t="s">
        <v>18791</v>
      </c>
    </row>
    <row r="654" spans="1:25">
      <c r="A654" t="s">
        <v>18793</v>
      </c>
      <c r="B654" t="s">
        <v>18793</v>
      </c>
      <c r="C654" t="s">
        <v>18794</v>
      </c>
      <c r="D654" t="s">
        <v>18795</v>
      </c>
      <c r="E654" s="17" t="s">
        <v>7033</v>
      </c>
      <c r="F654" s="17" t="s">
        <v>2845</v>
      </c>
      <c r="G654" s="17" t="s">
        <v>2671</v>
      </c>
      <c r="H654" s="52" t="s">
        <v>426</v>
      </c>
      <c r="I654" s="17" t="s">
        <v>2672</v>
      </c>
      <c r="J654" s="17" t="s">
        <v>4412</v>
      </c>
      <c r="K654" s="52" t="s">
        <v>2845</v>
      </c>
      <c r="L654" t="s">
        <v>18797</v>
      </c>
      <c r="M654" t="s">
        <v>18793</v>
      </c>
      <c r="N654" t="s">
        <v>18795</v>
      </c>
      <c r="P654" t="s">
        <v>18798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4" sqref="L44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12648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12648</v>
      </c>
      <c r="G3" t="s">
        <v>12500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14457</v>
      </c>
      <c r="B4" t="s">
        <v>14457</v>
      </c>
      <c r="C4" s="6" t="s">
        <v>14458</v>
      </c>
      <c r="D4" t="s">
        <v>21</v>
      </c>
      <c r="E4" t="s">
        <v>4372</v>
      </c>
      <c r="F4" t="s">
        <v>12648</v>
      </c>
      <c r="G4" t="s">
        <v>12500</v>
      </c>
      <c r="H4" t="s">
        <v>4376</v>
      </c>
      <c r="I4" t="s">
        <v>4798</v>
      </c>
      <c r="J4" t="s">
        <v>14459</v>
      </c>
      <c r="K4" t="s">
        <v>4387</v>
      </c>
      <c r="L4" t="s">
        <v>14457</v>
      </c>
      <c r="M4" t="s">
        <v>25</v>
      </c>
      <c r="N4" t="s">
        <v>14460</v>
      </c>
      <c r="O4" s="8" t="s">
        <v>6218</v>
      </c>
      <c r="P4" s="8" t="s">
        <v>14461</v>
      </c>
      <c r="Q4" t="s">
        <v>7635</v>
      </c>
      <c r="R4" s="8" t="s">
        <v>14462</v>
      </c>
      <c r="S4" t="s">
        <v>14463</v>
      </c>
      <c r="T4" t="s">
        <v>14457</v>
      </c>
      <c r="U4" t="s">
        <v>4559</v>
      </c>
      <c r="V4" t="s">
        <v>14464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12648</v>
      </c>
      <c r="G5" t="s">
        <v>12501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11116</v>
      </c>
      <c r="P5" s="8" t="s">
        <v>13463</v>
      </c>
      <c r="Q5" t="s">
        <v>4559</v>
      </c>
      <c r="R5" s="8" t="s">
        <v>13464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12648</v>
      </c>
      <c r="G6" t="s">
        <v>12500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12046</v>
      </c>
      <c r="B7" t="s">
        <v>12047</v>
      </c>
      <c r="C7" t="s">
        <v>12048</v>
      </c>
      <c r="D7" t="s">
        <v>21</v>
      </c>
      <c r="E7" t="s">
        <v>4372</v>
      </c>
      <c r="F7" t="s">
        <v>12648</v>
      </c>
      <c r="G7" t="s">
        <v>12500</v>
      </c>
      <c r="H7" t="s">
        <v>4376</v>
      </c>
      <c r="I7" t="s">
        <v>4798</v>
      </c>
      <c r="J7" t="s">
        <v>4400</v>
      </c>
      <c r="K7" t="s">
        <v>4401</v>
      </c>
      <c r="L7" t="s">
        <v>12049</v>
      </c>
      <c r="M7" t="s">
        <v>25</v>
      </c>
      <c r="N7" t="s">
        <v>12050</v>
      </c>
      <c r="S7" t="s">
        <v>4401</v>
      </c>
      <c r="T7" t="s">
        <v>12046</v>
      </c>
      <c r="U7" t="s">
        <v>4559</v>
      </c>
      <c r="V7" t="s">
        <v>12051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12648</v>
      </c>
      <c r="G8" t="s">
        <v>12500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12648</v>
      </c>
      <c r="G9" t="s">
        <v>12501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12648</v>
      </c>
      <c r="G10" t="s">
        <v>12500</v>
      </c>
      <c r="H10" t="s">
        <v>4376</v>
      </c>
      <c r="I10" t="s">
        <v>4798</v>
      </c>
      <c r="J10" t="s">
        <v>7794</v>
      </c>
      <c r="K10" t="s">
        <v>6273</v>
      </c>
      <c r="L10" t="s">
        <v>7792</v>
      </c>
      <c r="M10" t="s">
        <v>25</v>
      </c>
      <c r="N10" t="s">
        <v>7793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12648</v>
      </c>
      <c r="G11" t="s">
        <v>12500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12648</v>
      </c>
      <c r="G12" t="s">
        <v>12649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12648</v>
      </c>
      <c r="G13" t="s">
        <v>12500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6696</v>
      </c>
      <c r="B14" t="s">
        <v>6698</v>
      </c>
      <c r="C14" t="s">
        <v>6697</v>
      </c>
      <c r="E14" t="s">
        <v>6699</v>
      </c>
      <c r="F14" t="s">
        <v>12648</v>
      </c>
      <c r="G14" t="s">
        <v>12501</v>
      </c>
      <c r="H14" t="s">
        <v>6700</v>
      </c>
      <c r="I14" t="s">
        <v>6965</v>
      </c>
      <c r="J14" s="26" t="s">
        <v>6701</v>
      </c>
      <c r="K14" t="s">
        <v>6703</v>
      </c>
      <c r="L14" t="s">
        <v>6696</v>
      </c>
      <c r="M14" t="s">
        <v>25</v>
      </c>
      <c r="N14" t="s">
        <v>6702</v>
      </c>
      <c r="S14" t="s">
        <v>6704</v>
      </c>
      <c r="T14" t="s">
        <v>6705</v>
      </c>
      <c r="U14" t="s">
        <v>4559</v>
      </c>
      <c r="V14" t="s">
        <v>6706</v>
      </c>
    </row>
    <row r="15" spans="1:23" ht="15.75">
      <c r="A15" t="s">
        <v>6733</v>
      </c>
      <c r="B15" t="s">
        <v>6733</v>
      </c>
      <c r="C15" t="s">
        <v>6735</v>
      </c>
      <c r="D15" t="s">
        <v>6732</v>
      </c>
      <c r="E15" t="s">
        <v>6737</v>
      </c>
      <c r="F15" t="s">
        <v>12648</v>
      </c>
      <c r="G15" t="s">
        <v>12499</v>
      </c>
      <c r="H15" t="s">
        <v>6736</v>
      </c>
      <c r="I15" t="s">
        <v>6738</v>
      </c>
      <c r="J15" s="26" t="s">
        <v>7013</v>
      </c>
      <c r="K15" t="s">
        <v>6732</v>
      </c>
      <c r="L15" t="s">
        <v>6733</v>
      </c>
      <c r="M15" t="s">
        <v>25</v>
      </c>
      <c r="N15" t="s">
        <v>6734</v>
      </c>
      <c r="S15" t="s">
        <v>6732</v>
      </c>
      <c r="T15" s="10" t="s">
        <v>6740</v>
      </c>
      <c r="U15" t="s">
        <v>4559</v>
      </c>
      <c r="V15" s="10" t="s">
        <v>6739</v>
      </c>
    </row>
    <row r="16" spans="1:23">
      <c r="A16" t="s">
        <v>7449</v>
      </c>
      <c r="B16" t="s">
        <v>7449</v>
      </c>
      <c r="C16" t="s">
        <v>7459</v>
      </c>
      <c r="D16" t="s">
        <v>7032</v>
      </c>
      <c r="E16" t="s">
        <v>7797</v>
      </c>
      <c r="F16" t="s">
        <v>12648</v>
      </c>
      <c r="G16" t="s">
        <v>12502</v>
      </c>
      <c r="H16" t="s">
        <v>6736</v>
      </c>
      <c r="I16" t="s">
        <v>7462</v>
      </c>
      <c r="J16" t="s">
        <v>7451</v>
      </c>
      <c r="K16" t="s">
        <v>7032</v>
      </c>
      <c r="L16" t="s">
        <v>7450</v>
      </c>
      <c r="M16" t="s">
        <v>25</v>
      </c>
      <c r="N16" t="s">
        <v>7450</v>
      </c>
    </row>
    <row r="17" spans="1:23">
      <c r="A17" t="s">
        <v>7452</v>
      </c>
      <c r="B17" t="s">
        <v>7452</v>
      </c>
      <c r="C17" t="s">
        <v>7460</v>
      </c>
      <c r="D17" t="s">
        <v>7455</v>
      </c>
      <c r="E17" t="s">
        <v>7797</v>
      </c>
      <c r="F17" t="s">
        <v>12648</v>
      </c>
      <c r="G17" t="s">
        <v>12499</v>
      </c>
      <c r="H17" t="s">
        <v>6736</v>
      </c>
      <c r="I17" t="s">
        <v>7462</v>
      </c>
      <c r="J17" t="s">
        <v>7454</v>
      </c>
      <c r="K17" t="s">
        <v>7455</v>
      </c>
      <c r="L17" t="s">
        <v>7452</v>
      </c>
      <c r="M17" t="s">
        <v>25</v>
      </c>
      <c r="N17" t="s">
        <v>7456</v>
      </c>
    </row>
    <row r="18" spans="1:23">
      <c r="A18" t="s">
        <v>7453</v>
      </c>
      <c r="B18" t="s">
        <v>7453</v>
      </c>
      <c r="C18" t="s">
        <v>7461</v>
      </c>
      <c r="D18" t="s">
        <v>6273</v>
      </c>
      <c r="E18" t="s">
        <v>7797</v>
      </c>
      <c r="F18" t="s">
        <v>12648</v>
      </c>
      <c r="G18" t="s">
        <v>12499</v>
      </c>
      <c r="H18" t="s">
        <v>6736</v>
      </c>
      <c r="I18" t="s">
        <v>7462</v>
      </c>
      <c r="J18" t="s">
        <v>7458</v>
      </c>
      <c r="K18" t="s">
        <v>6273</v>
      </c>
      <c r="L18" t="s">
        <v>7453</v>
      </c>
      <c r="M18" t="s">
        <v>25</v>
      </c>
      <c r="N18" t="s">
        <v>7457</v>
      </c>
    </row>
    <row r="19" spans="1:23">
      <c r="A19" t="s">
        <v>7795</v>
      </c>
      <c r="B19" t="s">
        <v>7795</v>
      </c>
      <c r="C19" t="s">
        <v>7798</v>
      </c>
      <c r="D19" t="s">
        <v>7000</v>
      </c>
      <c r="E19" t="s">
        <v>7797</v>
      </c>
      <c r="F19" t="s">
        <v>12648</v>
      </c>
      <c r="G19" t="s">
        <v>12499</v>
      </c>
      <c r="H19" t="s">
        <v>6736</v>
      </c>
      <c r="I19" t="s">
        <v>7462</v>
      </c>
      <c r="J19" t="s">
        <v>7800</v>
      </c>
      <c r="K19" t="s">
        <v>7000</v>
      </c>
      <c r="L19" t="s">
        <v>7795</v>
      </c>
      <c r="M19" t="s">
        <v>25</v>
      </c>
      <c r="N19" t="s">
        <v>7799</v>
      </c>
    </row>
    <row r="20" spans="1:23">
      <c r="A20" t="s">
        <v>7796</v>
      </c>
      <c r="B20" t="s">
        <v>7796</v>
      </c>
      <c r="C20" t="s">
        <v>7803</v>
      </c>
      <c r="D20" t="s">
        <v>4393</v>
      </c>
      <c r="E20" t="s">
        <v>7797</v>
      </c>
      <c r="F20" t="s">
        <v>12648</v>
      </c>
      <c r="G20" t="s">
        <v>12499</v>
      </c>
      <c r="H20" t="s">
        <v>6736</v>
      </c>
      <c r="I20" t="s">
        <v>7462</v>
      </c>
      <c r="J20" t="s">
        <v>7801</v>
      </c>
      <c r="K20" t="s">
        <v>4393</v>
      </c>
      <c r="L20" t="s">
        <v>7796</v>
      </c>
      <c r="M20" t="s">
        <v>25</v>
      </c>
      <c r="N20" t="s">
        <v>7802</v>
      </c>
    </row>
    <row r="21" spans="1:23">
      <c r="A21" t="s">
        <v>8074</v>
      </c>
      <c r="B21" t="s">
        <v>8074</v>
      </c>
      <c r="C21" t="s">
        <v>4405</v>
      </c>
      <c r="D21" t="s">
        <v>4426</v>
      </c>
      <c r="E21" t="s">
        <v>8075</v>
      </c>
      <c r="F21" t="s">
        <v>12648</v>
      </c>
      <c r="G21" t="s">
        <v>12499</v>
      </c>
      <c r="H21" t="s">
        <v>6736</v>
      </c>
      <c r="I21" t="s">
        <v>7462</v>
      </c>
      <c r="J21" t="s">
        <v>8076</v>
      </c>
      <c r="S21" t="s">
        <v>4426</v>
      </c>
      <c r="T21" t="s">
        <v>8074</v>
      </c>
      <c r="U21" t="s">
        <v>4559</v>
      </c>
      <c r="V21" s="31" t="s">
        <v>8077</v>
      </c>
    </row>
    <row r="22" spans="1:23" ht="16.5">
      <c r="A22" s="32" t="s">
        <v>8078</v>
      </c>
      <c r="B22" s="32" t="s">
        <v>8078</v>
      </c>
      <c r="C22" s="32" t="s">
        <v>8081</v>
      </c>
      <c r="D22" t="s">
        <v>8079</v>
      </c>
      <c r="E22" s="32" t="s">
        <v>8075</v>
      </c>
      <c r="F22" t="s">
        <v>12648</v>
      </c>
      <c r="G22" t="s">
        <v>12499</v>
      </c>
      <c r="H22" t="s">
        <v>6736</v>
      </c>
      <c r="I22" t="s">
        <v>7462</v>
      </c>
      <c r="J22" t="s">
        <v>8082</v>
      </c>
      <c r="S22" t="s">
        <v>8079</v>
      </c>
      <c r="T22" s="32" t="s">
        <v>8078</v>
      </c>
      <c r="U22" t="s">
        <v>4559</v>
      </c>
      <c r="V22" s="32" t="s">
        <v>8080</v>
      </c>
      <c r="W22" t="s">
        <v>4727</v>
      </c>
    </row>
    <row r="23" spans="1:23" ht="15.75">
      <c r="A23" s="33" t="s">
        <v>8083</v>
      </c>
      <c r="B23" s="33" t="s">
        <v>8083</v>
      </c>
      <c r="C23" s="33" t="s">
        <v>8085</v>
      </c>
      <c r="D23" t="s">
        <v>8084</v>
      </c>
      <c r="E23" s="35" t="s">
        <v>8086</v>
      </c>
      <c r="F23" t="s">
        <v>12648</v>
      </c>
      <c r="G23" t="s">
        <v>8083</v>
      </c>
      <c r="H23" t="s">
        <v>4377</v>
      </c>
      <c r="I23" t="s">
        <v>8088</v>
      </c>
      <c r="J23" t="s">
        <v>8087</v>
      </c>
      <c r="S23" t="s">
        <v>8084</v>
      </c>
      <c r="T23" s="33" t="s">
        <v>8083</v>
      </c>
      <c r="U23" t="s">
        <v>4559</v>
      </c>
      <c r="V23" s="33" t="s">
        <v>8089</v>
      </c>
      <c r="W23" t="s">
        <v>4727</v>
      </c>
    </row>
    <row r="24" spans="1:23">
      <c r="A24" t="s">
        <v>11080</v>
      </c>
      <c r="B24" t="s">
        <v>11080</v>
      </c>
      <c r="C24" t="s">
        <v>11081</v>
      </c>
      <c r="D24" t="s">
        <v>6273</v>
      </c>
      <c r="E24" t="s">
        <v>8075</v>
      </c>
      <c r="F24" t="s">
        <v>12648</v>
      </c>
      <c r="G24" t="s">
        <v>12499</v>
      </c>
      <c r="H24" t="s">
        <v>6736</v>
      </c>
      <c r="I24" t="s">
        <v>7462</v>
      </c>
      <c r="J24" t="s">
        <v>11082</v>
      </c>
      <c r="K24" t="s">
        <v>6273</v>
      </c>
      <c r="L24" t="s">
        <v>11080</v>
      </c>
      <c r="M24" t="s">
        <v>25</v>
      </c>
      <c r="N24" t="s">
        <v>11083</v>
      </c>
      <c r="S24" t="s">
        <v>13449</v>
      </c>
      <c r="T24" t="s">
        <v>13447</v>
      </c>
      <c r="U24" t="s">
        <v>4559</v>
      </c>
      <c r="V24" t="s">
        <v>13448</v>
      </c>
    </row>
    <row r="25" spans="1:23">
      <c r="A25" t="s">
        <v>11084</v>
      </c>
      <c r="B25" t="s">
        <v>11084</v>
      </c>
      <c r="C25" t="s">
        <v>11088</v>
      </c>
      <c r="D25" t="s">
        <v>11086</v>
      </c>
      <c r="E25" t="s">
        <v>11089</v>
      </c>
      <c r="F25" t="s">
        <v>12648</v>
      </c>
      <c r="G25" t="s">
        <v>12500</v>
      </c>
      <c r="H25" t="s">
        <v>6700</v>
      </c>
      <c r="I25" t="s">
        <v>11090</v>
      </c>
      <c r="J25" t="s">
        <v>11087</v>
      </c>
      <c r="K25" t="s">
        <v>11086</v>
      </c>
      <c r="L25" t="s">
        <v>11084</v>
      </c>
      <c r="M25" t="s">
        <v>25</v>
      </c>
      <c r="N25" t="s">
        <v>11085</v>
      </c>
      <c r="S25" t="s">
        <v>4420</v>
      </c>
      <c r="T25" t="s">
        <v>11084</v>
      </c>
      <c r="U25" t="s">
        <v>4559</v>
      </c>
      <c r="V25" t="s">
        <v>11091</v>
      </c>
    </row>
    <row r="26" spans="1:23">
      <c r="A26" t="s">
        <v>12489</v>
      </c>
      <c r="B26" t="s">
        <v>12489</v>
      </c>
      <c r="C26" t="s">
        <v>12490</v>
      </c>
      <c r="D26" t="s">
        <v>6273</v>
      </c>
      <c r="E26" t="s">
        <v>12496</v>
      </c>
      <c r="F26" t="s">
        <v>12648</v>
      </c>
      <c r="G26" t="s">
        <v>12498</v>
      </c>
      <c r="H26" t="s">
        <v>4376</v>
      </c>
      <c r="I26" t="s">
        <v>12497</v>
      </c>
      <c r="J26" t="s">
        <v>12491</v>
      </c>
      <c r="K26" t="s">
        <v>6273</v>
      </c>
      <c r="L26" t="s">
        <v>12492</v>
      </c>
      <c r="M26" t="s">
        <v>25</v>
      </c>
      <c r="N26" t="s">
        <v>12493</v>
      </c>
      <c r="S26" t="s">
        <v>4401</v>
      </c>
      <c r="T26" t="s">
        <v>12494</v>
      </c>
      <c r="U26" t="s">
        <v>4559</v>
      </c>
      <c r="V26" t="s">
        <v>12495</v>
      </c>
    </row>
    <row r="27" spans="1:23">
      <c r="A27" t="s">
        <v>12861</v>
      </c>
      <c r="B27" t="s">
        <v>12861</v>
      </c>
      <c r="C27" t="s">
        <v>12862</v>
      </c>
      <c r="D27" t="s">
        <v>6732</v>
      </c>
      <c r="E27" t="s">
        <v>12863</v>
      </c>
      <c r="F27" t="s">
        <v>12648</v>
      </c>
      <c r="G27" t="s">
        <v>12500</v>
      </c>
      <c r="H27" t="s">
        <v>4376</v>
      </c>
      <c r="I27" t="s">
        <v>12867</v>
      </c>
      <c r="J27" t="s">
        <v>12864</v>
      </c>
      <c r="K27" t="s">
        <v>6732</v>
      </c>
      <c r="L27" t="s">
        <v>12860</v>
      </c>
      <c r="M27" t="s">
        <v>25</v>
      </c>
      <c r="N27" t="s">
        <v>12865</v>
      </c>
      <c r="S27" t="s">
        <v>6732</v>
      </c>
      <c r="T27" t="s">
        <v>12860</v>
      </c>
      <c r="U27" t="s">
        <v>4559</v>
      </c>
      <c r="V27" t="s">
        <v>12866</v>
      </c>
    </row>
    <row r="28" spans="1:23" ht="15.75">
      <c r="A28" t="s">
        <v>13447</v>
      </c>
      <c r="B28" t="s">
        <v>13447</v>
      </c>
      <c r="C28" t="s">
        <v>13525</v>
      </c>
      <c r="D28" t="s">
        <v>13449</v>
      </c>
      <c r="E28" t="s">
        <v>7797</v>
      </c>
      <c r="F28" t="s">
        <v>12648</v>
      </c>
      <c r="G28" t="s">
        <v>12499</v>
      </c>
      <c r="H28" t="s">
        <v>6736</v>
      </c>
      <c r="I28" t="s">
        <v>7462</v>
      </c>
      <c r="J28" t="s">
        <v>13526</v>
      </c>
      <c r="R28" s="8"/>
      <c r="S28" s="42" t="s">
        <v>13449</v>
      </c>
      <c r="T28" s="42" t="s">
        <v>13447</v>
      </c>
      <c r="U28" t="s">
        <v>4559</v>
      </c>
      <c r="V28" s="8" t="s">
        <v>13448</v>
      </c>
      <c r="W28" t="s">
        <v>4727</v>
      </c>
    </row>
    <row r="29" spans="1:23">
      <c r="A29" t="s">
        <v>13527</v>
      </c>
      <c r="B29" t="s">
        <v>13527</v>
      </c>
      <c r="C29" t="s">
        <v>13528</v>
      </c>
      <c r="D29" t="s">
        <v>6732</v>
      </c>
      <c r="E29" t="s">
        <v>11089</v>
      </c>
      <c r="F29" t="s">
        <v>12648</v>
      </c>
      <c r="G29" t="s">
        <v>12500</v>
      </c>
      <c r="H29" t="s">
        <v>6700</v>
      </c>
      <c r="I29" t="s">
        <v>11090</v>
      </c>
      <c r="J29" t="s">
        <v>13532</v>
      </c>
      <c r="K29" t="s">
        <v>6732</v>
      </c>
      <c r="L29" t="s">
        <v>13531</v>
      </c>
      <c r="M29" t="s">
        <v>25</v>
      </c>
      <c r="N29" t="s">
        <v>13530</v>
      </c>
      <c r="S29" t="s">
        <v>6732</v>
      </c>
      <c r="T29" t="s">
        <v>13527</v>
      </c>
      <c r="U29" t="s">
        <v>4559</v>
      </c>
      <c r="V29" t="s">
        <v>13529</v>
      </c>
    </row>
    <row r="30" spans="1:23">
      <c r="A30" t="s">
        <v>13533</v>
      </c>
      <c r="B30" t="s">
        <v>13533</v>
      </c>
      <c r="C30" t="s">
        <v>13534</v>
      </c>
      <c r="D30" t="s">
        <v>13449</v>
      </c>
      <c r="E30" t="s">
        <v>7797</v>
      </c>
      <c r="F30" t="s">
        <v>12648</v>
      </c>
      <c r="G30" t="s">
        <v>12502</v>
      </c>
      <c r="H30" t="s">
        <v>6736</v>
      </c>
      <c r="I30" t="s">
        <v>7462</v>
      </c>
      <c r="J30" t="s">
        <v>13535</v>
      </c>
      <c r="S30" t="s">
        <v>13449</v>
      </c>
      <c r="T30" t="s">
        <v>13533</v>
      </c>
      <c r="U30" t="s">
        <v>4559</v>
      </c>
      <c r="V30" t="s">
        <v>13536</v>
      </c>
    </row>
    <row r="31" spans="1:23">
      <c r="A31" t="s">
        <v>14439</v>
      </c>
      <c r="B31" t="s">
        <v>14439</v>
      </c>
      <c r="C31" t="s">
        <v>14451</v>
      </c>
      <c r="D31" t="s">
        <v>14443</v>
      </c>
      <c r="E31" t="s">
        <v>11089</v>
      </c>
      <c r="F31" t="s">
        <v>12648</v>
      </c>
      <c r="G31" t="s">
        <v>12500</v>
      </c>
      <c r="H31" t="s">
        <v>6700</v>
      </c>
      <c r="I31" t="s">
        <v>11090</v>
      </c>
      <c r="J31" t="s">
        <v>14449</v>
      </c>
      <c r="K31" t="s">
        <v>14439</v>
      </c>
      <c r="L31" t="s">
        <v>14443</v>
      </c>
      <c r="M31" t="s">
        <v>25</v>
      </c>
      <c r="N31" t="s">
        <v>14454</v>
      </c>
    </row>
    <row r="32" spans="1:23">
      <c r="A32" t="s">
        <v>14440</v>
      </c>
      <c r="B32" t="s">
        <v>14440</v>
      </c>
      <c r="C32" t="s">
        <v>14451</v>
      </c>
      <c r="D32" t="s">
        <v>14443</v>
      </c>
      <c r="E32" t="s">
        <v>10766</v>
      </c>
      <c r="F32" t="s">
        <v>12648</v>
      </c>
      <c r="G32" t="s">
        <v>14453</v>
      </c>
      <c r="H32" t="s">
        <v>6700</v>
      </c>
      <c r="I32" t="s">
        <v>12488</v>
      </c>
      <c r="J32" t="s">
        <v>14449</v>
      </c>
      <c r="K32" t="s">
        <v>14440</v>
      </c>
      <c r="L32" t="s">
        <v>14443</v>
      </c>
      <c r="M32" t="s">
        <v>25</v>
      </c>
      <c r="N32" t="s">
        <v>14455</v>
      </c>
      <c r="S32" t="s">
        <v>14447</v>
      </c>
      <c r="T32" t="s">
        <v>14440</v>
      </c>
      <c r="U32" t="s">
        <v>4559</v>
      </c>
      <c r="V32" t="s">
        <v>14448</v>
      </c>
      <c r="W32" t="s">
        <v>4727</v>
      </c>
    </row>
    <row r="33" spans="1:23">
      <c r="A33" t="s">
        <v>14441</v>
      </c>
      <c r="B33" t="s">
        <v>14441</v>
      </c>
      <c r="C33" t="s">
        <v>14451</v>
      </c>
      <c r="D33" t="s">
        <v>14443</v>
      </c>
      <c r="E33" t="s">
        <v>14452</v>
      </c>
      <c r="F33" t="s">
        <v>12648</v>
      </c>
      <c r="G33" t="s">
        <v>14453</v>
      </c>
      <c r="H33" t="s">
        <v>6700</v>
      </c>
      <c r="J33" t="s">
        <v>14449</v>
      </c>
      <c r="K33" t="s">
        <v>14441</v>
      </c>
      <c r="L33" t="s">
        <v>14443</v>
      </c>
      <c r="M33" t="s">
        <v>25</v>
      </c>
      <c r="N33" t="s">
        <v>14456</v>
      </c>
    </row>
    <row r="34" spans="1:23">
      <c r="A34" t="s">
        <v>14442</v>
      </c>
      <c r="B34" t="s">
        <v>14442</v>
      </c>
      <c r="C34" t="s">
        <v>14451</v>
      </c>
      <c r="D34" t="s">
        <v>14444</v>
      </c>
      <c r="E34" t="s">
        <v>6699</v>
      </c>
      <c r="F34" t="s">
        <v>12648</v>
      </c>
      <c r="G34" t="s">
        <v>12500</v>
      </c>
      <c r="H34" t="s">
        <v>6700</v>
      </c>
      <c r="I34" t="s">
        <v>6965</v>
      </c>
      <c r="J34" t="s">
        <v>14450</v>
      </c>
      <c r="S34" t="s">
        <v>14445</v>
      </c>
      <c r="T34" t="s">
        <v>14442</v>
      </c>
      <c r="U34" t="s">
        <v>4559</v>
      </c>
      <c r="V34" t="s">
        <v>14446</v>
      </c>
      <c r="W34" t="s">
        <v>4727</v>
      </c>
    </row>
    <row r="35" spans="1:23">
      <c r="A35" t="s">
        <v>14636</v>
      </c>
      <c r="B35" t="s">
        <v>14636</v>
      </c>
      <c r="C35" t="s">
        <v>14637</v>
      </c>
      <c r="D35" t="s">
        <v>14638</v>
      </c>
      <c r="E35" t="s">
        <v>6699</v>
      </c>
      <c r="F35" t="s">
        <v>12648</v>
      </c>
      <c r="G35" t="s">
        <v>12500</v>
      </c>
      <c r="H35" t="s">
        <v>6700</v>
      </c>
      <c r="I35" t="s">
        <v>6965</v>
      </c>
      <c r="J35" t="s">
        <v>14639</v>
      </c>
      <c r="S35" t="s">
        <v>14638</v>
      </c>
      <c r="T35" t="s">
        <v>14636</v>
      </c>
      <c r="U35" t="s">
        <v>4559</v>
      </c>
      <c r="V35" t="s">
        <v>14640</v>
      </c>
      <c r="W35" t="s">
        <v>4727</v>
      </c>
    </row>
    <row r="36" spans="1:23">
      <c r="A36" t="s">
        <v>14641</v>
      </c>
      <c r="B36" t="s">
        <v>14641</v>
      </c>
      <c r="C36" t="s">
        <v>14642</v>
      </c>
      <c r="D36" t="s">
        <v>21</v>
      </c>
      <c r="E36" t="s">
        <v>4372</v>
      </c>
      <c r="F36" t="s">
        <v>12648</v>
      </c>
      <c r="G36" t="s">
        <v>14652</v>
      </c>
      <c r="H36" t="s">
        <v>4376</v>
      </c>
      <c r="I36" t="s">
        <v>4798</v>
      </c>
      <c r="J36" t="s">
        <v>14646</v>
      </c>
      <c r="K36" t="s">
        <v>6703</v>
      </c>
      <c r="L36" t="s">
        <v>14647</v>
      </c>
      <c r="M36" t="s">
        <v>25</v>
      </c>
      <c r="N36" t="s">
        <v>14648</v>
      </c>
      <c r="O36" t="s">
        <v>14649</v>
      </c>
      <c r="P36" t="s">
        <v>14650</v>
      </c>
      <c r="Q36" t="s">
        <v>7635</v>
      </c>
      <c r="R36" t="s">
        <v>14651</v>
      </c>
      <c r="S36" t="s">
        <v>14643</v>
      </c>
      <c r="T36" t="s">
        <v>14644</v>
      </c>
      <c r="U36" t="s">
        <v>4559</v>
      </c>
      <c r="V36" t="s">
        <v>14645</v>
      </c>
      <c r="W36" t="s">
        <v>4728</v>
      </c>
    </row>
    <row r="37" spans="1:23">
      <c r="A37" t="s">
        <v>18785</v>
      </c>
      <c r="B37" t="s">
        <v>18785</v>
      </c>
      <c r="C37" t="s">
        <v>18788</v>
      </c>
      <c r="D37" t="s">
        <v>11086</v>
      </c>
      <c r="E37" t="s">
        <v>7797</v>
      </c>
      <c r="F37" t="s">
        <v>12648</v>
      </c>
      <c r="G37" t="s">
        <v>12502</v>
      </c>
      <c r="H37" t="s">
        <v>6736</v>
      </c>
      <c r="I37" t="s">
        <v>7462</v>
      </c>
      <c r="J37" t="s">
        <v>18787</v>
      </c>
      <c r="K37" t="s">
        <v>11086</v>
      </c>
      <c r="L37" t="s">
        <v>18785</v>
      </c>
      <c r="M37" t="s">
        <v>25</v>
      </c>
      <c r="N37" t="s">
        <v>18786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13428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12511</v>
      </c>
      <c r="B2" t="s">
        <v>12511</v>
      </c>
      <c r="C2" t="s">
        <v>12912</v>
      </c>
      <c r="D2" t="s">
        <v>21</v>
      </c>
      <c r="G2" t="str">
        <f>Config!$B$7</f>
        <v>SCH/Connector.SchLib</v>
      </c>
      <c r="H2" t="s">
        <v>6975</v>
      </c>
      <c r="I2" t="s">
        <v>4623</v>
      </c>
      <c r="J2" t="s">
        <v>12512</v>
      </c>
      <c r="K2" s="1"/>
      <c r="L2" s="1" t="s">
        <v>13429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12893</v>
      </c>
      <c r="B3" t="s">
        <v>12893</v>
      </c>
      <c r="C3" t="s">
        <v>12913</v>
      </c>
      <c r="D3" t="s">
        <v>21</v>
      </c>
      <c r="G3" t="str">
        <f>Config!$B$7</f>
        <v>SCH/Connector.SchLib</v>
      </c>
      <c r="H3" t="s">
        <v>6997</v>
      </c>
      <c r="I3" t="s">
        <v>4623</v>
      </c>
      <c r="J3" t="s">
        <v>12874</v>
      </c>
      <c r="K3" s="1"/>
      <c r="L3" s="1" t="s">
        <v>13429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12894</v>
      </c>
      <c r="B4" t="s">
        <v>12894</v>
      </c>
      <c r="C4" t="s">
        <v>12914</v>
      </c>
      <c r="D4" t="s">
        <v>21</v>
      </c>
      <c r="G4" t="str">
        <f>Config!$B$7</f>
        <v>SCH/Connector.SchLib</v>
      </c>
      <c r="H4" t="s">
        <v>7841</v>
      </c>
      <c r="I4" t="s">
        <v>4623</v>
      </c>
      <c r="J4" t="s">
        <v>12875</v>
      </c>
      <c r="K4" s="1"/>
      <c r="L4" s="1" t="s">
        <v>13429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12895</v>
      </c>
      <c r="B5" t="s">
        <v>12895</v>
      </c>
      <c r="C5" t="s">
        <v>12915</v>
      </c>
      <c r="D5" t="s">
        <v>21</v>
      </c>
      <c r="G5" t="str">
        <f>Config!$B$7</f>
        <v>SCH/Connector.SchLib</v>
      </c>
      <c r="H5" t="s">
        <v>6353</v>
      </c>
      <c r="I5" t="s">
        <v>4623</v>
      </c>
      <c r="J5" t="s">
        <v>12876</v>
      </c>
      <c r="K5" s="1"/>
      <c r="L5" s="1" t="s">
        <v>13429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12896</v>
      </c>
      <c r="B6" t="s">
        <v>12896</v>
      </c>
      <c r="C6" t="s">
        <v>12916</v>
      </c>
      <c r="D6" t="s">
        <v>21</v>
      </c>
      <c r="G6" t="str">
        <f>Config!$B$7</f>
        <v>SCH/Connector.SchLib</v>
      </c>
      <c r="H6" t="s">
        <v>6362</v>
      </c>
      <c r="I6" t="s">
        <v>4623</v>
      </c>
      <c r="J6" t="s">
        <v>12877</v>
      </c>
      <c r="K6" s="1"/>
      <c r="L6" s="1" t="s">
        <v>13429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12897</v>
      </c>
      <c r="B7" t="s">
        <v>12897</v>
      </c>
      <c r="C7" t="s">
        <v>12917</v>
      </c>
      <c r="D7" t="s">
        <v>21</v>
      </c>
      <c r="G7" t="str">
        <f>Config!$B$7</f>
        <v>SCH/Connector.SchLib</v>
      </c>
      <c r="H7" t="s">
        <v>6556</v>
      </c>
      <c r="I7" t="s">
        <v>4623</v>
      </c>
      <c r="J7" t="s">
        <v>12878</v>
      </c>
      <c r="K7" s="1"/>
      <c r="L7" s="1" t="s">
        <v>13429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12898</v>
      </c>
      <c r="B8" t="s">
        <v>12898</v>
      </c>
      <c r="C8" t="s">
        <v>12918</v>
      </c>
      <c r="D8" t="s">
        <v>21</v>
      </c>
      <c r="G8" t="str">
        <f>Config!$B$7</f>
        <v>SCH/Connector.SchLib</v>
      </c>
      <c r="H8" t="s">
        <v>7849</v>
      </c>
      <c r="I8" t="s">
        <v>4623</v>
      </c>
      <c r="J8" t="s">
        <v>12879</v>
      </c>
      <c r="K8" s="1"/>
      <c r="L8" s="1" t="s">
        <v>13429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12899</v>
      </c>
      <c r="B9" t="s">
        <v>12899</v>
      </c>
      <c r="C9" t="s">
        <v>12919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12880</v>
      </c>
      <c r="K9" s="1"/>
      <c r="L9" s="1" t="s">
        <v>13429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12900</v>
      </c>
      <c r="B10" t="s">
        <v>12900</v>
      </c>
      <c r="C10" t="s">
        <v>12920</v>
      </c>
      <c r="D10" t="s">
        <v>21</v>
      </c>
      <c r="G10" t="str">
        <f>Config!$B$7</f>
        <v>SCH/Connector.SchLib</v>
      </c>
      <c r="H10" t="s">
        <v>7854</v>
      </c>
      <c r="I10" t="s">
        <v>4623</v>
      </c>
      <c r="J10" t="s">
        <v>12881</v>
      </c>
      <c r="K10" s="1"/>
      <c r="L10" s="1" t="s">
        <v>13429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12901</v>
      </c>
      <c r="B11" t="s">
        <v>12901</v>
      </c>
      <c r="C11" t="s">
        <v>12921</v>
      </c>
      <c r="D11" t="s">
        <v>21</v>
      </c>
      <c r="G11" t="str">
        <f>Config!$B$7</f>
        <v>SCH/Connector.SchLib</v>
      </c>
      <c r="H11" t="s">
        <v>6563</v>
      </c>
      <c r="I11" t="s">
        <v>4623</v>
      </c>
      <c r="J11" t="s">
        <v>12882</v>
      </c>
      <c r="K11" s="1"/>
      <c r="L11" s="1" t="s">
        <v>13429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12902</v>
      </c>
      <c r="B12" t="s">
        <v>12902</v>
      </c>
      <c r="C12" t="s">
        <v>12922</v>
      </c>
      <c r="D12" t="s">
        <v>21</v>
      </c>
      <c r="G12" t="str">
        <f>Config!$B$7</f>
        <v>SCH/Connector.SchLib</v>
      </c>
      <c r="H12" t="s">
        <v>7862</v>
      </c>
      <c r="I12" t="s">
        <v>4623</v>
      </c>
      <c r="J12" t="s">
        <v>12883</v>
      </c>
      <c r="K12" s="1"/>
      <c r="L12" s="1" t="s">
        <v>13429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12903</v>
      </c>
      <c r="B13" t="s">
        <v>12903</v>
      </c>
      <c r="C13" t="s">
        <v>12923</v>
      </c>
      <c r="D13" t="s">
        <v>21</v>
      </c>
      <c r="G13" t="str">
        <f>Config!$B$7</f>
        <v>SCH/Connector.SchLib</v>
      </c>
      <c r="H13" t="s">
        <v>7859</v>
      </c>
      <c r="I13" t="s">
        <v>4623</v>
      </c>
      <c r="J13" t="s">
        <v>12884</v>
      </c>
      <c r="K13" s="1"/>
      <c r="L13" s="1" t="s">
        <v>13429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12904</v>
      </c>
      <c r="B14" t="s">
        <v>12904</v>
      </c>
      <c r="C14" t="s">
        <v>12924</v>
      </c>
      <c r="D14" t="s">
        <v>21</v>
      </c>
      <c r="G14" t="str">
        <f>Config!$B$7</f>
        <v>SCH/Connector.SchLib</v>
      </c>
      <c r="H14" t="s">
        <v>7865</v>
      </c>
      <c r="I14" t="s">
        <v>4623</v>
      </c>
      <c r="J14" t="s">
        <v>12885</v>
      </c>
      <c r="K14" s="1"/>
      <c r="L14" s="1" t="s">
        <v>13429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12905</v>
      </c>
      <c r="B15" t="s">
        <v>12905</v>
      </c>
      <c r="C15" t="s">
        <v>12925</v>
      </c>
      <c r="D15" t="s">
        <v>21</v>
      </c>
      <c r="G15" t="str">
        <f>Config!$B$7</f>
        <v>SCH/Connector.SchLib</v>
      </c>
      <c r="H15" t="s">
        <v>6566</v>
      </c>
      <c r="I15" t="s">
        <v>4623</v>
      </c>
      <c r="J15" t="s">
        <v>12886</v>
      </c>
      <c r="K15" s="1"/>
      <c r="L15" s="1" t="s">
        <v>13429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12906</v>
      </c>
      <c r="B16" t="s">
        <v>12906</v>
      </c>
      <c r="C16" t="s">
        <v>12926</v>
      </c>
      <c r="D16" t="s">
        <v>21</v>
      </c>
      <c r="G16" t="str">
        <f>Config!$B$7</f>
        <v>SCH/Connector.SchLib</v>
      </c>
      <c r="H16" t="s">
        <v>7870</v>
      </c>
      <c r="I16" t="s">
        <v>4623</v>
      </c>
      <c r="J16" t="s">
        <v>12887</v>
      </c>
      <c r="K16" s="1"/>
      <c r="L16" s="1" t="s">
        <v>13429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12907</v>
      </c>
      <c r="B17" t="s">
        <v>12907</v>
      </c>
      <c r="C17" t="s">
        <v>12927</v>
      </c>
      <c r="D17" t="s">
        <v>21</v>
      </c>
      <c r="G17" t="str">
        <f>Config!$B$7</f>
        <v>SCH/Connector.SchLib</v>
      </c>
      <c r="H17" t="s">
        <v>7873</v>
      </c>
      <c r="I17" t="s">
        <v>4623</v>
      </c>
      <c r="J17" t="s">
        <v>12888</v>
      </c>
      <c r="K17" s="1"/>
      <c r="L17" s="1" t="s">
        <v>13429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12908</v>
      </c>
      <c r="B18" t="s">
        <v>12908</v>
      </c>
      <c r="C18" t="s">
        <v>12928</v>
      </c>
      <c r="D18" t="s">
        <v>21</v>
      </c>
      <c r="G18" t="str">
        <f>Config!$B$7</f>
        <v>SCH/Connector.SchLib</v>
      </c>
      <c r="H18" t="s">
        <v>7876</v>
      </c>
      <c r="I18" t="s">
        <v>4623</v>
      </c>
      <c r="J18" t="s">
        <v>12889</v>
      </c>
      <c r="K18" s="1"/>
      <c r="L18" s="1" t="s">
        <v>13429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12909</v>
      </c>
      <c r="B19" t="s">
        <v>12909</v>
      </c>
      <c r="C19" t="s">
        <v>12929</v>
      </c>
      <c r="D19" t="s">
        <v>21</v>
      </c>
      <c r="G19" t="str">
        <f>Config!$B$7</f>
        <v>SCH/Connector.SchLib</v>
      </c>
      <c r="H19" t="s">
        <v>7879</v>
      </c>
      <c r="I19" t="s">
        <v>4623</v>
      </c>
      <c r="J19" t="s">
        <v>12890</v>
      </c>
      <c r="K19" s="1"/>
      <c r="L19" s="1" t="s">
        <v>13429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12910</v>
      </c>
      <c r="B20" t="s">
        <v>12910</v>
      </c>
      <c r="C20" t="s">
        <v>12930</v>
      </c>
      <c r="D20" t="s">
        <v>21</v>
      </c>
      <c r="G20" t="str">
        <f>Config!$B$7</f>
        <v>SCH/Connector.SchLib</v>
      </c>
      <c r="H20" t="s">
        <v>7882</v>
      </c>
      <c r="I20" t="s">
        <v>4623</v>
      </c>
      <c r="J20" t="s">
        <v>12891</v>
      </c>
      <c r="K20" s="1"/>
      <c r="L20" s="1" t="s">
        <v>13429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12911</v>
      </c>
      <c r="B21" t="s">
        <v>12911</v>
      </c>
      <c r="C21" t="s">
        <v>12931</v>
      </c>
      <c r="D21" t="s">
        <v>21</v>
      </c>
      <c r="G21" t="str">
        <f>Config!$B$7</f>
        <v>SCH/Connector.SchLib</v>
      </c>
      <c r="H21" t="s">
        <v>7883</v>
      </c>
      <c r="I21" t="s">
        <v>4623</v>
      </c>
      <c r="J21" t="s">
        <v>12892</v>
      </c>
      <c r="K21" s="1"/>
      <c r="L21" s="1" t="s">
        <v>13429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13019</v>
      </c>
      <c r="B22" t="s">
        <v>13019</v>
      </c>
      <c r="C22" t="s">
        <v>13020</v>
      </c>
      <c r="D22" t="s">
        <v>21</v>
      </c>
      <c r="G22" t="str">
        <f>Config!$B$7</f>
        <v>SCH/Connector.SchLib</v>
      </c>
      <c r="H22" t="s">
        <v>13021</v>
      </c>
      <c r="I22" t="s">
        <v>4623</v>
      </c>
      <c r="J22" t="s">
        <v>13022</v>
      </c>
      <c r="K22" s="1"/>
      <c r="L22" s="1" t="s">
        <v>13429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13023</v>
      </c>
      <c r="B23" t="s">
        <v>13023</v>
      </c>
      <c r="C23" t="s">
        <v>13024</v>
      </c>
      <c r="D23" t="s">
        <v>21</v>
      </c>
      <c r="G23" t="str">
        <f>Config!$B$7</f>
        <v>SCH/Connector.SchLib</v>
      </c>
      <c r="H23" t="s">
        <v>13025</v>
      </c>
      <c r="I23" t="s">
        <v>4623</v>
      </c>
      <c r="J23" t="s">
        <v>13026</v>
      </c>
      <c r="K23" s="1"/>
      <c r="L23" s="1" t="s">
        <v>13429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13027</v>
      </c>
      <c r="B24" t="s">
        <v>13027</v>
      </c>
      <c r="C24" t="s">
        <v>13028</v>
      </c>
      <c r="D24" t="s">
        <v>21</v>
      </c>
      <c r="G24" t="str">
        <f>Config!$B$7</f>
        <v>SCH/Connector.SchLib</v>
      </c>
      <c r="H24" t="s">
        <v>13029</v>
      </c>
      <c r="I24" t="s">
        <v>4623</v>
      </c>
      <c r="J24" t="s">
        <v>13030</v>
      </c>
      <c r="K24" s="1"/>
      <c r="L24" s="1" t="s">
        <v>13429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13031</v>
      </c>
      <c r="B25" t="s">
        <v>13031</v>
      </c>
      <c r="C25" t="s">
        <v>13032</v>
      </c>
      <c r="D25" t="s">
        <v>21</v>
      </c>
      <c r="G25" t="str">
        <f>Config!$B$7</f>
        <v>SCH/Connector.SchLib</v>
      </c>
      <c r="H25" t="s">
        <v>13033</v>
      </c>
      <c r="I25" t="s">
        <v>4623</v>
      </c>
      <c r="J25" t="s">
        <v>13034</v>
      </c>
      <c r="K25" s="1"/>
      <c r="L25" s="1" t="s">
        <v>13429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13035</v>
      </c>
      <c r="B26" t="s">
        <v>13035</v>
      </c>
      <c r="C26" t="s">
        <v>13036</v>
      </c>
      <c r="D26" t="s">
        <v>21</v>
      </c>
      <c r="G26" t="str">
        <f>Config!$B$7</f>
        <v>SCH/Connector.SchLib</v>
      </c>
      <c r="H26" t="s">
        <v>13037</v>
      </c>
      <c r="I26" t="s">
        <v>4623</v>
      </c>
      <c r="J26" t="s">
        <v>13038</v>
      </c>
      <c r="K26" s="1"/>
      <c r="L26" s="1" t="s">
        <v>13429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13039</v>
      </c>
      <c r="B27" t="s">
        <v>13039</v>
      </c>
      <c r="C27" t="s">
        <v>13040</v>
      </c>
      <c r="D27" t="s">
        <v>21</v>
      </c>
      <c r="G27" t="str">
        <f>Config!$B$7</f>
        <v>SCH/Connector.SchLib</v>
      </c>
      <c r="H27" t="s">
        <v>13041</v>
      </c>
      <c r="I27" t="s">
        <v>4623</v>
      </c>
      <c r="J27" t="s">
        <v>13042</v>
      </c>
      <c r="K27" s="1"/>
      <c r="L27" s="1" t="s">
        <v>13429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13043</v>
      </c>
      <c r="B28" t="s">
        <v>13043</v>
      </c>
      <c r="C28" t="s">
        <v>13044</v>
      </c>
      <c r="D28" t="s">
        <v>21</v>
      </c>
      <c r="G28" t="str">
        <f>Config!$B$7</f>
        <v>SCH/Connector.SchLib</v>
      </c>
      <c r="H28" t="s">
        <v>13045</v>
      </c>
      <c r="I28" t="s">
        <v>4623</v>
      </c>
      <c r="J28" t="s">
        <v>13046</v>
      </c>
      <c r="K28" s="1"/>
      <c r="L28" s="1" t="s">
        <v>13429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13047</v>
      </c>
      <c r="B29" t="s">
        <v>13047</v>
      </c>
      <c r="C29" t="s">
        <v>13048</v>
      </c>
      <c r="D29" t="s">
        <v>21</v>
      </c>
      <c r="G29" t="str">
        <f>Config!$B$7</f>
        <v>SCH/Connector.SchLib</v>
      </c>
      <c r="H29" t="s">
        <v>13049</v>
      </c>
      <c r="I29" t="s">
        <v>4623</v>
      </c>
      <c r="J29" t="s">
        <v>13050</v>
      </c>
      <c r="K29" s="1"/>
      <c r="L29" s="1" t="s">
        <v>13429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13051</v>
      </c>
      <c r="B30" t="s">
        <v>13051</v>
      </c>
      <c r="C30" t="s">
        <v>13052</v>
      </c>
      <c r="D30" t="s">
        <v>21</v>
      </c>
      <c r="G30" t="str">
        <f>Config!$B$7</f>
        <v>SCH/Connector.SchLib</v>
      </c>
      <c r="H30" t="s">
        <v>13053</v>
      </c>
      <c r="I30" t="s">
        <v>4623</v>
      </c>
      <c r="J30" t="s">
        <v>13054</v>
      </c>
      <c r="K30" s="1"/>
      <c r="L30" s="1" t="s">
        <v>13429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13055</v>
      </c>
      <c r="B31" t="s">
        <v>13055</v>
      </c>
      <c r="C31" t="s">
        <v>13056</v>
      </c>
      <c r="D31" t="s">
        <v>21</v>
      </c>
      <c r="G31" t="str">
        <f>Config!$B$7</f>
        <v>SCH/Connector.SchLib</v>
      </c>
      <c r="H31" t="s">
        <v>13057</v>
      </c>
      <c r="I31" t="s">
        <v>4623</v>
      </c>
      <c r="J31" t="s">
        <v>13058</v>
      </c>
      <c r="K31" s="1"/>
      <c r="L31" s="1" t="s">
        <v>13429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13059</v>
      </c>
      <c r="B32" t="s">
        <v>13059</v>
      </c>
      <c r="C32" t="s">
        <v>13060</v>
      </c>
      <c r="D32" t="s">
        <v>21</v>
      </c>
      <c r="G32" t="str">
        <f>Config!$B$7</f>
        <v>SCH/Connector.SchLib</v>
      </c>
      <c r="H32" t="s">
        <v>12258</v>
      </c>
      <c r="I32" t="s">
        <v>4623</v>
      </c>
      <c r="J32" t="s">
        <v>13061</v>
      </c>
      <c r="K32" s="1"/>
      <c r="L32" s="1" t="s">
        <v>13429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13062</v>
      </c>
      <c r="B33" t="s">
        <v>13062</v>
      </c>
      <c r="C33" t="s">
        <v>13063</v>
      </c>
      <c r="D33" t="s">
        <v>21</v>
      </c>
      <c r="G33" t="str">
        <f>Config!$B$7</f>
        <v>SCH/Connector.SchLib</v>
      </c>
      <c r="H33" t="s">
        <v>13064</v>
      </c>
      <c r="I33" t="s">
        <v>4623</v>
      </c>
      <c r="J33" t="s">
        <v>13065</v>
      </c>
      <c r="K33" s="1"/>
      <c r="L33" s="1" t="s">
        <v>13429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13066</v>
      </c>
      <c r="B34" t="s">
        <v>13066</v>
      </c>
      <c r="C34" t="s">
        <v>13067</v>
      </c>
      <c r="D34" t="s">
        <v>21</v>
      </c>
      <c r="G34" t="str">
        <f>Config!$B$7</f>
        <v>SCH/Connector.SchLib</v>
      </c>
      <c r="H34" t="s">
        <v>13068</v>
      </c>
      <c r="I34" t="s">
        <v>4623</v>
      </c>
      <c r="J34" t="s">
        <v>13069</v>
      </c>
      <c r="K34" s="1"/>
      <c r="L34" s="1" t="s">
        <v>13429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13070</v>
      </c>
      <c r="B35" t="s">
        <v>13070</v>
      </c>
      <c r="C35" t="s">
        <v>13071</v>
      </c>
      <c r="D35" t="s">
        <v>21</v>
      </c>
      <c r="G35" t="str">
        <f>Config!$B$7</f>
        <v>SCH/Connector.SchLib</v>
      </c>
      <c r="H35" t="s">
        <v>13072</v>
      </c>
      <c r="I35" t="s">
        <v>4623</v>
      </c>
      <c r="J35" t="s">
        <v>13073</v>
      </c>
      <c r="K35" s="1"/>
      <c r="L35" s="1" t="s">
        <v>13429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13074</v>
      </c>
      <c r="B36" t="s">
        <v>13074</v>
      </c>
      <c r="C36" t="s">
        <v>13075</v>
      </c>
      <c r="D36" t="s">
        <v>21</v>
      </c>
      <c r="G36" t="str">
        <f>Config!$B$7</f>
        <v>SCH/Connector.SchLib</v>
      </c>
      <c r="H36" t="s">
        <v>13076</v>
      </c>
      <c r="I36" t="s">
        <v>4623</v>
      </c>
      <c r="J36" t="s">
        <v>13077</v>
      </c>
      <c r="K36" s="1"/>
      <c r="L36" s="1" t="s">
        <v>13429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13078</v>
      </c>
      <c r="B37" t="s">
        <v>13078</v>
      </c>
      <c r="C37" t="s">
        <v>13079</v>
      </c>
      <c r="D37" t="s">
        <v>21</v>
      </c>
      <c r="G37" t="str">
        <f>Config!$B$7</f>
        <v>SCH/Connector.SchLib</v>
      </c>
      <c r="H37" t="s">
        <v>13080</v>
      </c>
      <c r="I37" t="s">
        <v>4623</v>
      </c>
      <c r="J37" t="s">
        <v>13081</v>
      </c>
      <c r="K37" s="1"/>
      <c r="L37" s="1" t="s">
        <v>13429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13082</v>
      </c>
      <c r="B38" t="s">
        <v>13082</v>
      </c>
      <c r="C38" t="s">
        <v>13083</v>
      </c>
      <c r="D38" t="s">
        <v>21</v>
      </c>
      <c r="G38" t="str">
        <f>Config!$B$7</f>
        <v>SCH/Connector.SchLib</v>
      </c>
      <c r="H38" t="s">
        <v>13084</v>
      </c>
      <c r="I38" t="s">
        <v>4623</v>
      </c>
      <c r="J38" t="s">
        <v>13085</v>
      </c>
      <c r="K38" s="1"/>
      <c r="L38" s="1" t="s">
        <v>13429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13086</v>
      </c>
      <c r="B39" t="s">
        <v>13086</v>
      </c>
      <c r="C39" t="s">
        <v>13087</v>
      </c>
      <c r="D39" t="s">
        <v>21</v>
      </c>
      <c r="G39" t="str">
        <f>Config!$B$7</f>
        <v>SCH/Connector.SchLib</v>
      </c>
      <c r="H39" t="s">
        <v>13088</v>
      </c>
      <c r="I39" t="s">
        <v>4623</v>
      </c>
      <c r="J39" t="s">
        <v>13089</v>
      </c>
      <c r="K39" s="1"/>
      <c r="L39" s="1" t="s">
        <v>13429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13090</v>
      </c>
      <c r="B40" t="s">
        <v>13090</v>
      </c>
      <c r="C40" t="s">
        <v>13091</v>
      </c>
      <c r="D40" t="s">
        <v>21</v>
      </c>
      <c r="G40" t="str">
        <f>Config!$B$7</f>
        <v>SCH/Connector.SchLib</v>
      </c>
      <c r="H40" t="s">
        <v>13092</v>
      </c>
      <c r="I40" t="s">
        <v>4623</v>
      </c>
      <c r="J40" t="s">
        <v>13093</v>
      </c>
      <c r="K40" s="1"/>
      <c r="L40" s="1" t="s">
        <v>13429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13094</v>
      </c>
      <c r="B41" t="s">
        <v>13094</v>
      </c>
      <c r="C41" t="s">
        <v>13095</v>
      </c>
      <c r="D41" t="s">
        <v>21</v>
      </c>
      <c r="G41" t="str">
        <f>Config!$B$7</f>
        <v>SCH/Connector.SchLib</v>
      </c>
      <c r="H41" t="s">
        <v>7483</v>
      </c>
      <c r="I41" t="s">
        <v>4623</v>
      </c>
      <c r="J41" t="s">
        <v>13096</v>
      </c>
      <c r="K41" s="1"/>
      <c r="L41" s="1" t="s">
        <v>13429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13097</v>
      </c>
      <c r="B42" t="s">
        <v>13097</v>
      </c>
      <c r="C42" t="s">
        <v>13098</v>
      </c>
      <c r="D42" t="s">
        <v>21</v>
      </c>
      <c r="G42" t="str">
        <f>Config!$B$7</f>
        <v>SCH/Connector.SchLib</v>
      </c>
      <c r="H42" t="s">
        <v>13099</v>
      </c>
      <c r="I42" t="s">
        <v>4623</v>
      </c>
      <c r="J42" t="s">
        <v>13100</v>
      </c>
      <c r="K42" s="1"/>
      <c r="L42" s="1" t="s">
        <v>13429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13101</v>
      </c>
      <c r="B43" t="s">
        <v>13101</v>
      </c>
      <c r="C43" t="s">
        <v>13102</v>
      </c>
      <c r="D43" t="s">
        <v>21</v>
      </c>
      <c r="G43" t="str">
        <f>Config!$B$7</f>
        <v>SCH/Connector.SchLib</v>
      </c>
      <c r="H43" t="s">
        <v>13103</v>
      </c>
      <c r="I43" t="s">
        <v>4623</v>
      </c>
      <c r="J43" t="s">
        <v>13104</v>
      </c>
      <c r="K43" s="1"/>
      <c r="L43" s="1" t="s">
        <v>13429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13105</v>
      </c>
      <c r="B44" t="s">
        <v>13105</v>
      </c>
      <c r="C44" t="s">
        <v>13106</v>
      </c>
      <c r="D44" t="s">
        <v>21</v>
      </c>
      <c r="G44" t="str">
        <f>Config!$B$7</f>
        <v>SCH/Connector.SchLib</v>
      </c>
      <c r="H44" t="s">
        <v>13107</v>
      </c>
      <c r="I44" t="s">
        <v>4623</v>
      </c>
      <c r="J44" t="s">
        <v>13108</v>
      </c>
      <c r="K44" s="1"/>
      <c r="L44" s="1" t="s">
        <v>13429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13109</v>
      </c>
      <c r="B45" t="s">
        <v>13109</v>
      </c>
      <c r="C45" t="s">
        <v>13110</v>
      </c>
      <c r="D45" t="s">
        <v>21</v>
      </c>
      <c r="G45" t="str">
        <f>Config!$B$7</f>
        <v>SCH/Connector.SchLib</v>
      </c>
      <c r="H45" t="s">
        <v>13111</v>
      </c>
      <c r="I45" t="s">
        <v>4623</v>
      </c>
      <c r="J45" t="s">
        <v>13112</v>
      </c>
      <c r="K45" s="1"/>
      <c r="L45" s="1" t="s">
        <v>13429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13113</v>
      </c>
      <c r="B46" t="s">
        <v>13113</v>
      </c>
      <c r="C46" t="s">
        <v>13114</v>
      </c>
      <c r="D46" t="s">
        <v>21</v>
      </c>
      <c r="G46" t="str">
        <f>Config!$B$7</f>
        <v>SCH/Connector.SchLib</v>
      </c>
      <c r="H46" t="s">
        <v>13115</v>
      </c>
      <c r="I46" t="s">
        <v>4623</v>
      </c>
      <c r="J46" t="s">
        <v>13116</v>
      </c>
      <c r="K46" s="1"/>
      <c r="L46" s="1" t="s">
        <v>13429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13117</v>
      </c>
      <c r="B47" t="s">
        <v>13117</v>
      </c>
      <c r="C47" t="s">
        <v>13118</v>
      </c>
      <c r="D47" t="s">
        <v>21</v>
      </c>
      <c r="G47" t="str">
        <f>Config!$B$7</f>
        <v>SCH/Connector.SchLib</v>
      </c>
      <c r="H47" t="s">
        <v>13119</v>
      </c>
      <c r="I47" t="s">
        <v>4623</v>
      </c>
      <c r="J47" t="s">
        <v>13120</v>
      </c>
      <c r="K47" s="1"/>
      <c r="L47" s="1" t="s">
        <v>13429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13121</v>
      </c>
      <c r="B48" t="s">
        <v>13121</v>
      </c>
      <c r="C48" t="s">
        <v>13122</v>
      </c>
      <c r="D48" t="s">
        <v>21</v>
      </c>
      <c r="G48" t="str">
        <f>Config!$B$7</f>
        <v>SCH/Connector.SchLib</v>
      </c>
      <c r="H48" t="s">
        <v>13123</v>
      </c>
      <c r="I48" t="s">
        <v>4623</v>
      </c>
      <c r="J48" t="s">
        <v>13124</v>
      </c>
      <c r="K48" s="1"/>
      <c r="L48" s="1" t="s">
        <v>13429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13125</v>
      </c>
      <c r="B49" t="s">
        <v>13125</v>
      </c>
      <c r="C49" t="s">
        <v>13126</v>
      </c>
      <c r="D49" t="s">
        <v>21</v>
      </c>
      <c r="G49" t="str">
        <f>Config!$B$7</f>
        <v>SCH/Connector.SchLib</v>
      </c>
      <c r="H49" t="s">
        <v>13127</v>
      </c>
      <c r="I49" t="s">
        <v>4623</v>
      </c>
      <c r="J49" t="s">
        <v>13128</v>
      </c>
      <c r="K49" s="1"/>
      <c r="L49" s="1" t="s">
        <v>13429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13129</v>
      </c>
      <c r="B50" t="s">
        <v>13129</v>
      </c>
      <c r="C50" t="s">
        <v>13130</v>
      </c>
      <c r="D50" t="s">
        <v>21</v>
      </c>
      <c r="G50" t="str">
        <f>Config!$B$7</f>
        <v>SCH/Connector.SchLib</v>
      </c>
      <c r="H50" t="s">
        <v>13131</v>
      </c>
      <c r="I50" t="s">
        <v>4623</v>
      </c>
      <c r="J50" t="s">
        <v>13132</v>
      </c>
      <c r="K50" s="1"/>
      <c r="L50" s="1" t="s">
        <v>13429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13133</v>
      </c>
      <c r="B51" t="s">
        <v>13133</v>
      </c>
      <c r="C51" t="s">
        <v>13134</v>
      </c>
      <c r="D51" t="s">
        <v>21</v>
      </c>
      <c r="G51" t="str">
        <f>Config!$B$7</f>
        <v>SCH/Connector.SchLib</v>
      </c>
      <c r="H51" t="s">
        <v>13135</v>
      </c>
      <c r="I51" t="s">
        <v>4623</v>
      </c>
      <c r="J51" t="s">
        <v>13136</v>
      </c>
      <c r="K51" s="1"/>
      <c r="L51" s="1" t="s">
        <v>13429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13318</v>
      </c>
      <c r="B52" t="s">
        <v>13318</v>
      </c>
      <c r="C52" t="s">
        <v>13319</v>
      </c>
      <c r="D52" t="s">
        <v>21</v>
      </c>
      <c r="G52" t="str">
        <f>Config!$B$7</f>
        <v>SCH/Connector.SchLib</v>
      </c>
      <c r="H52" t="s">
        <v>6997</v>
      </c>
      <c r="I52" t="s">
        <v>4623</v>
      </c>
      <c r="J52" t="s">
        <v>13320</v>
      </c>
      <c r="K52" s="1"/>
      <c r="L52" s="1" t="s">
        <v>13429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13321</v>
      </c>
      <c r="B53" t="s">
        <v>13321</v>
      </c>
      <c r="C53" t="s">
        <v>13322</v>
      </c>
      <c r="D53" t="s">
        <v>21</v>
      </c>
      <c r="G53" t="str">
        <f>Config!$B$7</f>
        <v>SCH/Connector.SchLib</v>
      </c>
      <c r="H53" t="s">
        <v>6353</v>
      </c>
      <c r="I53" t="s">
        <v>4623</v>
      </c>
      <c r="J53" t="s">
        <v>13323</v>
      </c>
      <c r="K53" s="1"/>
      <c r="L53" s="1" t="s">
        <v>13429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8500</v>
      </c>
      <c r="B54" t="s">
        <v>8500</v>
      </c>
      <c r="C54" t="s">
        <v>12933</v>
      </c>
      <c r="D54" t="s">
        <v>21</v>
      </c>
      <c r="G54" t="str">
        <f>Config!$B$7</f>
        <v>SCH/Connector.SchLib</v>
      </c>
      <c r="H54" t="s">
        <v>6556</v>
      </c>
      <c r="I54" t="s">
        <v>4623</v>
      </c>
      <c r="J54" t="s">
        <v>8501</v>
      </c>
      <c r="L54" s="1" t="s">
        <v>13429</v>
      </c>
    </row>
    <row r="55" spans="1:26" ht="15.75">
      <c r="A55" t="s">
        <v>4427</v>
      </c>
      <c r="B55" t="s">
        <v>4427</v>
      </c>
      <c r="C55" t="s">
        <v>12932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13429</v>
      </c>
    </row>
    <row r="56" spans="1:26" ht="15.75">
      <c r="A56" t="s">
        <v>13324</v>
      </c>
      <c r="B56" t="s">
        <v>13324</v>
      </c>
      <c r="C56" t="s">
        <v>13325</v>
      </c>
      <c r="D56" t="s">
        <v>21</v>
      </c>
      <c r="G56" t="str">
        <f>Config!$B$7</f>
        <v>SCH/Connector.SchLib</v>
      </c>
      <c r="H56" t="s">
        <v>6563</v>
      </c>
      <c r="I56" t="s">
        <v>4623</v>
      </c>
      <c r="J56" t="s">
        <v>13326</v>
      </c>
      <c r="L56" s="1" t="s">
        <v>13429</v>
      </c>
    </row>
    <row r="57" spans="1:26" ht="15.75">
      <c r="A57" t="s">
        <v>13327</v>
      </c>
      <c r="B57" t="s">
        <v>13327</v>
      </c>
      <c r="C57" t="s">
        <v>13328</v>
      </c>
      <c r="D57" t="s">
        <v>21</v>
      </c>
      <c r="G57" t="str">
        <f>Config!$B$7</f>
        <v>SCH/Connector.SchLib</v>
      </c>
      <c r="H57" t="s">
        <v>7859</v>
      </c>
      <c r="I57" t="s">
        <v>4623</v>
      </c>
      <c r="J57" t="s">
        <v>13329</v>
      </c>
      <c r="L57" s="1" t="s">
        <v>13429</v>
      </c>
    </row>
    <row r="58" spans="1:26" ht="15.75">
      <c r="A58" t="s">
        <v>13330</v>
      </c>
      <c r="B58" t="s">
        <v>13330</v>
      </c>
      <c r="C58" t="s">
        <v>13331</v>
      </c>
      <c r="D58" t="s">
        <v>21</v>
      </c>
      <c r="G58" t="str">
        <f>Config!$B$7</f>
        <v>SCH/Connector.SchLib</v>
      </c>
      <c r="H58" t="s">
        <v>6566</v>
      </c>
      <c r="I58" t="s">
        <v>4623</v>
      </c>
      <c r="J58" t="s">
        <v>13332</v>
      </c>
      <c r="L58" s="1" t="s">
        <v>13429</v>
      </c>
    </row>
    <row r="59" spans="1:26" ht="15.75">
      <c r="A59" t="s">
        <v>13333</v>
      </c>
      <c r="B59" t="s">
        <v>13333</v>
      </c>
      <c r="C59" t="s">
        <v>13334</v>
      </c>
      <c r="D59" t="s">
        <v>21</v>
      </c>
      <c r="G59" t="str">
        <f>Config!$B$7</f>
        <v>SCH/Connector.SchLib</v>
      </c>
      <c r="H59" t="s">
        <v>7873</v>
      </c>
      <c r="I59" t="s">
        <v>4623</v>
      </c>
      <c r="J59" t="s">
        <v>13335</v>
      </c>
      <c r="L59" s="1" t="s">
        <v>13429</v>
      </c>
    </row>
    <row r="60" spans="1:26" ht="15.75">
      <c r="A60" t="s">
        <v>13336</v>
      </c>
      <c r="B60" t="s">
        <v>13336</v>
      </c>
      <c r="C60" t="s">
        <v>13337</v>
      </c>
      <c r="D60" t="s">
        <v>21</v>
      </c>
      <c r="G60" t="str">
        <f>Config!$B$7</f>
        <v>SCH/Connector.SchLib</v>
      </c>
      <c r="H60" t="s">
        <v>7879</v>
      </c>
      <c r="I60" t="s">
        <v>4623</v>
      </c>
      <c r="J60" t="s">
        <v>13338</v>
      </c>
      <c r="L60" s="1" t="s">
        <v>13429</v>
      </c>
    </row>
    <row r="61" spans="1:26" ht="15.75">
      <c r="A61" t="s">
        <v>13339</v>
      </c>
      <c r="B61" t="s">
        <v>13339</v>
      </c>
      <c r="C61" t="s">
        <v>13340</v>
      </c>
      <c r="D61" t="s">
        <v>21</v>
      </c>
      <c r="G61" t="str">
        <f>Config!$B$7</f>
        <v>SCH/Connector.SchLib</v>
      </c>
      <c r="H61" t="s">
        <v>7883</v>
      </c>
      <c r="I61" t="s">
        <v>4623</v>
      </c>
      <c r="J61" t="s">
        <v>13341</v>
      </c>
      <c r="L61" s="1" t="s">
        <v>13429</v>
      </c>
    </row>
    <row r="62" spans="1:26" ht="15.75">
      <c r="A62" t="s">
        <v>13342</v>
      </c>
      <c r="B62" t="s">
        <v>13342</v>
      </c>
      <c r="C62" t="s">
        <v>13343</v>
      </c>
      <c r="D62" t="s">
        <v>21</v>
      </c>
      <c r="G62" t="str">
        <f>Config!$B$7</f>
        <v>SCH/Connector.SchLib</v>
      </c>
      <c r="H62" t="s">
        <v>13025</v>
      </c>
      <c r="I62" t="s">
        <v>4623</v>
      </c>
      <c r="J62" t="s">
        <v>13344</v>
      </c>
      <c r="L62" s="1" t="s">
        <v>13429</v>
      </c>
    </row>
    <row r="63" spans="1:26" ht="15.75">
      <c r="A63" t="s">
        <v>13345</v>
      </c>
      <c r="B63" t="s">
        <v>13345</v>
      </c>
      <c r="C63" t="s">
        <v>13346</v>
      </c>
      <c r="D63" t="s">
        <v>21</v>
      </c>
      <c r="G63" t="str">
        <f>Config!$B$7</f>
        <v>SCH/Connector.SchLib</v>
      </c>
      <c r="H63" t="s">
        <v>13033</v>
      </c>
      <c r="I63" t="s">
        <v>4623</v>
      </c>
      <c r="J63" t="s">
        <v>13347</v>
      </c>
      <c r="L63" s="1" t="s">
        <v>13429</v>
      </c>
    </row>
    <row r="64" spans="1:26" ht="15.75">
      <c r="A64" t="s">
        <v>13348</v>
      </c>
      <c r="B64" t="s">
        <v>13348</v>
      </c>
      <c r="C64" t="s">
        <v>13349</v>
      </c>
      <c r="D64" t="s">
        <v>21</v>
      </c>
      <c r="G64" t="str">
        <f>Config!$B$7</f>
        <v>SCH/Connector.SchLib</v>
      </c>
      <c r="H64" t="s">
        <v>13041</v>
      </c>
      <c r="I64" t="s">
        <v>4623</v>
      </c>
      <c r="J64" t="s">
        <v>13350</v>
      </c>
      <c r="L64" s="1" t="s">
        <v>13429</v>
      </c>
    </row>
    <row r="65" spans="1:17" ht="15.75">
      <c r="A65" t="s">
        <v>13351</v>
      </c>
      <c r="B65" t="s">
        <v>13351</v>
      </c>
      <c r="C65" t="s">
        <v>13352</v>
      </c>
      <c r="D65" t="s">
        <v>21</v>
      </c>
      <c r="G65" t="str">
        <f>Config!$B$7</f>
        <v>SCH/Connector.SchLib</v>
      </c>
      <c r="H65" t="s">
        <v>13049</v>
      </c>
      <c r="I65" t="s">
        <v>4623</v>
      </c>
      <c r="J65" t="s">
        <v>13353</v>
      </c>
      <c r="L65" s="1" t="s">
        <v>13429</v>
      </c>
    </row>
    <row r="66" spans="1:17" ht="15.75">
      <c r="A66" t="s">
        <v>13354</v>
      </c>
      <c r="B66" t="s">
        <v>13354</v>
      </c>
      <c r="C66" t="s">
        <v>13355</v>
      </c>
      <c r="D66" t="s">
        <v>21</v>
      </c>
      <c r="G66" t="str">
        <f>Config!$B$7</f>
        <v>SCH/Connector.SchLib</v>
      </c>
      <c r="H66" t="s">
        <v>13057</v>
      </c>
      <c r="I66" t="s">
        <v>4623</v>
      </c>
      <c r="J66" t="s">
        <v>13356</v>
      </c>
      <c r="L66" s="1" t="s">
        <v>13429</v>
      </c>
    </row>
    <row r="67" spans="1:17" ht="15.75">
      <c r="A67" t="s">
        <v>13357</v>
      </c>
      <c r="B67" t="s">
        <v>13357</v>
      </c>
      <c r="C67" t="s">
        <v>13358</v>
      </c>
      <c r="D67" t="s">
        <v>21</v>
      </c>
      <c r="G67" t="str">
        <f>Config!$B$7</f>
        <v>SCH/Connector.SchLib</v>
      </c>
      <c r="H67" t="s">
        <v>13064</v>
      </c>
      <c r="I67" t="s">
        <v>4623</v>
      </c>
      <c r="J67" t="s">
        <v>13359</v>
      </c>
      <c r="L67" s="1" t="s">
        <v>13429</v>
      </c>
    </row>
    <row r="68" spans="1:17" ht="15.75">
      <c r="A68" t="s">
        <v>13360</v>
      </c>
      <c r="B68" t="s">
        <v>13360</v>
      </c>
      <c r="C68" t="s">
        <v>13361</v>
      </c>
      <c r="D68" t="s">
        <v>21</v>
      </c>
      <c r="G68" t="str">
        <f>Config!$B$7</f>
        <v>SCH/Connector.SchLib</v>
      </c>
      <c r="H68" t="s">
        <v>13072</v>
      </c>
      <c r="I68" t="s">
        <v>4623</v>
      </c>
      <c r="J68" t="s">
        <v>13362</v>
      </c>
      <c r="L68" s="1" t="s">
        <v>13429</v>
      </c>
    </row>
    <row r="69" spans="1:17" ht="15.75">
      <c r="A69" t="s">
        <v>13363</v>
      </c>
      <c r="B69" t="s">
        <v>13363</v>
      </c>
      <c r="C69" t="s">
        <v>13364</v>
      </c>
      <c r="D69" t="s">
        <v>21</v>
      </c>
      <c r="G69" t="str">
        <f>Config!$B$7</f>
        <v>SCH/Connector.SchLib</v>
      </c>
      <c r="H69" t="s">
        <v>13080</v>
      </c>
      <c r="I69" t="s">
        <v>4623</v>
      </c>
      <c r="J69" t="s">
        <v>13365</v>
      </c>
      <c r="L69" s="1" t="s">
        <v>13429</v>
      </c>
    </row>
    <row r="70" spans="1:17" ht="15.75">
      <c r="A70" t="s">
        <v>13366</v>
      </c>
      <c r="B70" t="s">
        <v>13366</v>
      </c>
      <c r="C70" t="s">
        <v>13367</v>
      </c>
      <c r="D70" t="s">
        <v>21</v>
      </c>
      <c r="G70" t="str">
        <f>Config!$B$7</f>
        <v>SCH/Connector.SchLib</v>
      </c>
      <c r="H70" t="s">
        <v>13088</v>
      </c>
      <c r="I70" t="s">
        <v>4623</v>
      </c>
      <c r="J70" t="s">
        <v>13368</v>
      </c>
      <c r="L70" s="1" t="s">
        <v>13429</v>
      </c>
    </row>
    <row r="71" spans="1:17" ht="15.75">
      <c r="A71" t="s">
        <v>7484</v>
      </c>
      <c r="B71" t="s">
        <v>7484</v>
      </c>
      <c r="C71" t="s">
        <v>13369</v>
      </c>
      <c r="D71" t="s">
        <v>21</v>
      </c>
      <c r="G71" t="str">
        <f>Config!$B$7</f>
        <v>SCH/Connector.SchLib</v>
      </c>
      <c r="H71" t="s">
        <v>7483</v>
      </c>
      <c r="I71" t="s">
        <v>4623</v>
      </c>
      <c r="J71" t="s">
        <v>7482</v>
      </c>
      <c r="L71" s="1" t="s">
        <v>13429</v>
      </c>
      <c r="M71" t="s">
        <v>7816</v>
      </c>
      <c r="N71" t="s">
        <v>7818</v>
      </c>
      <c r="O71" t="s">
        <v>7819</v>
      </c>
      <c r="P71" t="s">
        <v>25</v>
      </c>
      <c r="Q71" t="s">
        <v>7817</v>
      </c>
    </row>
    <row r="72" spans="1:17" ht="15.75">
      <c r="A72" t="s">
        <v>13370</v>
      </c>
      <c r="B72" t="s">
        <v>13370</v>
      </c>
      <c r="C72" t="s">
        <v>13371</v>
      </c>
      <c r="D72" t="s">
        <v>21</v>
      </c>
      <c r="G72" t="str">
        <f>Config!$B$7</f>
        <v>SCH/Connector.SchLib</v>
      </c>
      <c r="H72" t="s">
        <v>13103</v>
      </c>
      <c r="I72" t="s">
        <v>4623</v>
      </c>
      <c r="J72" t="s">
        <v>13372</v>
      </c>
      <c r="L72" s="1" t="s">
        <v>13429</v>
      </c>
    </row>
    <row r="73" spans="1:17" ht="15.75">
      <c r="A73" t="s">
        <v>13373</v>
      </c>
      <c r="B73" t="s">
        <v>13373</v>
      </c>
      <c r="C73" t="s">
        <v>13374</v>
      </c>
      <c r="D73" t="s">
        <v>21</v>
      </c>
      <c r="G73" t="str">
        <f>Config!$B$7</f>
        <v>SCH/Connector.SchLib</v>
      </c>
      <c r="H73" t="s">
        <v>13111</v>
      </c>
      <c r="I73" t="s">
        <v>4623</v>
      </c>
      <c r="J73" t="s">
        <v>13375</v>
      </c>
      <c r="L73" s="1" t="s">
        <v>13429</v>
      </c>
    </row>
    <row r="74" spans="1:17" ht="15.75">
      <c r="A74" t="s">
        <v>13376</v>
      </c>
      <c r="B74" t="s">
        <v>13376</v>
      </c>
      <c r="C74" t="s">
        <v>13377</v>
      </c>
      <c r="D74" t="s">
        <v>21</v>
      </c>
      <c r="G74" t="str">
        <f>Config!$B$7</f>
        <v>SCH/Connector.SchLib</v>
      </c>
      <c r="H74" t="s">
        <v>13119</v>
      </c>
      <c r="I74" t="s">
        <v>4623</v>
      </c>
      <c r="J74" t="s">
        <v>13378</v>
      </c>
      <c r="L74" s="1" t="s">
        <v>13429</v>
      </c>
    </row>
    <row r="75" spans="1:17" ht="15.75">
      <c r="A75" t="s">
        <v>13379</v>
      </c>
      <c r="B75" t="s">
        <v>13379</v>
      </c>
      <c r="C75" t="s">
        <v>13380</v>
      </c>
      <c r="D75" t="s">
        <v>21</v>
      </c>
      <c r="G75" t="str">
        <f>Config!$B$7</f>
        <v>SCH/Connector.SchLib</v>
      </c>
      <c r="H75" t="s">
        <v>13127</v>
      </c>
      <c r="I75" t="s">
        <v>4623</v>
      </c>
      <c r="J75" t="s">
        <v>13381</v>
      </c>
      <c r="L75" s="1" t="s">
        <v>13429</v>
      </c>
    </row>
    <row r="76" spans="1:17" ht="15.75">
      <c r="A76" t="s">
        <v>13382</v>
      </c>
      <c r="B76" t="s">
        <v>13382</v>
      </c>
      <c r="C76" t="s">
        <v>13383</v>
      </c>
      <c r="D76" t="s">
        <v>21</v>
      </c>
      <c r="G76" t="str">
        <f>Config!$B$7</f>
        <v>SCH/Connector.SchLib</v>
      </c>
      <c r="H76" t="s">
        <v>13135</v>
      </c>
      <c r="I76" t="s">
        <v>4623</v>
      </c>
      <c r="J76" t="s">
        <v>13384</v>
      </c>
      <c r="L76" s="1" t="s">
        <v>13429</v>
      </c>
    </row>
    <row r="77" spans="1:17" ht="15.75">
      <c r="A77" t="s">
        <v>7810</v>
      </c>
      <c r="B77" t="s">
        <v>7484</v>
      </c>
      <c r="C77" t="s">
        <v>4428</v>
      </c>
      <c r="D77" t="s">
        <v>21</v>
      </c>
      <c r="G77" t="str">
        <f>Config!$B$7</f>
        <v>SCH/Connector.SchLib</v>
      </c>
      <c r="H77" t="s">
        <v>7483</v>
      </c>
      <c r="I77" t="s">
        <v>4623</v>
      </c>
      <c r="J77" s="11" t="s">
        <v>7811</v>
      </c>
      <c r="L77" s="1" t="s">
        <v>13429</v>
      </c>
      <c r="M77" t="s">
        <v>7815</v>
      </c>
      <c r="N77" t="s">
        <v>7812</v>
      </c>
      <c r="O77" t="s">
        <v>7813</v>
      </c>
      <c r="P77" t="s">
        <v>25</v>
      </c>
      <c r="Q77" t="s">
        <v>7814</v>
      </c>
    </row>
    <row r="78" spans="1:17" ht="15.75">
      <c r="A78" t="s">
        <v>16668</v>
      </c>
      <c r="B78" t="s">
        <v>13345</v>
      </c>
      <c r="C78" t="s">
        <v>16669</v>
      </c>
      <c r="D78" t="s">
        <v>21</v>
      </c>
      <c r="G78" t="str">
        <f>Config!$B$7</f>
        <v>SCH/Connector.SchLib</v>
      </c>
      <c r="H78" t="s">
        <v>13033</v>
      </c>
      <c r="I78" t="s">
        <v>4623</v>
      </c>
      <c r="J78" t="s">
        <v>16667</v>
      </c>
      <c r="L78" s="1" t="s">
        <v>13429</v>
      </c>
      <c r="N78" t="s">
        <v>16663</v>
      </c>
      <c r="O78" t="s">
        <v>16664</v>
      </c>
      <c r="P78" t="s">
        <v>25</v>
      </c>
      <c r="Q78" t="s">
        <v>16665</v>
      </c>
    </row>
    <row r="79" spans="1:17" ht="15.75">
      <c r="A79" t="s">
        <v>16671</v>
      </c>
      <c r="B79" t="s">
        <v>16672</v>
      </c>
      <c r="C79" t="s">
        <v>16670</v>
      </c>
      <c r="D79" t="s">
        <v>21</v>
      </c>
      <c r="G79" t="str">
        <f>Config!$B$7</f>
        <v>SCH/Connector.SchLib</v>
      </c>
      <c r="H79" t="s">
        <v>13033</v>
      </c>
      <c r="I79" t="s">
        <v>4623</v>
      </c>
      <c r="J79" t="s">
        <v>16666</v>
      </c>
      <c r="L79" s="1" t="s">
        <v>13429</v>
      </c>
      <c r="N79" t="s">
        <v>16660</v>
      </c>
      <c r="O79" t="s">
        <v>16661</v>
      </c>
      <c r="P79" t="s">
        <v>25</v>
      </c>
      <c r="Q79" t="s">
        <v>16662</v>
      </c>
    </row>
    <row r="80" spans="1:17" ht="15.75">
      <c r="A80" t="s">
        <v>6358</v>
      </c>
      <c r="B80">
        <v>21033213401</v>
      </c>
      <c r="C80" t="s">
        <v>6358</v>
      </c>
      <c r="G80" t="str">
        <f>Config!$B$7</f>
        <v>SCH/Connector.SchLib</v>
      </c>
      <c r="H80" t="s">
        <v>6362</v>
      </c>
      <c r="I80" t="str">
        <f>_xlfn.CONCAT(PrivateLibraryPath,"PCB/Harting.PcbLib")</f>
        <v>../altium_lib_private/PCB/Harting.PcbLib</v>
      </c>
      <c r="J80" t="s">
        <v>6358</v>
      </c>
      <c r="L80" s="1" t="s">
        <v>13429</v>
      </c>
      <c r="M80" t="s">
        <v>6364</v>
      </c>
      <c r="N80" t="s">
        <v>6361</v>
      </c>
      <c r="O80" s="14" t="s">
        <v>6441</v>
      </c>
      <c r="P80" t="s">
        <v>25</v>
      </c>
      <c r="Q80" t="s">
        <v>6363</v>
      </c>
    </row>
    <row r="81" spans="1:25" ht="15.75">
      <c r="A81" t="s">
        <v>6359</v>
      </c>
      <c r="B81">
        <v>21033814440</v>
      </c>
      <c r="C81" t="s">
        <v>6359</v>
      </c>
      <c r="G81" t="str">
        <f>Config!$B$7</f>
        <v>SCH/Connector.SchLib</v>
      </c>
      <c r="H81" t="s">
        <v>6362</v>
      </c>
      <c r="I81" t="str">
        <f>_xlfn.CONCAT(PrivateLibraryPath,"PCB/Harting.PcbLib")</f>
        <v>../altium_lib_private/PCB/Harting.PcbLib</v>
      </c>
      <c r="J81" t="s">
        <v>6359</v>
      </c>
      <c r="L81" s="1" t="s">
        <v>13429</v>
      </c>
      <c r="M81" t="s">
        <v>6365</v>
      </c>
      <c r="N81" t="s">
        <v>6361</v>
      </c>
      <c r="O81" s="14" t="s">
        <v>6442</v>
      </c>
      <c r="P81" t="s">
        <v>25</v>
      </c>
      <c r="Q81" t="s">
        <v>6360</v>
      </c>
    </row>
    <row r="82" spans="1:25" ht="15.75">
      <c r="A82" t="s">
        <v>7925</v>
      </c>
      <c r="B82">
        <v>5600200420</v>
      </c>
      <c r="C82" t="s">
        <v>6642</v>
      </c>
      <c r="D82" t="s">
        <v>6634</v>
      </c>
      <c r="G82" t="str">
        <f>Config!$B$7</f>
        <v>SCH/Connector.SchLib</v>
      </c>
      <c r="H82" t="s">
        <v>6353</v>
      </c>
      <c r="I82" t="str">
        <f>_xlfn.CONCAT(PrivateLibraryPath,"PCB/Molex.PcbLib")</f>
        <v>../altium_lib_private/PCB/Molex.PcbLib</v>
      </c>
      <c r="J82">
        <v>5600200420</v>
      </c>
      <c r="L82" s="1" t="s">
        <v>13429</v>
      </c>
      <c r="M82" t="s">
        <v>6635</v>
      </c>
      <c r="N82" t="s">
        <v>6634</v>
      </c>
      <c r="O82" s="14" t="s">
        <v>6636</v>
      </c>
      <c r="P82" t="s">
        <v>25</v>
      </c>
      <c r="Q82" t="s">
        <v>6637</v>
      </c>
    </row>
    <row r="83" spans="1:25" ht="15.75">
      <c r="A83" t="s">
        <v>6677</v>
      </c>
      <c r="B83" t="s">
        <v>6665</v>
      </c>
      <c r="C83" t="s">
        <v>6664</v>
      </c>
      <c r="D83" t="s">
        <v>21</v>
      </c>
      <c r="G83" t="str">
        <f>Config!$B$7</f>
        <v>SCH/Connector.SchLib</v>
      </c>
      <c r="H83" t="s">
        <v>6679</v>
      </c>
      <c r="I83" t="str">
        <f>_xlfn.CONCAT(PrivateLibraryPath,"PCB/Wuerth.PcbLib")</f>
        <v>../altium_lib_private/PCB/Wuerth.PcbLib</v>
      </c>
      <c r="J83" t="s">
        <v>6680</v>
      </c>
      <c r="L83" s="1" t="s">
        <v>13429</v>
      </c>
      <c r="M83" s="26" t="s">
        <v>6668</v>
      </c>
      <c r="N83" t="s">
        <v>4279</v>
      </c>
      <c r="O83" t="s">
        <v>6665</v>
      </c>
      <c r="P83" t="s">
        <v>25</v>
      </c>
      <c r="Q83" t="s">
        <v>6670</v>
      </c>
      <c r="V83" t="s">
        <v>6672</v>
      </c>
      <c r="W83" t="s">
        <v>6675</v>
      </c>
      <c r="X83" t="s">
        <v>4559</v>
      </c>
      <c r="Y83" s="5" t="s">
        <v>6674</v>
      </c>
    </row>
    <row r="84" spans="1:25" ht="15.75">
      <c r="A84" t="s">
        <v>6678</v>
      </c>
      <c r="B84" s="14" t="s">
        <v>6666</v>
      </c>
      <c r="C84" t="s">
        <v>6667</v>
      </c>
      <c r="D84" t="s">
        <v>21</v>
      </c>
      <c r="G84" t="str">
        <f>Config!$B$7</f>
        <v>SCH/Connector.SchLib</v>
      </c>
      <c r="H84" t="s">
        <v>6679</v>
      </c>
      <c r="I84" t="str">
        <f>_xlfn.CONCAT(PrivateLibraryPath,"PCB/Wuerth.PcbLib")</f>
        <v>../altium_lib_private/PCB/Wuerth.PcbLib</v>
      </c>
      <c r="J84" t="s">
        <v>6681</v>
      </c>
      <c r="L84" s="1" t="s">
        <v>13429</v>
      </c>
      <c r="M84" s="26" t="s">
        <v>6669</v>
      </c>
      <c r="N84" t="s">
        <v>4279</v>
      </c>
      <c r="O84" s="14" t="s">
        <v>6666</v>
      </c>
      <c r="P84" t="s">
        <v>25</v>
      </c>
      <c r="Q84" t="s">
        <v>6671</v>
      </c>
      <c r="V84" t="s">
        <v>6672</v>
      </c>
      <c r="W84" t="s">
        <v>6676</v>
      </c>
      <c r="X84" t="s">
        <v>4559</v>
      </c>
      <c r="Y84" s="5" t="s">
        <v>6673</v>
      </c>
    </row>
    <row r="85" spans="1:25" ht="15.75">
      <c r="A85" t="s">
        <v>7939</v>
      </c>
      <c r="B85" s="14" t="s">
        <v>7940</v>
      </c>
      <c r="C85" t="s">
        <v>7941</v>
      </c>
      <c r="D85" t="s">
        <v>6634</v>
      </c>
      <c r="G85" t="str">
        <f>Config!$B$7</f>
        <v>SCH/Connector.SchLib</v>
      </c>
      <c r="H85" t="s">
        <v>6679</v>
      </c>
      <c r="I85" t="str">
        <f>_xlfn.CONCAT(PrivateLibraryPath,"PCB/Molex.PcbLib")</f>
        <v>../altium_lib_private/PCB/Molex.PcbLib</v>
      </c>
      <c r="J85">
        <v>855055113</v>
      </c>
      <c r="L85" s="1" t="s">
        <v>13429</v>
      </c>
      <c r="M85" s="26" t="s">
        <v>7942</v>
      </c>
      <c r="N85" t="s">
        <v>6634</v>
      </c>
      <c r="O85" s="14" t="s">
        <v>7940</v>
      </c>
      <c r="P85" t="s">
        <v>25</v>
      </c>
      <c r="Q85" t="s">
        <v>7943</v>
      </c>
      <c r="Y85" s="5"/>
    </row>
    <row r="86" spans="1:25" ht="15.75">
      <c r="A86" t="s">
        <v>6966</v>
      </c>
      <c r="B86" t="s">
        <v>6966</v>
      </c>
      <c r="C86" s="30" t="s">
        <v>6968</v>
      </c>
      <c r="D86" t="s">
        <v>6969</v>
      </c>
      <c r="G86" t="str">
        <f>Config!$B$7</f>
        <v>SCH/Connector.SchLib</v>
      </c>
      <c r="H86" t="s">
        <v>6967</v>
      </c>
      <c r="I86" t="str">
        <f>_xlfn.CONCAT(PrivateLibraryPath,"PCB/Schurter.PcbLib")</f>
        <v>../altium_lib_private/PCB/Schurter.PcbLib</v>
      </c>
      <c r="J86" t="s">
        <v>6966</v>
      </c>
      <c r="L86" s="1" t="s">
        <v>13429</v>
      </c>
      <c r="M86" s="26" t="s">
        <v>6970</v>
      </c>
      <c r="N86" t="s">
        <v>6969</v>
      </c>
      <c r="O86" t="s">
        <v>6966</v>
      </c>
      <c r="P86" t="s">
        <v>25</v>
      </c>
      <c r="Q86" t="s">
        <v>6971</v>
      </c>
    </row>
    <row r="87" spans="1:25" ht="15.75">
      <c r="A87" t="s">
        <v>6973</v>
      </c>
      <c r="B87" t="s">
        <v>6974</v>
      </c>
      <c r="C87" t="s">
        <v>6972</v>
      </c>
      <c r="D87" t="s">
        <v>21</v>
      </c>
      <c r="G87" t="str">
        <f>Config!$B$7</f>
        <v>SCH/Connector.SchLib</v>
      </c>
      <c r="H87" t="s">
        <v>6975</v>
      </c>
      <c r="I87" t="s">
        <v>6232</v>
      </c>
      <c r="J87" t="s">
        <v>6976</v>
      </c>
      <c r="L87" s="1" t="s">
        <v>13429</v>
      </c>
      <c r="M87" s="26" t="s">
        <v>6977</v>
      </c>
      <c r="N87" t="s">
        <v>6263</v>
      </c>
      <c r="O87" t="s">
        <v>6978</v>
      </c>
      <c r="P87" t="s">
        <v>25</v>
      </c>
      <c r="Q87" t="s">
        <v>6979</v>
      </c>
      <c r="V87" t="s">
        <v>6981</v>
      </c>
      <c r="W87" t="s">
        <v>6978</v>
      </c>
      <c r="X87" t="s">
        <v>4559</v>
      </c>
      <c r="Y87" t="s">
        <v>6980</v>
      </c>
    </row>
    <row r="88" spans="1:25" ht="15.75">
      <c r="A88" t="s">
        <v>6990</v>
      </c>
      <c r="B88">
        <v>430450412</v>
      </c>
      <c r="C88" t="s">
        <v>6994</v>
      </c>
      <c r="G88" t="str">
        <f>Config!$B$7</f>
        <v>SCH/Connector.SchLib</v>
      </c>
      <c r="H88" t="s">
        <v>6353</v>
      </c>
      <c r="I88" t="str">
        <f>_xlfn.CONCAT(PrivateLibraryPath,"PCB/Molex.PcbLib")</f>
        <v>../altium_lib_private/PCB/Molex.PcbLib</v>
      </c>
      <c r="J88">
        <v>430450412</v>
      </c>
      <c r="L88" s="1" t="s">
        <v>13429</v>
      </c>
      <c r="M88" s="26" t="s">
        <v>6993</v>
      </c>
      <c r="N88" t="s">
        <v>6634</v>
      </c>
      <c r="O88">
        <v>430450412</v>
      </c>
      <c r="P88" t="s">
        <v>25</v>
      </c>
      <c r="Q88" t="s">
        <v>6992</v>
      </c>
    </row>
    <row r="89" spans="1:25" ht="15.75">
      <c r="A89" t="s">
        <v>6991</v>
      </c>
      <c r="B89" s="27">
        <v>430450212</v>
      </c>
      <c r="C89" t="s">
        <v>6998</v>
      </c>
      <c r="G89" t="str">
        <f>Config!$B$7</f>
        <v>SCH/Connector.SchLib</v>
      </c>
      <c r="H89" t="s">
        <v>6997</v>
      </c>
      <c r="I89" t="str">
        <f>_xlfn.CONCAT(PrivateLibraryPath,"PCB/Molex.PcbLib")</f>
        <v>../altium_lib_private/PCB/Molex.PcbLib</v>
      </c>
      <c r="J89" s="13">
        <v>430450212</v>
      </c>
      <c r="L89" s="1" t="s">
        <v>13429</v>
      </c>
      <c r="M89" s="26" t="s">
        <v>6996</v>
      </c>
      <c r="N89" t="s">
        <v>6634</v>
      </c>
      <c r="O89" s="27">
        <v>430450212</v>
      </c>
      <c r="P89" t="s">
        <v>25</v>
      </c>
      <c r="Q89" t="s">
        <v>6995</v>
      </c>
    </row>
    <row r="90" spans="1:25" ht="15.75">
      <c r="A90" t="s">
        <v>7788</v>
      </c>
      <c r="B90">
        <v>5600200220</v>
      </c>
      <c r="C90" t="s">
        <v>7787</v>
      </c>
      <c r="D90" t="s">
        <v>6634</v>
      </c>
      <c r="G90" t="str">
        <f>Config!$B$7</f>
        <v>SCH/Connector.SchLib</v>
      </c>
      <c r="H90" t="s">
        <v>6997</v>
      </c>
      <c r="I90" t="str">
        <f>_xlfn.CONCAT(PrivateLibraryPath,"PCB/Molex.PcbLib")</f>
        <v>../altium_lib_private/PCB/Molex.PcbLib</v>
      </c>
      <c r="J90">
        <v>5600200220</v>
      </c>
      <c r="L90" s="1" t="s">
        <v>13429</v>
      </c>
      <c r="M90" s="26" t="s">
        <v>7789</v>
      </c>
      <c r="N90" t="s">
        <v>6634</v>
      </c>
      <c r="O90" s="14" t="s">
        <v>7790</v>
      </c>
      <c r="P90" t="s">
        <v>25</v>
      </c>
      <c r="Q90" t="s">
        <v>7791</v>
      </c>
    </row>
    <row r="91" spans="1:25" ht="15.75">
      <c r="A91" t="s">
        <v>7831</v>
      </c>
      <c r="B91" t="s">
        <v>7831</v>
      </c>
      <c r="C91" t="s">
        <v>7833</v>
      </c>
      <c r="D91" t="s">
        <v>7834</v>
      </c>
      <c r="G91" t="str">
        <f>Config!$B$7</f>
        <v>SCH/Connector.SchLib</v>
      </c>
      <c r="H91" t="s">
        <v>6997</v>
      </c>
      <c r="I91" t="s">
        <v>7835</v>
      </c>
      <c r="J91" t="s">
        <v>7831</v>
      </c>
      <c r="L91" s="1" t="s">
        <v>13429</v>
      </c>
      <c r="M91" s="26" t="s">
        <v>7837</v>
      </c>
      <c r="N91" t="s">
        <v>7834</v>
      </c>
      <c r="O91">
        <v>1803277</v>
      </c>
      <c r="P91" t="s">
        <v>25</v>
      </c>
      <c r="Q91" t="s">
        <v>7836</v>
      </c>
    </row>
    <row r="92" spans="1:25" ht="15.75">
      <c r="A92" t="s">
        <v>7839</v>
      </c>
      <c r="B92" t="s">
        <v>7839</v>
      </c>
      <c r="C92" t="s">
        <v>7840</v>
      </c>
      <c r="D92" t="s">
        <v>7834</v>
      </c>
      <c r="G92" t="str">
        <f>Config!$B$7</f>
        <v>SCH/Connector.SchLib</v>
      </c>
      <c r="H92" t="s">
        <v>7841</v>
      </c>
      <c r="I92" t="s">
        <v>7835</v>
      </c>
      <c r="J92" t="s">
        <v>7839</v>
      </c>
      <c r="L92" s="1" t="s">
        <v>13429</v>
      </c>
      <c r="M92" t="s">
        <v>7838</v>
      </c>
      <c r="N92" t="s">
        <v>7834</v>
      </c>
      <c r="O92">
        <v>1803280</v>
      </c>
      <c r="P92" t="s">
        <v>25</v>
      </c>
      <c r="Q92" t="s">
        <v>7902</v>
      </c>
    </row>
    <row r="93" spans="1:25" ht="15.75">
      <c r="A93" t="s">
        <v>7844</v>
      </c>
      <c r="B93" t="s">
        <v>7844</v>
      </c>
      <c r="C93" t="s">
        <v>7845</v>
      </c>
      <c r="D93" t="s">
        <v>7834</v>
      </c>
      <c r="G93" t="str">
        <f>Config!$B$7</f>
        <v>SCH/Connector.SchLib</v>
      </c>
      <c r="H93" t="s">
        <v>6353</v>
      </c>
      <c r="I93" t="s">
        <v>7835</v>
      </c>
      <c r="J93" t="s">
        <v>7844</v>
      </c>
      <c r="L93" s="1" t="s">
        <v>13429</v>
      </c>
      <c r="M93" t="s">
        <v>7885</v>
      </c>
      <c r="N93" t="s">
        <v>7834</v>
      </c>
      <c r="O93">
        <v>1803293</v>
      </c>
      <c r="P93" t="s">
        <v>25</v>
      </c>
      <c r="Q93" t="s">
        <v>7903</v>
      </c>
    </row>
    <row r="94" spans="1:25" ht="15.75">
      <c r="A94" t="s">
        <v>7842</v>
      </c>
      <c r="B94" t="s">
        <v>7842</v>
      </c>
      <c r="C94" t="s">
        <v>7843</v>
      </c>
      <c r="D94" t="s">
        <v>7834</v>
      </c>
      <c r="G94" t="str">
        <f>Config!$B$7</f>
        <v>SCH/Connector.SchLib</v>
      </c>
      <c r="H94" t="s">
        <v>6362</v>
      </c>
      <c r="I94" t="s">
        <v>7835</v>
      </c>
      <c r="J94" t="s">
        <v>7842</v>
      </c>
      <c r="L94" s="1" t="s">
        <v>13429</v>
      </c>
      <c r="M94" t="s">
        <v>7886</v>
      </c>
      <c r="N94" t="s">
        <v>7834</v>
      </c>
      <c r="O94">
        <v>1803303</v>
      </c>
      <c r="P94" t="s">
        <v>25</v>
      </c>
      <c r="Q94" t="s">
        <v>7904</v>
      </c>
    </row>
    <row r="95" spans="1:25" ht="15.75">
      <c r="A95" t="s">
        <v>7846</v>
      </c>
      <c r="B95" t="s">
        <v>7846</v>
      </c>
      <c r="C95" t="s">
        <v>7884</v>
      </c>
      <c r="D95" t="s">
        <v>7834</v>
      </c>
      <c r="G95" t="str">
        <f>Config!$B$7</f>
        <v>SCH/Connector.SchLib</v>
      </c>
      <c r="H95" t="s">
        <v>6556</v>
      </c>
      <c r="I95" t="s">
        <v>7835</v>
      </c>
      <c r="J95" t="s">
        <v>7846</v>
      </c>
      <c r="L95" s="1" t="s">
        <v>13429</v>
      </c>
      <c r="M95" t="s">
        <v>7887</v>
      </c>
      <c r="N95" t="s">
        <v>7834</v>
      </c>
      <c r="O95">
        <v>1803316</v>
      </c>
      <c r="P95" t="s">
        <v>25</v>
      </c>
      <c r="Q95" t="s">
        <v>7905</v>
      </c>
    </row>
    <row r="96" spans="1:25" ht="15.75">
      <c r="A96" t="s">
        <v>7847</v>
      </c>
      <c r="B96" t="s">
        <v>7847</v>
      </c>
      <c r="C96" t="s">
        <v>7848</v>
      </c>
      <c r="D96" t="s">
        <v>7834</v>
      </c>
      <c r="G96" t="str">
        <f>Config!$B$7</f>
        <v>SCH/Connector.SchLib</v>
      </c>
      <c r="H96" t="s">
        <v>7849</v>
      </c>
      <c r="I96" t="s">
        <v>7835</v>
      </c>
      <c r="J96" t="s">
        <v>7847</v>
      </c>
      <c r="L96" s="1" t="s">
        <v>13429</v>
      </c>
      <c r="M96" t="s">
        <v>7888</v>
      </c>
      <c r="N96" t="s">
        <v>7834</v>
      </c>
      <c r="O96">
        <v>1803329</v>
      </c>
      <c r="P96" t="s">
        <v>25</v>
      </c>
      <c r="Q96" t="s">
        <v>7906</v>
      </c>
    </row>
    <row r="97" spans="1:17" ht="15.75">
      <c r="A97" t="s">
        <v>7850</v>
      </c>
      <c r="B97" t="s">
        <v>7850</v>
      </c>
      <c r="C97" t="s">
        <v>7851</v>
      </c>
      <c r="D97" t="s">
        <v>7834</v>
      </c>
      <c r="G97" t="str">
        <f>Config!$B$7</f>
        <v>SCH/Connector.SchLib</v>
      </c>
      <c r="H97" t="s">
        <v>4429</v>
      </c>
      <c r="I97" t="s">
        <v>7835</v>
      </c>
      <c r="J97" t="s">
        <v>7850</v>
      </c>
      <c r="L97" s="1" t="s">
        <v>13429</v>
      </c>
      <c r="M97" t="s">
        <v>7889</v>
      </c>
      <c r="N97" t="s">
        <v>7834</v>
      </c>
      <c r="O97">
        <v>1803332</v>
      </c>
      <c r="P97" t="s">
        <v>25</v>
      </c>
      <c r="Q97" t="s">
        <v>7907</v>
      </c>
    </row>
    <row r="98" spans="1:17" ht="15.75">
      <c r="A98" t="s">
        <v>7852</v>
      </c>
      <c r="B98" t="s">
        <v>7852</v>
      </c>
      <c r="C98" t="s">
        <v>7853</v>
      </c>
      <c r="D98" t="s">
        <v>7834</v>
      </c>
      <c r="G98" t="str">
        <f>Config!$B$7</f>
        <v>SCH/Connector.SchLib</v>
      </c>
      <c r="H98" t="s">
        <v>7854</v>
      </c>
      <c r="I98" t="s">
        <v>7835</v>
      </c>
      <c r="J98" t="s">
        <v>7852</v>
      </c>
      <c r="L98" s="1" t="s">
        <v>13429</v>
      </c>
      <c r="M98" t="s">
        <v>7890</v>
      </c>
      <c r="N98" t="s">
        <v>7834</v>
      </c>
      <c r="O98">
        <v>1803345</v>
      </c>
      <c r="P98" t="s">
        <v>25</v>
      </c>
      <c r="Q98" t="s">
        <v>7908</v>
      </c>
    </row>
    <row r="99" spans="1:17" ht="15.75">
      <c r="A99" t="s">
        <v>7855</v>
      </c>
      <c r="B99" t="s">
        <v>7855</v>
      </c>
      <c r="C99" t="s">
        <v>7856</v>
      </c>
      <c r="D99" t="s">
        <v>7834</v>
      </c>
      <c r="G99" t="str">
        <f>Config!$B$7</f>
        <v>SCH/Connector.SchLib</v>
      </c>
      <c r="H99" t="s">
        <v>6563</v>
      </c>
      <c r="I99" t="s">
        <v>7835</v>
      </c>
      <c r="J99" t="s">
        <v>7855</v>
      </c>
      <c r="L99" s="1" t="s">
        <v>13429</v>
      </c>
      <c r="M99" t="s">
        <v>7891</v>
      </c>
      <c r="N99" t="s">
        <v>7834</v>
      </c>
      <c r="O99">
        <v>1803358</v>
      </c>
      <c r="P99" t="s">
        <v>25</v>
      </c>
      <c r="Q99" t="s">
        <v>7909</v>
      </c>
    </row>
    <row r="100" spans="1:17" ht="15.75">
      <c r="A100" t="s">
        <v>7860</v>
      </c>
      <c r="B100" t="s">
        <v>7860</v>
      </c>
      <c r="C100" t="s">
        <v>7861</v>
      </c>
      <c r="D100" t="s">
        <v>7834</v>
      </c>
      <c r="G100" t="str">
        <f>Config!$B$7</f>
        <v>SCH/Connector.SchLib</v>
      </c>
      <c r="H100" t="s">
        <v>7862</v>
      </c>
      <c r="I100" t="s">
        <v>7835</v>
      </c>
      <c r="J100" t="s">
        <v>7860</v>
      </c>
      <c r="L100" s="1" t="s">
        <v>13429</v>
      </c>
      <c r="M100" t="s">
        <v>7892</v>
      </c>
      <c r="N100" t="s">
        <v>7834</v>
      </c>
      <c r="O100">
        <v>1803361</v>
      </c>
      <c r="P100" t="s">
        <v>25</v>
      </c>
      <c r="Q100" t="s">
        <v>7910</v>
      </c>
    </row>
    <row r="101" spans="1:17" ht="15.75">
      <c r="A101" t="s">
        <v>7857</v>
      </c>
      <c r="B101" t="s">
        <v>7857</v>
      </c>
      <c r="C101" t="s">
        <v>7858</v>
      </c>
      <c r="D101" t="s">
        <v>7834</v>
      </c>
      <c r="G101" t="str">
        <f>Config!$B$7</f>
        <v>SCH/Connector.SchLib</v>
      </c>
      <c r="H101" t="s">
        <v>7859</v>
      </c>
      <c r="I101" t="s">
        <v>7835</v>
      </c>
      <c r="J101" t="s">
        <v>7857</v>
      </c>
      <c r="L101" s="1" t="s">
        <v>13429</v>
      </c>
      <c r="M101" t="s">
        <v>7893</v>
      </c>
      <c r="N101" t="s">
        <v>7834</v>
      </c>
      <c r="O101">
        <v>1803374</v>
      </c>
      <c r="P101" t="s">
        <v>25</v>
      </c>
      <c r="Q101" t="s">
        <v>7911</v>
      </c>
    </row>
    <row r="102" spans="1:17" ht="15.75">
      <c r="A102" t="s">
        <v>7863</v>
      </c>
      <c r="B102" t="s">
        <v>7863</v>
      </c>
      <c r="C102" t="s">
        <v>7864</v>
      </c>
      <c r="D102" t="s">
        <v>7834</v>
      </c>
      <c r="G102" t="str">
        <f>Config!$B$7</f>
        <v>SCH/Connector.SchLib</v>
      </c>
      <c r="H102" t="s">
        <v>7865</v>
      </c>
      <c r="I102" t="s">
        <v>7835</v>
      </c>
      <c r="J102" t="s">
        <v>7863</v>
      </c>
      <c r="L102" s="1" t="s">
        <v>13429</v>
      </c>
      <c r="M102" t="s">
        <v>7894</v>
      </c>
      <c r="N102" t="s">
        <v>7834</v>
      </c>
      <c r="O102">
        <v>1803387</v>
      </c>
      <c r="P102" t="s">
        <v>25</v>
      </c>
      <c r="Q102" t="s">
        <v>7912</v>
      </c>
    </row>
    <row r="103" spans="1:17" ht="15.75">
      <c r="A103" t="s">
        <v>7866</v>
      </c>
      <c r="B103" t="s">
        <v>7866</v>
      </c>
      <c r="C103" t="s">
        <v>7867</v>
      </c>
      <c r="D103" t="s">
        <v>7834</v>
      </c>
      <c r="G103" t="str">
        <f>Config!$B$7</f>
        <v>SCH/Connector.SchLib</v>
      </c>
      <c r="H103" t="s">
        <v>6566</v>
      </c>
      <c r="I103" t="s">
        <v>7835</v>
      </c>
      <c r="J103" t="s">
        <v>7866</v>
      </c>
      <c r="L103" s="1" t="s">
        <v>13429</v>
      </c>
      <c r="M103" t="s">
        <v>7895</v>
      </c>
      <c r="N103" t="s">
        <v>7834</v>
      </c>
      <c r="O103">
        <v>1803390</v>
      </c>
      <c r="P103" t="s">
        <v>25</v>
      </c>
      <c r="Q103" t="s">
        <v>7913</v>
      </c>
    </row>
    <row r="104" spans="1:17" ht="15.75">
      <c r="A104" t="s">
        <v>7868</v>
      </c>
      <c r="B104" t="s">
        <v>7868</v>
      </c>
      <c r="C104" t="s">
        <v>7869</v>
      </c>
      <c r="D104" t="s">
        <v>7834</v>
      </c>
      <c r="G104" t="str">
        <f>Config!$B$7</f>
        <v>SCH/Connector.SchLib</v>
      </c>
      <c r="H104" t="s">
        <v>7870</v>
      </c>
      <c r="I104" t="s">
        <v>7835</v>
      </c>
      <c r="J104" t="s">
        <v>7868</v>
      </c>
      <c r="L104" s="1" t="s">
        <v>13429</v>
      </c>
      <c r="M104" t="s">
        <v>7896</v>
      </c>
      <c r="N104" t="s">
        <v>7834</v>
      </c>
      <c r="O104">
        <v>1803400</v>
      </c>
      <c r="P104" t="s">
        <v>25</v>
      </c>
      <c r="Q104" t="s">
        <v>7914</v>
      </c>
    </row>
    <row r="105" spans="1:17" ht="15.75">
      <c r="A105" t="s">
        <v>7871</v>
      </c>
      <c r="B105" t="s">
        <v>7871</v>
      </c>
      <c r="C105" t="s">
        <v>7872</v>
      </c>
      <c r="D105" t="s">
        <v>7834</v>
      </c>
      <c r="G105" t="str">
        <f>Config!$B$7</f>
        <v>SCH/Connector.SchLib</v>
      </c>
      <c r="H105" t="s">
        <v>7873</v>
      </c>
      <c r="I105" t="s">
        <v>7835</v>
      </c>
      <c r="J105" t="s">
        <v>7871</v>
      </c>
      <c r="L105" s="1" t="s">
        <v>13429</v>
      </c>
      <c r="M105" t="s">
        <v>7897</v>
      </c>
      <c r="N105" t="s">
        <v>7834</v>
      </c>
      <c r="O105">
        <v>1803413</v>
      </c>
      <c r="P105" t="s">
        <v>25</v>
      </c>
      <c r="Q105" t="s">
        <v>7915</v>
      </c>
    </row>
    <row r="106" spans="1:17" ht="15.75">
      <c r="A106" t="s">
        <v>7874</v>
      </c>
      <c r="B106" t="s">
        <v>7874</v>
      </c>
      <c r="C106" t="s">
        <v>7875</v>
      </c>
      <c r="D106" t="s">
        <v>7834</v>
      </c>
      <c r="G106" t="str">
        <f>Config!$B$7</f>
        <v>SCH/Connector.SchLib</v>
      </c>
      <c r="H106" t="s">
        <v>7876</v>
      </c>
      <c r="I106" t="s">
        <v>7835</v>
      </c>
      <c r="J106" t="s">
        <v>7874</v>
      </c>
      <c r="L106" s="1" t="s">
        <v>13429</v>
      </c>
      <c r="M106" t="s">
        <v>7898</v>
      </c>
      <c r="N106" t="s">
        <v>7834</v>
      </c>
      <c r="O106">
        <v>1841307</v>
      </c>
      <c r="P106" t="s">
        <v>25</v>
      </c>
      <c r="Q106" t="s">
        <v>7916</v>
      </c>
    </row>
    <row r="107" spans="1:17" ht="15.75">
      <c r="A107" t="s">
        <v>7877</v>
      </c>
      <c r="B107" t="s">
        <v>7877</v>
      </c>
      <c r="C107" t="s">
        <v>7878</v>
      </c>
      <c r="D107" t="s">
        <v>7834</v>
      </c>
      <c r="G107" t="str">
        <f>Config!$B$7</f>
        <v>SCH/Connector.SchLib</v>
      </c>
      <c r="H107" t="s">
        <v>7879</v>
      </c>
      <c r="I107" t="s">
        <v>7835</v>
      </c>
      <c r="J107" t="s">
        <v>7877</v>
      </c>
      <c r="L107" s="1" t="s">
        <v>13429</v>
      </c>
      <c r="M107" t="s">
        <v>7899</v>
      </c>
      <c r="N107" t="s">
        <v>7834</v>
      </c>
      <c r="O107">
        <v>1841297</v>
      </c>
      <c r="P107" t="s">
        <v>25</v>
      </c>
      <c r="Q107" t="s">
        <v>7917</v>
      </c>
    </row>
    <row r="108" spans="1:17" ht="15.75">
      <c r="A108" t="s">
        <v>7880</v>
      </c>
      <c r="B108" t="s">
        <v>7880</v>
      </c>
      <c r="C108" t="s">
        <v>7881</v>
      </c>
      <c r="D108" t="s">
        <v>7834</v>
      </c>
      <c r="G108" t="str">
        <f>Config!$B$7</f>
        <v>SCH/Connector.SchLib</v>
      </c>
      <c r="H108" t="s">
        <v>7882</v>
      </c>
      <c r="I108" t="s">
        <v>7835</v>
      </c>
      <c r="J108" t="s">
        <v>7880</v>
      </c>
      <c r="L108" s="1" t="s">
        <v>13429</v>
      </c>
      <c r="M108" t="s">
        <v>7900</v>
      </c>
      <c r="N108" t="s">
        <v>7834</v>
      </c>
      <c r="O108">
        <v>1841284</v>
      </c>
      <c r="P108" t="s">
        <v>25</v>
      </c>
      <c r="Q108" t="s">
        <v>7918</v>
      </c>
    </row>
    <row r="109" spans="1:17" ht="15.75">
      <c r="A109" t="s">
        <v>7830</v>
      </c>
      <c r="B109" t="s">
        <v>7830</v>
      </c>
      <c r="C109" t="s">
        <v>7832</v>
      </c>
      <c r="D109" t="s">
        <v>7834</v>
      </c>
      <c r="G109" t="str">
        <f>Config!$B$7</f>
        <v>SCH/Connector.SchLib</v>
      </c>
      <c r="H109" t="s">
        <v>7883</v>
      </c>
      <c r="I109" t="s">
        <v>7835</v>
      </c>
      <c r="J109" t="s">
        <v>7830</v>
      </c>
      <c r="L109" s="1" t="s">
        <v>13429</v>
      </c>
      <c r="M109" t="s">
        <v>7901</v>
      </c>
      <c r="N109" t="s">
        <v>7834</v>
      </c>
      <c r="O109">
        <v>1841271</v>
      </c>
      <c r="P109" t="s">
        <v>25</v>
      </c>
      <c r="Q109" t="s">
        <v>7919</v>
      </c>
    </row>
    <row r="110" spans="1:17" ht="15.75">
      <c r="A110" t="s">
        <v>7920</v>
      </c>
      <c r="B110">
        <v>5600200820</v>
      </c>
      <c r="C110" t="s">
        <v>7921</v>
      </c>
      <c r="D110" t="s">
        <v>6634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13429</v>
      </c>
      <c r="M110" s="26" t="s">
        <v>7923</v>
      </c>
      <c r="N110" t="s">
        <v>6634</v>
      </c>
      <c r="O110" s="14" t="s">
        <v>7922</v>
      </c>
      <c r="P110" t="s">
        <v>25</v>
      </c>
      <c r="Q110" t="s">
        <v>7924</v>
      </c>
    </row>
    <row r="111" spans="1:17" ht="15.75">
      <c r="A111" t="s">
        <v>7944</v>
      </c>
      <c r="B111">
        <v>21033811418</v>
      </c>
      <c r="C111" t="s">
        <v>7944</v>
      </c>
      <c r="D111" t="s">
        <v>7945</v>
      </c>
      <c r="G111" t="str">
        <f>Config!$B$7</f>
        <v>SCH/Connector.SchLib</v>
      </c>
      <c r="H111" t="s">
        <v>6362</v>
      </c>
      <c r="I111" t="str">
        <f>_xlfn.CONCAT(PrivateLibraryPath,"PCB/Harting.PcbLib")</f>
        <v>../altium_lib_private/PCB/Harting.PcbLib</v>
      </c>
      <c r="J111" t="s">
        <v>7944</v>
      </c>
      <c r="L111" s="1" t="s">
        <v>13429</v>
      </c>
      <c r="M111" s="28" t="s">
        <v>7946</v>
      </c>
      <c r="N111" t="s">
        <v>6361</v>
      </c>
      <c r="O111">
        <v>21033811418</v>
      </c>
      <c r="P111" t="s">
        <v>25</v>
      </c>
      <c r="Q111" t="s">
        <v>7947</v>
      </c>
    </row>
    <row r="112" spans="1:17" ht="15.75">
      <c r="A112" t="s">
        <v>7967</v>
      </c>
      <c r="B112" t="s">
        <v>7967</v>
      </c>
      <c r="C112" t="s">
        <v>7968</v>
      </c>
      <c r="D112" t="s">
        <v>7969</v>
      </c>
      <c r="G112" t="str">
        <f>Config!$B$7</f>
        <v>SCH/Connector.SchLib</v>
      </c>
      <c r="H112" t="s">
        <v>7970</v>
      </c>
      <c r="I112" t="s">
        <v>7971</v>
      </c>
      <c r="J112" t="s">
        <v>7972</v>
      </c>
      <c r="L112" s="1" t="s">
        <v>13429</v>
      </c>
      <c r="M112" t="s">
        <v>7973</v>
      </c>
      <c r="N112" t="s">
        <v>7974</v>
      </c>
      <c r="O112" t="s">
        <v>7975</v>
      </c>
      <c r="P112" t="s">
        <v>25</v>
      </c>
      <c r="Q112" t="s">
        <v>7976</v>
      </c>
    </row>
    <row r="113" spans="1:17" ht="15.75">
      <c r="A113" t="s">
        <v>8465</v>
      </c>
      <c r="B113" t="s">
        <v>8469</v>
      </c>
      <c r="C113" t="s">
        <v>8470</v>
      </c>
      <c r="D113" t="s">
        <v>8463</v>
      </c>
      <c r="G113" t="str">
        <f>Config!$B$7</f>
        <v>SCH/Connector.SchLib</v>
      </c>
      <c r="H113" t="s">
        <v>6556</v>
      </c>
      <c r="I113" t="s">
        <v>8464</v>
      </c>
      <c r="J113" t="s">
        <v>8465</v>
      </c>
      <c r="L113" s="1" t="s">
        <v>13429</v>
      </c>
      <c r="M113" t="s">
        <v>8466</v>
      </c>
      <c r="N113" t="s">
        <v>6371</v>
      </c>
      <c r="O113" t="s">
        <v>8467</v>
      </c>
      <c r="P113" t="s">
        <v>25</v>
      </c>
      <c r="Q113" t="s">
        <v>8468</v>
      </c>
    </row>
    <row r="114" spans="1:17" ht="15.75">
      <c r="A114" t="s">
        <v>8512</v>
      </c>
      <c r="B114" t="s">
        <v>8512</v>
      </c>
      <c r="C114" t="s">
        <v>8513</v>
      </c>
      <c r="D114" t="s">
        <v>8514</v>
      </c>
      <c r="G114" t="str">
        <f>Config!$B$7</f>
        <v>SCH/Connector.SchLib</v>
      </c>
      <c r="H114" t="s">
        <v>6967</v>
      </c>
      <c r="I114" t="s">
        <v>8515</v>
      </c>
      <c r="J114" t="s">
        <v>8512</v>
      </c>
      <c r="L114" s="1" t="s">
        <v>13429</v>
      </c>
      <c r="M114" t="s">
        <v>8516</v>
      </c>
      <c r="N114" t="s">
        <v>8517</v>
      </c>
      <c r="O114" t="s">
        <v>8512</v>
      </c>
      <c r="P114" t="s">
        <v>25</v>
      </c>
      <c r="Q114" t="s">
        <v>8518</v>
      </c>
    </row>
    <row r="115" spans="1:17" ht="15.75">
      <c r="A115" t="s">
        <v>8519</v>
      </c>
      <c r="B115" t="s">
        <v>8519</v>
      </c>
      <c r="C115" t="s">
        <v>8520</v>
      </c>
      <c r="D115" t="s">
        <v>8514</v>
      </c>
      <c r="G115" t="str">
        <f>Config!$B$7</f>
        <v>SCH/Connector.SchLib</v>
      </c>
      <c r="H115" t="s">
        <v>6967</v>
      </c>
      <c r="I115" t="s">
        <v>8515</v>
      </c>
      <c r="J115" t="s">
        <v>8519</v>
      </c>
      <c r="L115" s="1" t="s">
        <v>13429</v>
      </c>
      <c r="M115" t="s">
        <v>8521</v>
      </c>
      <c r="N115" t="s">
        <v>8517</v>
      </c>
      <c r="O115" t="s">
        <v>8519</v>
      </c>
      <c r="P115" t="s">
        <v>25</v>
      </c>
      <c r="Q115" t="s">
        <v>8522</v>
      </c>
    </row>
    <row r="116" spans="1:17" ht="15.75">
      <c r="A116" t="s">
        <v>12249</v>
      </c>
      <c r="B116" t="s">
        <v>12251</v>
      </c>
      <c r="C116" t="s">
        <v>12250</v>
      </c>
      <c r="D116" t="s">
        <v>12252</v>
      </c>
      <c r="G116" t="str">
        <f>Config!$B$7</f>
        <v>SCH/Connector.SchLib</v>
      </c>
      <c r="H116" t="s">
        <v>12257</v>
      </c>
      <c r="I116" t="s">
        <v>12256</v>
      </c>
      <c r="J116" t="s">
        <v>12255</v>
      </c>
      <c r="L116" s="1" t="s">
        <v>13429</v>
      </c>
      <c r="M116" t="s">
        <v>12254</v>
      </c>
      <c r="N116" t="s">
        <v>12252</v>
      </c>
      <c r="O116" t="s">
        <v>12249</v>
      </c>
      <c r="P116" t="s">
        <v>25</v>
      </c>
      <c r="Q116" t="s">
        <v>12253</v>
      </c>
    </row>
    <row r="117" spans="1:17" ht="15.75">
      <c r="A117" t="s">
        <v>12262</v>
      </c>
      <c r="B117" t="s">
        <v>12260</v>
      </c>
      <c r="C117" t="s">
        <v>12261</v>
      </c>
      <c r="G117" t="str">
        <f>Config!$B$7</f>
        <v>SCH/Connector.SchLib</v>
      </c>
      <c r="H117" t="s">
        <v>12258</v>
      </c>
      <c r="I117" t="s">
        <v>12256</v>
      </c>
      <c r="J117" t="s">
        <v>12259</v>
      </c>
      <c r="L117" s="1" t="s">
        <v>13429</v>
      </c>
    </row>
    <row r="118" spans="1:17" ht="15.75">
      <c r="A118" t="s">
        <v>12106</v>
      </c>
      <c r="B118" t="s">
        <v>12106</v>
      </c>
      <c r="C118" t="s">
        <v>12333</v>
      </c>
      <c r="D118" t="s">
        <v>12084</v>
      </c>
      <c r="G118" t="str">
        <f>Config!$B$7</f>
        <v>SCH/Connector.SchLib</v>
      </c>
      <c r="H118" t="s">
        <v>6975</v>
      </c>
      <c r="I118" s="39"/>
      <c r="J118" s="39"/>
      <c r="L118" s="1" t="s">
        <v>13429</v>
      </c>
      <c r="M118" t="s">
        <v>12329</v>
      </c>
      <c r="N118" t="s">
        <v>12085</v>
      </c>
      <c r="O118" t="s">
        <v>12089</v>
      </c>
      <c r="P118" t="s">
        <v>8447</v>
      </c>
      <c r="Q118">
        <v>14021770</v>
      </c>
    </row>
    <row r="119" spans="1:17" ht="15.75">
      <c r="A119" t="s">
        <v>12107</v>
      </c>
      <c r="B119" t="s">
        <v>12107</v>
      </c>
      <c r="C119" t="s">
        <v>12333</v>
      </c>
      <c r="D119" t="s">
        <v>12084</v>
      </c>
      <c r="G119" t="str">
        <f>Config!$B$7</f>
        <v>SCH/Connector.SchLib</v>
      </c>
      <c r="H119" t="s">
        <v>6975</v>
      </c>
      <c r="I119" s="39"/>
      <c r="J119" s="39"/>
      <c r="L119" s="1" t="s">
        <v>13429</v>
      </c>
      <c r="M119" t="s">
        <v>12329</v>
      </c>
      <c r="N119" t="s">
        <v>12085</v>
      </c>
      <c r="O119" t="s">
        <v>12090</v>
      </c>
      <c r="P119" t="s">
        <v>8447</v>
      </c>
      <c r="Q119">
        <v>14021767</v>
      </c>
    </row>
    <row r="120" spans="1:17" ht="15.75">
      <c r="A120" t="s">
        <v>12083</v>
      </c>
      <c r="B120" t="s">
        <v>12083</v>
      </c>
      <c r="C120" t="s">
        <v>12333</v>
      </c>
      <c r="D120" t="s">
        <v>12084</v>
      </c>
      <c r="G120" t="str">
        <f>Config!$B$7</f>
        <v>SCH/Connector.SchLib</v>
      </c>
      <c r="H120" t="s">
        <v>6975</v>
      </c>
      <c r="I120" s="39"/>
      <c r="J120" s="39"/>
      <c r="L120" s="1" t="s">
        <v>13429</v>
      </c>
      <c r="M120" t="s">
        <v>12329</v>
      </c>
      <c r="N120" t="s">
        <v>12085</v>
      </c>
      <c r="O120" t="s">
        <v>12088</v>
      </c>
      <c r="P120" t="s">
        <v>8447</v>
      </c>
      <c r="Q120">
        <v>14021765</v>
      </c>
    </row>
    <row r="121" spans="1:17" ht="15.75">
      <c r="A121" t="s">
        <v>12108</v>
      </c>
      <c r="B121" t="s">
        <v>12108</v>
      </c>
      <c r="C121" t="s">
        <v>12333</v>
      </c>
      <c r="D121" t="s">
        <v>12084</v>
      </c>
      <c r="G121" t="str">
        <f>Config!$B$7</f>
        <v>SCH/Connector.SchLib</v>
      </c>
      <c r="H121" t="s">
        <v>6975</v>
      </c>
      <c r="I121" s="39"/>
      <c r="J121" s="39"/>
      <c r="L121" s="1" t="s">
        <v>13429</v>
      </c>
      <c r="M121" t="s">
        <v>12329</v>
      </c>
      <c r="N121" t="s">
        <v>12085</v>
      </c>
      <c r="O121" t="s">
        <v>12091</v>
      </c>
      <c r="P121" t="s">
        <v>8447</v>
      </c>
      <c r="Q121">
        <v>14021766</v>
      </c>
    </row>
    <row r="122" spans="1:17" ht="15.75">
      <c r="A122" t="s">
        <v>12109</v>
      </c>
      <c r="B122" t="s">
        <v>12109</v>
      </c>
      <c r="C122" t="s">
        <v>12333</v>
      </c>
      <c r="D122" t="s">
        <v>12084</v>
      </c>
      <c r="G122" t="str">
        <f>Config!$B$7</f>
        <v>SCH/Connector.SchLib</v>
      </c>
      <c r="H122" t="s">
        <v>6975</v>
      </c>
      <c r="I122" s="39"/>
      <c r="J122" s="39"/>
      <c r="L122" s="1" t="s">
        <v>13429</v>
      </c>
      <c r="M122" t="s">
        <v>12329</v>
      </c>
      <c r="N122" t="s">
        <v>12085</v>
      </c>
      <c r="O122" t="s">
        <v>12092</v>
      </c>
      <c r="P122" t="s">
        <v>8447</v>
      </c>
      <c r="Q122">
        <v>14021768</v>
      </c>
    </row>
    <row r="123" spans="1:17" ht="15.75">
      <c r="A123" t="s">
        <v>12110</v>
      </c>
      <c r="B123" t="s">
        <v>12110</v>
      </c>
      <c r="C123" t="s">
        <v>12333</v>
      </c>
      <c r="D123" t="s">
        <v>12084</v>
      </c>
      <c r="G123" t="str">
        <f>Config!$B$7</f>
        <v>SCH/Connector.SchLib</v>
      </c>
      <c r="H123" t="s">
        <v>6975</v>
      </c>
      <c r="I123" s="39"/>
      <c r="J123" s="39"/>
      <c r="L123" s="1" t="s">
        <v>13429</v>
      </c>
      <c r="M123" t="s">
        <v>12329</v>
      </c>
      <c r="N123" t="s">
        <v>12085</v>
      </c>
      <c r="O123" t="s">
        <v>12093</v>
      </c>
      <c r="P123" t="s">
        <v>8447</v>
      </c>
      <c r="Q123">
        <v>14021769</v>
      </c>
    </row>
    <row r="124" spans="1:17" ht="15.75">
      <c r="A124" t="s">
        <v>12111</v>
      </c>
      <c r="B124" t="s">
        <v>12111</v>
      </c>
      <c r="C124" t="s">
        <v>12333</v>
      </c>
      <c r="D124" t="s">
        <v>12084</v>
      </c>
      <c r="G124" t="str">
        <f>Config!$B$7</f>
        <v>SCH/Connector.SchLib</v>
      </c>
      <c r="H124" t="s">
        <v>6975</v>
      </c>
      <c r="I124" s="39"/>
      <c r="J124" s="39"/>
      <c r="L124" s="1" t="s">
        <v>13429</v>
      </c>
      <c r="M124" t="s">
        <v>12329</v>
      </c>
      <c r="N124" t="s">
        <v>12085</v>
      </c>
      <c r="O124" t="s">
        <v>12094</v>
      </c>
      <c r="P124" t="s">
        <v>8447</v>
      </c>
      <c r="Q124">
        <v>30136205</v>
      </c>
    </row>
    <row r="125" spans="1:17" ht="15.75">
      <c r="A125" t="s">
        <v>12112</v>
      </c>
      <c r="B125" t="s">
        <v>12112</v>
      </c>
      <c r="C125" t="s">
        <v>12333</v>
      </c>
      <c r="D125" t="s">
        <v>12084</v>
      </c>
      <c r="G125" t="str">
        <f>Config!$B$7</f>
        <v>SCH/Connector.SchLib</v>
      </c>
      <c r="H125" t="s">
        <v>6975</v>
      </c>
      <c r="I125" s="39"/>
      <c r="J125" s="39"/>
      <c r="L125" s="1" t="s">
        <v>13429</v>
      </c>
      <c r="M125" t="s">
        <v>12329</v>
      </c>
      <c r="N125" t="s">
        <v>12085</v>
      </c>
      <c r="O125" t="s">
        <v>12095</v>
      </c>
      <c r="P125" t="s">
        <v>8447</v>
      </c>
      <c r="Q125">
        <v>14022426</v>
      </c>
    </row>
    <row r="126" spans="1:17" ht="15.75">
      <c r="A126" t="s">
        <v>12113</v>
      </c>
      <c r="B126" t="s">
        <v>12113</v>
      </c>
      <c r="C126" t="s">
        <v>12333</v>
      </c>
      <c r="D126" t="s">
        <v>12084</v>
      </c>
      <c r="G126" t="str">
        <f>Config!$B$7</f>
        <v>SCH/Connector.SchLib</v>
      </c>
      <c r="H126" t="s">
        <v>6975</v>
      </c>
      <c r="I126" s="39"/>
      <c r="J126" s="39"/>
      <c r="L126" s="1" t="s">
        <v>13429</v>
      </c>
      <c r="M126" t="s">
        <v>12329</v>
      </c>
      <c r="N126" t="s">
        <v>12085</v>
      </c>
      <c r="O126" t="s">
        <v>12096</v>
      </c>
      <c r="P126" t="s">
        <v>8447</v>
      </c>
      <c r="Q126">
        <v>14022425</v>
      </c>
    </row>
    <row r="127" spans="1:17" ht="15.75">
      <c r="A127" t="s">
        <v>12114</v>
      </c>
      <c r="B127" t="s">
        <v>12114</v>
      </c>
      <c r="C127" t="s">
        <v>12333</v>
      </c>
      <c r="D127" t="s">
        <v>12084</v>
      </c>
      <c r="G127" t="str">
        <f>Config!$B$7</f>
        <v>SCH/Connector.SchLib</v>
      </c>
      <c r="H127" t="s">
        <v>6975</v>
      </c>
      <c r="I127" s="39"/>
      <c r="J127" s="39"/>
      <c r="L127" s="1" t="s">
        <v>13429</v>
      </c>
      <c r="M127" t="s">
        <v>12329</v>
      </c>
      <c r="N127" t="s">
        <v>12085</v>
      </c>
      <c r="O127" t="s">
        <v>12097</v>
      </c>
      <c r="P127" t="s">
        <v>8447</v>
      </c>
      <c r="Q127">
        <v>14021772</v>
      </c>
    </row>
    <row r="128" spans="1:17" ht="15.75">
      <c r="A128" t="s">
        <v>12115</v>
      </c>
      <c r="B128" t="s">
        <v>12115</v>
      </c>
      <c r="C128" t="s">
        <v>12334</v>
      </c>
      <c r="D128" t="s">
        <v>12084</v>
      </c>
      <c r="G128" t="str">
        <f>Config!$B$7</f>
        <v>SCH/Connector.SchLib</v>
      </c>
      <c r="H128" t="s">
        <v>6975</v>
      </c>
      <c r="I128" t="s">
        <v>13386</v>
      </c>
      <c r="J128" t="s">
        <v>13387</v>
      </c>
      <c r="L128" s="1" t="s">
        <v>13429</v>
      </c>
      <c r="M128" t="s">
        <v>12330</v>
      </c>
      <c r="N128" t="s">
        <v>12085</v>
      </c>
      <c r="O128" t="s">
        <v>12098</v>
      </c>
      <c r="P128" t="s">
        <v>8447</v>
      </c>
      <c r="Q128">
        <v>30136216</v>
      </c>
    </row>
    <row r="129" spans="1:17" ht="15.75">
      <c r="A129" t="s">
        <v>12116</v>
      </c>
      <c r="B129" t="s">
        <v>12116</v>
      </c>
      <c r="C129" t="s">
        <v>12334</v>
      </c>
      <c r="D129" t="s">
        <v>12084</v>
      </c>
      <c r="G129" t="str">
        <f>Config!$B$7</f>
        <v>SCH/Connector.SchLib</v>
      </c>
      <c r="H129" t="s">
        <v>6975</v>
      </c>
      <c r="I129" t="s">
        <v>13386</v>
      </c>
      <c r="J129" t="s">
        <v>13388</v>
      </c>
      <c r="L129" s="1" t="s">
        <v>13429</v>
      </c>
      <c r="M129" t="s">
        <v>12330</v>
      </c>
      <c r="N129" t="s">
        <v>12085</v>
      </c>
      <c r="O129" t="s">
        <v>12099</v>
      </c>
      <c r="P129" t="s">
        <v>8447</v>
      </c>
      <c r="Q129">
        <v>30136217</v>
      </c>
    </row>
    <row r="130" spans="1:17" ht="15.75">
      <c r="A130" t="s">
        <v>12087</v>
      </c>
      <c r="B130" t="s">
        <v>12087</v>
      </c>
      <c r="C130" t="s">
        <v>12334</v>
      </c>
      <c r="D130" t="s">
        <v>12084</v>
      </c>
      <c r="G130" t="str">
        <f>Config!$B$7</f>
        <v>SCH/Connector.SchLib</v>
      </c>
      <c r="H130" t="s">
        <v>6975</v>
      </c>
      <c r="I130" t="s">
        <v>13386</v>
      </c>
      <c r="J130" t="s">
        <v>13385</v>
      </c>
      <c r="L130" s="1" t="s">
        <v>13429</v>
      </c>
      <c r="M130" t="s">
        <v>12330</v>
      </c>
      <c r="N130" t="s">
        <v>12085</v>
      </c>
      <c r="O130" t="s">
        <v>12086</v>
      </c>
      <c r="P130" t="s">
        <v>8447</v>
      </c>
      <c r="Q130">
        <v>30136218</v>
      </c>
    </row>
    <row r="131" spans="1:17" ht="15.75">
      <c r="A131" t="s">
        <v>12117</v>
      </c>
      <c r="B131" t="s">
        <v>12117</v>
      </c>
      <c r="C131" t="s">
        <v>12334</v>
      </c>
      <c r="D131" t="s">
        <v>12084</v>
      </c>
      <c r="G131" t="str">
        <f>Config!$B$7</f>
        <v>SCH/Connector.SchLib</v>
      </c>
      <c r="H131" t="s">
        <v>6975</v>
      </c>
      <c r="I131" t="s">
        <v>13386</v>
      </c>
      <c r="J131" t="s">
        <v>13389</v>
      </c>
      <c r="L131" s="1" t="s">
        <v>13429</v>
      </c>
      <c r="M131" t="s">
        <v>12330</v>
      </c>
      <c r="N131" t="s">
        <v>12085</v>
      </c>
      <c r="O131" t="s">
        <v>12100</v>
      </c>
      <c r="P131" t="s">
        <v>8447</v>
      </c>
      <c r="Q131">
        <v>30136219</v>
      </c>
    </row>
    <row r="132" spans="1:17" ht="15.75">
      <c r="A132" t="s">
        <v>12118</v>
      </c>
      <c r="B132" t="s">
        <v>12118</v>
      </c>
      <c r="C132" t="s">
        <v>12334</v>
      </c>
      <c r="D132" t="s">
        <v>12084</v>
      </c>
      <c r="G132" t="str">
        <f>Config!$B$7</f>
        <v>SCH/Connector.SchLib</v>
      </c>
      <c r="H132" t="s">
        <v>6975</v>
      </c>
      <c r="I132" t="s">
        <v>13386</v>
      </c>
      <c r="J132" t="s">
        <v>13390</v>
      </c>
      <c r="L132" s="1" t="s">
        <v>13429</v>
      </c>
      <c r="M132" t="s">
        <v>12330</v>
      </c>
      <c r="N132" t="s">
        <v>12085</v>
      </c>
      <c r="O132" t="s">
        <v>12101</v>
      </c>
      <c r="P132" t="s">
        <v>8447</v>
      </c>
      <c r="Q132">
        <v>30136220</v>
      </c>
    </row>
    <row r="133" spans="1:17" ht="15.75">
      <c r="A133" t="s">
        <v>12119</v>
      </c>
      <c r="B133" t="s">
        <v>12119</v>
      </c>
      <c r="C133" t="s">
        <v>12334</v>
      </c>
      <c r="D133" t="s">
        <v>12084</v>
      </c>
      <c r="G133" t="str">
        <f>Config!$B$7</f>
        <v>SCH/Connector.SchLib</v>
      </c>
      <c r="H133" t="s">
        <v>6975</v>
      </c>
      <c r="I133" t="s">
        <v>13386</v>
      </c>
      <c r="J133" t="s">
        <v>13391</v>
      </c>
      <c r="L133" s="1" t="s">
        <v>13429</v>
      </c>
      <c r="M133" t="s">
        <v>12330</v>
      </c>
      <c r="N133" t="s">
        <v>12085</v>
      </c>
      <c r="O133" t="s">
        <v>12102</v>
      </c>
      <c r="P133" t="s">
        <v>8447</v>
      </c>
      <c r="Q133">
        <v>30136221</v>
      </c>
    </row>
    <row r="134" spans="1:17" ht="15.75">
      <c r="A134" t="s">
        <v>12120</v>
      </c>
      <c r="B134" t="s">
        <v>12120</v>
      </c>
      <c r="C134" t="s">
        <v>12334</v>
      </c>
      <c r="D134" t="s">
        <v>12084</v>
      </c>
      <c r="G134" t="str">
        <f>Config!$B$7</f>
        <v>SCH/Connector.SchLib</v>
      </c>
      <c r="H134" t="s">
        <v>6975</v>
      </c>
      <c r="I134" t="s">
        <v>13386</v>
      </c>
      <c r="J134" t="s">
        <v>13392</v>
      </c>
      <c r="L134" s="1" t="s">
        <v>13429</v>
      </c>
      <c r="M134" t="s">
        <v>12330</v>
      </c>
      <c r="N134" t="s">
        <v>12085</v>
      </c>
      <c r="O134" t="s">
        <v>12103</v>
      </c>
      <c r="P134" t="s">
        <v>8447</v>
      </c>
      <c r="Q134">
        <v>30136222</v>
      </c>
    </row>
    <row r="135" spans="1:17" ht="15.75">
      <c r="A135" t="s">
        <v>12121</v>
      </c>
      <c r="B135" t="s">
        <v>12121</v>
      </c>
      <c r="C135" t="s">
        <v>12334</v>
      </c>
      <c r="D135" t="s">
        <v>12084</v>
      </c>
      <c r="G135" t="str">
        <f>Config!$B$7</f>
        <v>SCH/Connector.SchLib</v>
      </c>
      <c r="H135" t="s">
        <v>6975</v>
      </c>
      <c r="I135" t="s">
        <v>13386</v>
      </c>
      <c r="J135" t="s">
        <v>13393</v>
      </c>
      <c r="L135" s="1" t="s">
        <v>13429</v>
      </c>
      <c r="M135" t="s">
        <v>12330</v>
      </c>
      <c r="N135" t="s">
        <v>12085</v>
      </c>
      <c r="O135" t="s">
        <v>12104</v>
      </c>
      <c r="P135" t="s">
        <v>8447</v>
      </c>
      <c r="Q135">
        <v>30136223</v>
      </c>
    </row>
    <row r="136" spans="1:17" ht="15.75">
      <c r="A136" t="s">
        <v>12122</v>
      </c>
      <c r="B136" t="s">
        <v>12122</v>
      </c>
      <c r="C136" t="s">
        <v>12334</v>
      </c>
      <c r="D136" t="s">
        <v>12084</v>
      </c>
      <c r="G136" t="str">
        <f>Config!$B$7</f>
        <v>SCH/Connector.SchLib</v>
      </c>
      <c r="H136" t="s">
        <v>6975</v>
      </c>
      <c r="I136" t="s">
        <v>13386</v>
      </c>
      <c r="J136" t="s">
        <v>13394</v>
      </c>
      <c r="L136" s="1" t="s">
        <v>13429</v>
      </c>
      <c r="M136" t="s">
        <v>12330</v>
      </c>
      <c r="N136" t="s">
        <v>12085</v>
      </c>
      <c r="O136" t="s">
        <v>12105</v>
      </c>
      <c r="P136" t="s">
        <v>8447</v>
      </c>
      <c r="Q136">
        <v>30136224</v>
      </c>
    </row>
    <row r="137" spans="1:17" ht="15.75">
      <c r="A137" t="s">
        <v>12123</v>
      </c>
      <c r="B137" t="s">
        <v>12123</v>
      </c>
      <c r="C137" t="s">
        <v>12334</v>
      </c>
      <c r="D137" t="s">
        <v>12084</v>
      </c>
      <c r="G137" t="str">
        <f>Config!$B$7</f>
        <v>SCH/Connector.SchLib</v>
      </c>
      <c r="H137" t="s">
        <v>6975</v>
      </c>
      <c r="I137" t="s">
        <v>13386</v>
      </c>
      <c r="J137" t="s">
        <v>13395</v>
      </c>
      <c r="L137" s="1" t="s">
        <v>13429</v>
      </c>
      <c r="M137" t="s">
        <v>12330</v>
      </c>
      <c r="N137" t="s">
        <v>12085</v>
      </c>
      <c r="O137" t="s">
        <v>12390</v>
      </c>
    </row>
    <row r="138" spans="1:17" ht="15.75">
      <c r="A138" t="s">
        <v>16684</v>
      </c>
      <c r="B138" t="s">
        <v>12115</v>
      </c>
      <c r="C138" t="s">
        <v>12334</v>
      </c>
      <c r="D138" t="s">
        <v>12084</v>
      </c>
      <c r="G138" t="str">
        <f>Config!$B$7</f>
        <v>SCH/Connector.SchLib</v>
      </c>
      <c r="H138" t="s">
        <v>6975</v>
      </c>
      <c r="I138" t="s">
        <v>16685</v>
      </c>
      <c r="J138" t="s">
        <v>13387</v>
      </c>
      <c r="L138" s="1" t="s">
        <v>13429</v>
      </c>
      <c r="M138" t="s">
        <v>12330</v>
      </c>
      <c r="N138" t="s">
        <v>12085</v>
      </c>
      <c r="O138" t="s">
        <v>12098</v>
      </c>
      <c r="P138" t="s">
        <v>8447</v>
      </c>
      <c r="Q138">
        <v>30136216</v>
      </c>
    </row>
    <row r="139" spans="1:17" ht="15.75">
      <c r="A139" t="s">
        <v>16686</v>
      </c>
      <c r="B139" t="s">
        <v>12116</v>
      </c>
      <c r="C139" t="s">
        <v>12334</v>
      </c>
      <c r="D139" t="s">
        <v>12084</v>
      </c>
      <c r="G139" t="str">
        <f>Config!$B$7</f>
        <v>SCH/Connector.SchLib</v>
      </c>
      <c r="H139" t="s">
        <v>6975</v>
      </c>
      <c r="I139" t="s">
        <v>16685</v>
      </c>
      <c r="J139" t="s">
        <v>13388</v>
      </c>
      <c r="L139" s="1" t="s">
        <v>13429</v>
      </c>
      <c r="M139" t="s">
        <v>12330</v>
      </c>
      <c r="N139" t="s">
        <v>12085</v>
      </c>
      <c r="O139" t="s">
        <v>12099</v>
      </c>
      <c r="P139" t="s">
        <v>8447</v>
      </c>
      <c r="Q139">
        <v>30136217</v>
      </c>
    </row>
    <row r="140" spans="1:17" ht="15.75">
      <c r="A140" t="s">
        <v>16687</v>
      </c>
      <c r="B140" t="s">
        <v>12087</v>
      </c>
      <c r="C140" t="s">
        <v>12334</v>
      </c>
      <c r="D140" t="s">
        <v>12084</v>
      </c>
      <c r="G140" t="str">
        <f>Config!$B$7</f>
        <v>SCH/Connector.SchLib</v>
      </c>
      <c r="H140" t="s">
        <v>6975</v>
      </c>
      <c r="I140" t="s">
        <v>16685</v>
      </c>
      <c r="J140" t="s">
        <v>13385</v>
      </c>
      <c r="L140" s="1" t="s">
        <v>13429</v>
      </c>
      <c r="M140" t="s">
        <v>12330</v>
      </c>
      <c r="N140" t="s">
        <v>12085</v>
      </c>
      <c r="O140" t="s">
        <v>12086</v>
      </c>
      <c r="P140" t="s">
        <v>8447</v>
      </c>
      <c r="Q140">
        <v>30136218</v>
      </c>
    </row>
    <row r="141" spans="1:17" ht="15.75">
      <c r="A141" t="s">
        <v>16688</v>
      </c>
      <c r="B141" t="s">
        <v>12117</v>
      </c>
      <c r="C141" t="s">
        <v>12334</v>
      </c>
      <c r="D141" t="s">
        <v>12084</v>
      </c>
      <c r="G141" t="str">
        <f>Config!$B$7</f>
        <v>SCH/Connector.SchLib</v>
      </c>
      <c r="H141" t="s">
        <v>6975</v>
      </c>
      <c r="I141" t="s">
        <v>16685</v>
      </c>
      <c r="J141" t="s">
        <v>13389</v>
      </c>
      <c r="L141" s="1" t="s">
        <v>13429</v>
      </c>
      <c r="M141" t="s">
        <v>12330</v>
      </c>
      <c r="N141" t="s">
        <v>12085</v>
      </c>
      <c r="O141" t="s">
        <v>12100</v>
      </c>
      <c r="P141" t="s">
        <v>8447</v>
      </c>
      <c r="Q141">
        <v>30136219</v>
      </c>
    </row>
    <row r="142" spans="1:17" ht="15.75">
      <c r="A142" t="s">
        <v>16689</v>
      </c>
      <c r="B142" t="s">
        <v>12118</v>
      </c>
      <c r="C142" t="s">
        <v>12334</v>
      </c>
      <c r="D142" t="s">
        <v>12084</v>
      </c>
      <c r="G142" t="str">
        <f>Config!$B$7</f>
        <v>SCH/Connector.SchLib</v>
      </c>
      <c r="H142" t="s">
        <v>6975</v>
      </c>
      <c r="I142" t="s">
        <v>16685</v>
      </c>
      <c r="J142" t="s">
        <v>13390</v>
      </c>
      <c r="L142" s="1" t="s">
        <v>13429</v>
      </c>
      <c r="M142" t="s">
        <v>12330</v>
      </c>
      <c r="N142" t="s">
        <v>12085</v>
      </c>
      <c r="O142" t="s">
        <v>12101</v>
      </c>
      <c r="P142" t="s">
        <v>8447</v>
      </c>
      <c r="Q142">
        <v>30136220</v>
      </c>
    </row>
    <row r="143" spans="1:17" ht="15.75">
      <c r="A143" t="s">
        <v>16690</v>
      </c>
      <c r="B143" t="s">
        <v>12119</v>
      </c>
      <c r="C143" t="s">
        <v>12334</v>
      </c>
      <c r="D143" t="s">
        <v>12084</v>
      </c>
      <c r="G143" t="str">
        <f>Config!$B$7</f>
        <v>SCH/Connector.SchLib</v>
      </c>
      <c r="H143" t="s">
        <v>6975</v>
      </c>
      <c r="I143" t="s">
        <v>16685</v>
      </c>
      <c r="J143" t="s">
        <v>13391</v>
      </c>
      <c r="L143" s="1" t="s">
        <v>13429</v>
      </c>
      <c r="M143" t="s">
        <v>12330</v>
      </c>
      <c r="N143" t="s">
        <v>12085</v>
      </c>
      <c r="O143" t="s">
        <v>12102</v>
      </c>
      <c r="P143" t="s">
        <v>8447</v>
      </c>
      <c r="Q143">
        <v>30136221</v>
      </c>
    </row>
    <row r="144" spans="1:17" ht="15.75">
      <c r="A144" t="s">
        <v>16691</v>
      </c>
      <c r="B144" t="s">
        <v>12120</v>
      </c>
      <c r="C144" t="s">
        <v>12334</v>
      </c>
      <c r="D144" t="s">
        <v>12084</v>
      </c>
      <c r="G144" t="str">
        <f>Config!$B$7</f>
        <v>SCH/Connector.SchLib</v>
      </c>
      <c r="H144" t="s">
        <v>6975</v>
      </c>
      <c r="I144" t="s">
        <v>16685</v>
      </c>
      <c r="J144" t="s">
        <v>13392</v>
      </c>
      <c r="L144" s="1" t="s">
        <v>13429</v>
      </c>
      <c r="M144" t="s">
        <v>12330</v>
      </c>
      <c r="N144" t="s">
        <v>12085</v>
      </c>
      <c r="O144" t="s">
        <v>12103</v>
      </c>
      <c r="P144" t="s">
        <v>8447</v>
      </c>
      <c r="Q144">
        <v>30136222</v>
      </c>
    </row>
    <row r="145" spans="1:17" ht="15.75">
      <c r="A145" t="s">
        <v>16692</v>
      </c>
      <c r="B145" t="s">
        <v>12121</v>
      </c>
      <c r="C145" t="s">
        <v>12334</v>
      </c>
      <c r="D145" t="s">
        <v>12084</v>
      </c>
      <c r="G145" t="str">
        <f>Config!$B$7</f>
        <v>SCH/Connector.SchLib</v>
      </c>
      <c r="H145" t="s">
        <v>6975</v>
      </c>
      <c r="I145" t="s">
        <v>16685</v>
      </c>
      <c r="J145" t="s">
        <v>13393</v>
      </c>
      <c r="L145" s="1" t="s">
        <v>13429</v>
      </c>
      <c r="M145" t="s">
        <v>12330</v>
      </c>
      <c r="N145" t="s">
        <v>12085</v>
      </c>
      <c r="O145" t="s">
        <v>12104</v>
      </c>
      <c r="P145" t="s">
        <v>8447</v>
      </c>
      <c r="Q145">
        <v>30136223</v>
      </c>
    </row>
    <row r="146" spans="1:17" ht="15.75">
      <c r="A146" t="s">
        <v>16693</v>
      </c>
      <c r="B146" t="s">
        <v>12122</v>
      </c>
      <c r="C146" t="s">
        <v>12334</v>
      </c>
      <c r="D146" t="s">
        <v>12084</v>
      </c>
      <c r="G146" t="str">
        <f>Config!$B$7</f>
        <v>SCH/Connector.SchLib</v>
      </c>
      <c r="H146" t="s">
        <v>6975</v>
      </c>
      <c r="I146" t="s">
        <v>16685</v>
      </c>
      <c r="J146" t="s">
        <v>13394</v>
      </c>
      <c r="L146" s="1" t="s">
        <v>13429</v>
      </c>
      <c r="M146" t="s">
        <v>12330</v>
      </c>
      <c r="N146" t="s">
        <v>12085</v>
      </c>
      <c r="O146" t="s">
        <v>12105</v>
      </c>
      <c r="P146" t="s">
        <v>8447</v>
      </c>
      <c r="Q146">
        <v>30136224</v>
      </c>
    </row>
    <row r="147" spans="1:17" ht="15.75">
      <c r="A147" t="s">
        <v>16694</v>
      </c>
      <c r="B147" t="s">
        <v>12123</v>
      </c>
      <c r="C147" t="s">
        <v>12334</v>
      </c>
      <c r="D147" t="s">
        <v>12084</v>
      </c>
      <c r="G147" t="str">
        <f>Config!$B$7</f>
        <v>SCH/Connector.SchLib</v>
      </c>
      <c r="H147" t="s">
        <v>6975</v>
      </c>
      <c r="I147" t="s">
        <v>16685</v>
      </c>
      <c r="J147" t="s">
        <v>13395</v>
      </c>
      <c r="L147" s="1" t="s">
        <v>13429</v>
      </c>
      <c r="M147" t="s">
        <v>12330</v>
      </c>
      <c r="N147" t="s">
        <v>12085</v>
      </c>
      <c r="O147" t="s">
        <v>12390</v>
      </c>
    </row>
    <row r="148" spans="1:17" ht="15.75">
      <c r="A148" t="s">
        <v>16673</v>
      </c>
      <c r="B148" t="s">
        <v>12115</v>
      </c>
      <c r="C148" t="s">
        <v>12334</v>
      </c>
      <c r="D148" t="s">
        <v>12084</v>
      </c>
      <c r="G148" t="str">
        <f>Config!$B$7</f>
        <v>SCH/Connector.SchLib</v>
      </c>
      <c r="H148" t="s">
        <v>6975</v>
      </c>
      <c r="I148" t="s">
        <v>16683</v>
      </c>
      <c r="J148" t="s">
        <v>13387</v>
      </c>
      <c r="L148" s="1" t="s">
        <v>13429</v>
      </c>
      <c r="M148" t="s">
        <v>12330</v>
      </c>
      <c r="N148" t="s">
        <v>12085</v>
      </c>
      <c r="O148" t="s">
        <v>12098</v>
      </c>
      <c r="P148" t="s">
        <v>8447</v>
      </c>
      <c r="Q148">
        <v>30136216</v>
      </c>
    </row>
    <row r="149" spans="1:17" ht="15.75">
      <c r="A149" t="s">
        <v>16674</v>
      </c>
      <c r="B149" t="s">
        <v>12116</v>
      </c>
      <c r="C149" t="s">
        <v>12334</v>
      </c>
      <c r="D149" t="s">
        <v>12084</v>
      </c>
      <c r="G149" t="str">
        <f>Config!$B$7</f>
        <v>SCH/Connector.SchLib</v>
      </c>
      <c r="H149" t="s">
        <v>6975</v>
      </c>
      <c r="I149" t="s">
        <v>16683</v>
      </c>
      <c r="J149" t="s">
        <v>13388</v>
      </c>
      <c r="L149" s="1" t="s">
        <v>13429</v>
      </c>
      <c r="M149" t="s">
        <v>12330</v>
      </c>
      <c r="N149" t="s">
        <v>12085</v>
      </c>
      <c r="O149" t="s">
        <v>12099</v>
      </c>
      <c r="P149" t="s">
        <v>8447</v>
      </c>
      <c r="Q149">
        <v>30136217</v>
      </c>
    </row>
    <row r="150" spans="1:17" ht="15.75">
      <c r="A150" t="s">
        <v>16675</v>
      </c>
      <c r="B150" t="s">
        <v>12087</v>
      </c>
      <c r="C150" t="s">
        <v>12334</v>
      </c>
      <c r="D150" t="s">
        <v>12084</v>
      </c>
      <c r="G150" t="str">
        <f>Config!$B$7</f>
        <v>SCH/Connector.SchLib</v>
      </c>
      <c r="H150" t="s">
        <v>6975</v>
      </c>
      <c r="I150" t="s">
        <v>16683</v>
      </c>
      <c r="J150" t="s">
        <v>13385</v>
      </c>
      <c r="L150" s="1" t="s">
        <v>13429</v>
      </c>
      <c r="M150" t="s">
        <v>12330</v>
      </c>
      <c r="N150" t="s">
        <v>12085</v>
      </c>
      <c r="O150" t="s">
        <v>12086</v>
      </c>
      <c r="P150" t="s">
        <v>8447</v>
      </c>
      <c r="Q150">
        <v>30136218</v>
      </c>
    </row>
    <row r="151" spans="1:17" ht="15.75">
      <c r="A151" t="s">
        <v>16676</v>
      </c>
      <c r="B151" t="s">
        <v>12117</v>
      </c>
      <c r="C151" t="s">
        <v>12334</v>
      </c>
      <c r="D151" t="s">
        <v>12084</v>
      </c>
      <c r="G151" t="str">
        <f>Config!$B$7</f>
        <v>SCH/Connector.SchLib</v>
      </c>
      <c r="H151" t="s">
        <v>6975</v>
      </c>
      <c r="I151" t="s">
        <v>16683</v>
      </c>
      <c r="J151" t="s">
        <v>13389</v>
      </c>
      <c r="L151" s="1" t="s">
        <v>13429</v>
      </c>
      <c r="M151" t="s">
        <v>12330</v>
      </c>
      <c r="N151" t="s">
        <v>12085</v>
      </c>
      <c r="O151" t="s">
        <v>12100</v>
      </c>
      <c r="P151" t="s">
        <v>8447</v>
      </c>
      <c r="Q151">
        <v>30136219</v>
      </c>
    </row>
    <row r="152" spans="1:17" ht="15.75">
      <c r="A152" t="s">
        <v>16677</v>
      </c>
      <c r="B152" t="s">
        <v>12118</v>
      </c>
      <c r="C152" t="s">
        <v>12334</v>
      </c>
      <c r="D152" t="s">
        <v>12084</v>
      </c>
      <c r="G152" t="str">
        <f>Config!$B$7</f>
        <v>SCH/Connector.SchLib</v>
      </c>
      <c r="H152" t="s">
        <v>6975</v>
      </c>
      <c r="I152" t="s">
        <v>16683</v>
      </c>
      <c r="J152" t="s">
        <v>13390</v>
      </c>
      <c r="L152" s="1" t="s">
        <v>13429</v>
      </c>
      <c r="M152" t="s">
        <v>12330</v>
      </c>
      <c r="N152" t="s">
        <v>12085</v>
      </c>
      <c r="O152" t="s">
        <v>12101</v>
      </c>
      <c r="P152" t="s">
        <v>8447</v>
      </c>
      <c r="Q152">
        <v>30136220</v>
      </c>
    </row>
    <row r="153" spans="1:17" ht="15.75">
      <c r="A153" t="s">
        <v>16678</v>
      </c>
      <c r="B153" t="s">
        <v>12119</v>
      </c>
      <c r="C153" t="s">
        <v>12334</v>
      </c>
      <c r="D153" t="s">
        <v>12084</v>
      </c>
      <c r="G153" t="str">
        <f>Config!$B$7</f>
        <v>SCH/Connector.SchLib</v>
      </c>
      <c r="H153" t="s">
        <v>6975</v>
      </c>
      <c r="I153" t="s">
        <v>16683</v>
      </c>
      <c r="J153" t="s">
        <v>13391</v>
      </c>
      <c r="L153" s="1" t="s">
        <v>13429</v>
      </c>
      <c r="M153" t="s">
        <v>12330</v>
      </c>
      <c r="N153" t="s">
        <v>12085</v>
      </c>
      <c r="O153" t="s">
        <v>12102</v>
      </c>
      <c r="P153" t="s">
        <v>8447</v>
      </c>
      <c r="Q153">
        <v>30136221</v>
      </c>
    </row>
    <row r="154" spans="1:17" ht="15.75">
      <c r="A154" t="s">
        <v>16679</v>
      </c>
      <c r="B154" t="s">
        <v>12120</v>
      </c>
      <c r="C154" t="s">
        <v>12334</v>
      </c>
      <c r="D154" t="s">
        <v>12084</v>
      </c>
      <c r="G154" t="str">
        <f>Config!$B$7</f>
        <v>SCH/Connector.SchLib</v>
      </c>
      <c r="H154" t="s">
        <v>6975</v>
      </c>
      <c r="I154" t="s">
        <v>16683</v>
      </c>
      <c r="J154" t="s">
        <v>13392</v>
      </c>
      <c r="L154" s="1" t="s">
        <v>13429</v>
      </c>
      <c r="M154" t="s">
        <v>12330</v>
      </c>
      <c r="N154" t="s">
        <v>12085</v>
      </c>
      <c r="O154" t="s">
        <v>12103</v>
      </c>
      <c r="P154" t="s">
        <v>8447</v>
      </c>
      <c r="Q154">
        <v>30136222</v>
      </c>
    </row>
    <row r="155" spans="1:17" ht="15.75">
      <c r="A155" t="s">
        <v>16680</v>
      </c>
      <c r="B155" t="s">
        <v>12121</v>
      </c>
      <c r="C155" t="s">
        <v>12334</v>
      </c>
      <c r="D155" t="s">
        <v>12084</v>
      </c>
      <c r="G155" t="str">
        <f>Config!$B$7</f>
        <v>SCH/Connector.SchLib</v>
      </c>
      <c r="H155" t="s">
        <v>6975</v>
      </c>
      <c r="I155" t="s">
        <v>16683</v>
      </c>
      <c r="J155" t="s">
        <v>13393</v>
      </c>
      <c r="L155" s="1" t="s">
        <v>13429</v>
      </c>
      <c r="M155" t="s">
        <v>12330</v>
      </c>
      <c r="N155" t="s">
        <v>12085</v>
      </c>
      <c r="O155" t="s">
        <v>12104</v>
      </c>
      <c r="P155" t="s">
        <v>8447</v>
      </c>
      <c r="Q155">
        <v>30136223</v>
      </c>
    </row>
    <row r="156" spans="1:17" ht="15.75">
      <c r="A156" t="s">
        <v>16681</v>
      </c>
      <c r="B156" t="s">
        <v>12122</v>
      </c>
      <c r="C156" t="s">
        <v>12334</v>
      </c>
      <c r="D156" t="s">
        <v>12084</v>
      </c>
      <c r="G156" t="str">
        <f>Config!$B$7</f>
        <v>SCH/Connector.SchLib</v>
      </c>
      <c r="H156" t="s">
        <v>6975</v>
      </c>
      <c r="I156" t="s">
        <v>16683</v>
      </c>
      <c r="J156" t="s">
        <v>13394</v>
      </c>
      <c r="L156" s="1" t="s">
        <v>13429</v>
      </c>
      <c r="M156" t="s">
        <v>12330</v>
      </c>
      <c r="N156" t="s">
        <v>12085</v>
      </c>
      <c r="O156" t="s">
        <v>12105</v>
      </c>
      <c r="P156" t="s">
        <v>8447</v>
      </c>
      <c r="Q156">
        <v>30136224</v>
      </c>
    </row>
    <row r="157" spans="1:17" ht="15.75">
      <c r="A157" t="s">
        <v>16682</v>
      </c>
      <c r="B157" t="s">
        <v>12123</v>
      </c>
      <c r="C157" t="s">
        <v>12334</v>
      </c>
      <c r="D157" t="s">
        <v>12084</v>
      </c>
      <c r="G157" t="str">
        <f>Config!$B$7</f>
        <v>SCH/Connector.SchLib</v>
      </c>
      <c r="H157" t="s">
        <v>6975</v>
      </c>
      <c r="I157" t="s">
        <v>16683</v>
      </c>
      <c r="J157" t="s">
        <v>13395</v>
      </c>
      <c r="L157" s="1" t="s">
        <v>13429</v>
      </c>
      <c r="M157" t="s">
        <v>12330</v>
      </c>
      <c r="N157" t="s">
        <v>12085</v>
      </c>
      <c r="O157" t="s">
        <v>12390</v>
      </c>
    </row>
    <row r="158" spans="1:17" ht="15.75">
      <c r="A158" t="s">
        <v>16695</v>
      </c>
      <c r="B158" t="s">
        <v>12115</v>
      </c>
      <c r="C158" t="s">
        <v>12334</v>
      </c>
      <c r="D158" t="s">
        <v>12084</v>
      </c>
      <c r="G158" t="str">
        <f>Config!$B$7</f>
        <v>SCH/Connector.SchLib</v>
      </c>
      <c r="H158" t="s">
        <v>6975</v>
      </c>
      <c r="I158" t="s">
        <v>16696</v>
      </c>
      <c r="J158" t="s">
        <v>13387</v>
      </c>
      <c r="L158" s="1" t="s">
        <v>13429</v>
      </c>
      <c r="M158" t="s">
        <v>12330</v>
      </c>
      <c r="N158" t="s">
        <v>12085</v>
      </c>
      <c r="O158" t="s">
        <v>12098</v>
      </c>
      <c r="P158" t="s">
        <v>8447</v>
      </c>
      <c r="Q158">
        <v>30136216</v>
      </c>
    </row>
    <row r="159" spans="1:17" ht="15.75">
      <c r="A159" t="s">
        <v>16697</v>
      </c>
      <c r="B159" t="s">
        <v>12116</v>
      </c>
      <c r="C159" t="s">
        <v>12334</v>
      </c>
      <c r="D159" t="s">
        <v>12084</v>
      </c>
      <c r="G159" t="str">
        <f>Config!$B$7</f>
        <v>SCH/Connector.SchLib</v>
      </c>
      <c r="H159" t="s">
        <v>6975</v>
      </c>
      <c r="I159" t="s">
        <v>16696</v>
      </c>
      <c r="J159" t="s">
        <v>13388</v>
      </c>
      <c r="L159" s="1" t="s">
        <v>13429</v>
      </c>
      <c r="M159" t="s">
        <v>12330</v>
      </c>
      <c r="N159" t="s">
        <v>12085</v>
      </c>
      <c r="O159" t="s">
        <v>12099</v>
      </c>
      <c r="P159" t="s">
        <v>8447</v>
      </c>
      <c r="Q159">
        <v>30136217</v>
      </c>
    </row>
    <row r="160" spans="1:17" ht="15.75">
      <c r="A160" t="s">
        <v>16698</v>
      </c>
      <c r="B160" t="s">
        <v>12087</v>
      </c>
      <c r="C160" t="s">
        <v>12334</v>
      </c>
      <c r="D160" t="s">
        <v>12084</v>
      </c>
      <c r="G160" t="str">
        <f>Config!$B$7</f>
        <v>SCH/Connector.SchLib</v>
      </c>
      <c r="H160" t="s">
        <v>6975</v>
      </c>
      <c r="I160" t="s">
        <v>16696</v>
      </c>
      <c r="J160" t="s">
        <v>13385</v>
      </c>
      <c r="L160" s="1" t="s">
        <v>13429</v>
      </c>
      <c r="M160" t="s">
        <v>12330</v>
      </c>
      <c r="N160" t="s">
        <v>12085</v>
      </c>
      <c r="O160" t="s">
        <v>12086</v>
      </c>
      <c r="P160" t="s">
        <v>8447</v>
      </c>
      <c r="Q160">
        <v>30136218</v>
      </c>
    </row>
    <row r="161" spans="1:17" ht="15.75">
      <c r="A161" t="s">
        <v>16699</v>
      </c>
      <c r="B161" t="s">
        <v>12117</v>
      </c>
      <c r="C161" t="s">
        <v>12334</v>
      </c>
      <c r="D161" t="s">
        <v>12084</v>
      </c>
      <c r="G161" t="str">
        <f>Config!$B$7</f>
        <v>SCH/Connector.SchLib</v>
      </c>
      <c r="H161" t="s">
        <v>6975</v>
      </c>
      <c r="I161" t="s">
        <v>16696</v>
      </c>
      <c r="J161" t="s">
        <v>13389</v>
      </c>
      <c r="L161" s="1" t="s">
        <v>13429</v>
      </c>
      <c r="M161" t="s">
        <v>12330</v>
      </c>
      <c r="N161" t="s">
        <v>12085</v>
      </c>
      <c r="O161" t="s">
        <v>12100</v>
      </c>
      <c r="P161" t="s">
        <v>8447</v>
      </c>
      <c r="Q161">
        <v>30136219</v>
      </c>
    </row>
    <row r="162" spans="1:17" ht="15.75">
      <c r="A162" t="s">
        <v>16700</v>
      </c>
      <c r="B162" t="s">
        <v>12118</v>
      </c>
      <c r="C162" t="s">
        <v>12334</v>
      </c>
      <c r="D162" t="s">
        <v>12084</v>
      </c>
      <c r="G162" t="str">
        <f>Config!$B$7</f>
        <v>SCH/Connector.SchLib</v>
      </c>
      <c r="H162" t="s">
        <v>6975</v>
      </c>
      <c r="I162" t="s">
        <v>16696</v>
      </c>
      <c r="J162" t="s">
        <v>13390</v>
      </c>
      <c r="L162" s="1" t="s">
        <v>13429</v>
      </c>
      <c r="M162" t="s">
        <v>12330</v>
      </c>
      <c r="N162" t="s">
        <v>12085</v>
      </c>
      <c r="O162" t="s">
        <v>12101</v>
      </c>
      <c r="P162" t="s">
        <v>8447</v>
      </c>
      <c r="Q162">
        <v>30136220</v>
      </c>
    </row>
    <row r="163" spans="1:17" ht="15.75">
      <c r="A163" t="s">
        <v>16701</v>
      </c>
      <c r="B163" t="s">
        <v>12119</v>
      </c>
      <c r="C163" t="s">
        <v>12334</v>
      </c>
      <c r="D163" t="s">
        <v>12084</v>
      </c>
      <c r="G163" t="str">
        <f>Config!$B$7</f>
        <v>SCH/Connector.SchLib</v>
      </c>
      <c r="H163" t="s">
        <v>6975</v>
      </c>
      <c r="I163" t="s">
        <v>16696</v>
      </c>
      <c r="J163" t="s">
        <v>13391</v>
      </c>
      <c r="L163" s="1" t="s">
        <v>13429</v>
      </c>
      <c r="M163" t="s">
        <v>12330</v>
      </c>
      <c r="N163" t="s">
        <v>12085</v>
      </c>
      <c r="O163" t="s">
        <v>12102</v>
      </c>
      <c r="P163" t="s">
        <v>8447</v>
      </c>
      <c r="Q163">
        <v>30136221</v>
      </c>
    </row>
    <row r="164" spans="1:17" ht="15.75">
      <c r="A164" t="s">
        <v>16702</v>
      </c>
      <c r="B164" t="s">
        <v>12120</v>
      </c>
      <c r="C164" t="s">
        <v>12334</v>
      </c>
      <c r="D164" t="s">
        <v>12084</v>
      </c>
      <c r="G164" t="str">
        <f>Config!$B$7</f>
        <v>SCH/Connector.SchLib</v>
      </c>
      <c r="H164" t="s">
        <v>6975</v>
      </c>
      <c r="I164" t="s">
        <v>16696</v>
      </c>
      <c r="J164" t="s">
        <v>13392</v>
      </c>
      <c r="L164" s="1" t="s">
        <v>13429</v>
      </c>
      <c r="M164" t="s">
        <v>12330</v>
      </c>
      <c r="N164" t="s">
        <v>12085</v>
      </c>
      <c r="O164" t="s">
        <v>12103</v>
      </c>
      <c r="P164" t="s">
        <v>8447</v>
      </c>
      <c r="Q164">
        <v>30136222</v>
      </c>
    </row>
    <row r="165" spans="1:17" ht="15.75">
      <c r="A165" t="s">
        <v>16703</v>
      </c>
      <c r="B165" t="s">
        <v>12121</v>
      </c>
      <c r="C165" t="s">
        <v>12334</v>
      </c>
      <c r="D165" t="s">
        <v>12084</v>
      </c>
      <c r="G165" t="str">
        <f>Config!$B$7</f>
        <v>SCH/Connector.SchLib</v>
      </c>
      <c r="H165" t="s">
        <v>6975</v>
      </c>
      <c r="I165" t="s">
        <v>16696</v>
      </c>
      <c r="J165" t="s">
        <v>13393</v>
      </c>
      <c r="L165" s="1" t="s">
        <v>13429</v>
      </c>
      <c r="M165" t="s">
        <v>12330</v>
      </c>
      <c r="N165" t="s">
        <v>12085</v>
      </c>
      <c r="O165" t="s">
        <v>12104</v>
      </c>
      <c r="P165" t="s">
        <v>8447</v>
      </c>
      <c r="Q165">
        <v>30136223</v>
      </c>
    </row>
    <row r="166" spans="1:17" ht="15.75">
      <c r="A166" t="s">
        <v>16704</v>
      </c>
      <c r="B166" t="s">
        <v>12122</v>
      </c>
      <c r="C166" t="s">
        <v>12334</v>
      </c>
      <c r="D166" t="s">
        <v>12084</v>
      </c>
      <c r="G166" t="str">
        <f>Config!$B$7</f>
        <v>SCH/Connector.SchLib</v>
      </c>
      <c r="H166" t="s">
        <v>6975</v>
      </c>
      <c r="I166" t="s">
        <v>16696</v>
      </c>
      <c r="J166" t="s">
        <v>13394</v>
      </c>
      <c r="L166" s="1" t="s">
        <v>13429</v>
      </c>
      <c r="M166" t="s">
        <v>12330</v>
      </c>
      <c r="N166" t="s">
        <v>12085</v>
      </c>
      <c r="O166" t="s">
        <v>12105</v>
      </c>
      <c r="P166" t="s">
        <v>8447</v>
      </c>
      <c r="Q166">
        <v>30136224</v>
      </c>
    </row>
    <row r="167" spans="1:17" ht="15.75">
      <c r="A167" t="s">
        <v>16705</v>
      </c>
      <c r="B167" t="s">
        <v>12123</v>
      </c>
      <c r="C167" t="s">
        <v>12334</v>
      </c>
      <c r="D167" t="s">
        <v>12084</v>
      </c>
      <c r="G167" t="str">
        <f>Config!$B$7</f>
        <v>SCH/Connector.SchLib</v>
      </c>
      <c r="H167" t="s">
        <v>6975</v>
      </c>
      <c r="I167" t="s">
        <v>16696</v>
      </c>
      <c r="J167" t="s">
        <v>13395</v>
      </c>
      <c r="L167" s="1" t="s">
        <v>13429</v>
      </c>
      <c r="M167" t="s">
        <v>12330</v>
      </c>
      <c r="N167" t="s">
        <v>12085</v>
      </c>
      <c r="O167" t="s">
        <v>12390</v>
      </c>
    </row>
    <row r="168" spans="1:17" ht="15.75">
      <c r="A168" t="s">
        <v>16706</v>
      </c>
      <c r="B168" t="s">
        <v>12115</v>
      </c>
      <c r="C168" t="s">
        <v>12334</v>
      </c>
      <c r="D168" t="s">
        <v>12084</v>
      </c>
      <c r="G168" t="str">
        <f>Config!$B$7</f>
        <v>SCH/Connector.SchLib</v>
      </c>
      <c r="H168" t="s">
        <v>6975</v>
      </c>
      <c r="I168" t="s">
        <v>16707</v>
      </c>
      <c r="J168" t="s">
        <v>13387</v>
      </c>
      <c r="L168" s="1" t="s">
        <v>13429</v>
      </c>
      <c r="M168" t="s">
        <v>12330</v>
      </c>
      <c r="N168" t="s">
        <v>12085</v>
      </c>
      <c r="O168" t="s">
        <v>12098</v>
      </c>
      <c r="P168" t="s">
        <v>8447</v>
      </c>
      <c r="Q168">
        <v>30136216</v>
      </c>
    </row>
    <row r="169" spans="1:17" ht="15.75">
      <c r="A169" t="s">
        <v>16708</v>
      </c>
      <c r="B169" t="s">
        <v>12116</v>
      </c>
      <c r="C169" t="s">
        <v>12334</v>
      </c>
      <c r="D169" t="s">
        <v>12084</v>
      </c>
      <c r="G169" t="str">
        <f>Config!$B$7</f>
        <v>SCH/Connector.SchLib</v>
      </c>
      <c r="H169" t="s">
        <v>6975</v>
      </c>
      <c r="I169" t="s">
        <v>16707</v>
      </c>
      <c r="J169" t="s">
        <v>13388</v>
      </c>
      <c r="L169" s="1" t="s">
        <v>13429</v>
      </c>
      <c r="M169" t="s">
        <v>12330</v>
      </c>
      <c r="N169" t="s">
        <v>12085</v>
      </c>
      <c r="O169" t="s">
        <v>12099</v>
      </c>
      <c r="P169" t="s">
        <v>8447</v>
      </c>
      <c r="Q169">
        <v>30136217</v>
      </c>
    </row>
    <row r="170" spans="1:17" ht="15.75">
      <c r="A170" t="s">
        <v>16709</v>
      </c>
      <c r="B170" t="s">
        <v>12087</v>
      </c>
      <c r="C170" t="s">
        <v>12334</v>
      </c>
      <c r="D170" t="s">
        <v>12084</v>
      </c>
      <c r="G170" t="str">
        <f>Config!$B$7</f>
        <v>SCH/Connector.SchLib</v>
      </c>
      <c r="H170" t="s">
        <v>6975</v>
      </c>
      <c r="I170" t="s">
        <v>16707</v>
      </c>
      <c r="J170" t="s">
        <v>13385</v>
      </c>
      <c r="L170" s="1" t="s">
        <v>13429</v>
      </c>
      <c r="M170" t="s">
        <v>12330</v>
      </c>
      <c r="N170" t="s">
        <v>12085</v>
      </c>
      <c r="O170" t="s">
        <v>12086</v>
      </c>
      <c r="P170" t="s">
        <v>8447</v>
      </c>
      <c r="Q170">
        <v>30136218</v>
      </c>
    </row>
    <row r="171" spans="1:17" ht="15.75">
      <c r="A171" t="s">
        <v>16710</v>
      </c>
      <c r="B171" t="s">
        <v>12117</v>
      </c>
      <c r="C171" t="s">
        <v>12334</v>
      </c>
      <c r="D171" t="s">
        <v>12084</v>
      </c>
      <c r="G171" t="str">
        <f>Config!$B$7</f>
        <v>SCH/Connector.SchLib</v>
      </c>
      <c r="H171" t="s">
        <v>6975</v>
      </c>
      <c r="I171" t="s">
        <v>16707</v>
      </c>
      <c r="J171" t="s">
        <v>13389</v>
      </c>
      <c r="L171" s="1" t="s">
        <v>13429</v>
      </c>
      <c r="M171" t="s">
        <v>12330</v>
      </c>
      <c r="N171" t="s">
        <v>12085</v>
      </c>
      <c r="O171" t="s">
        <v>12100</v>
      </c>
      <c r="P171" t="s">
        <v>8447</v>
      </c>
      <c r="Q171">
        <v>30136219</v>
      </c>
    </row>
    <row r="172" spans="1:17" ht="15.75">
      <c r="A172" t="s">
        <v>16711</v>
      </c>
      <c r="B172" t="s">
        <v>12118</v>
      </c>
      <c r="C172" t="s">
        <v>12334</v>
      </c>
      <c r="D172" t="s">
        <v>12084</v>
      </c>
      <c r="G172" t="str">
        <f>Config!$B$7</f>
        <v>SCH/Connector.SchLib</v>
      </c>
      <c r="H172" t="s">
        <v>6975</v>
      </c>
      <c r="I172" t="s">
        <v>16707</v>
      </c>
      <c r="J172" t="s">
        <v>13390</v>
      </c>
      <c r="L172" s="1" t="s">
        <v>13429</v>
      </c>
      <c r="M172" t="s">
        <v>12330</v>
      </c>
      <c r="N172" t="s">
        <v>12085</v>
      </c>
      <c r="O172" t="s">
        <v>12101</v>
      </c>
      <c r="P172" t="s">
        <v>8447</v>
      </c>
      <c r="Q172">
        <v>30136220</v>
      </c>
    </row>
    <row r="173" spans="1:17" ht="15.75">
      <c r="A173" t="s">
        <v>16712</v>
      </c>
      <c r="B173" t="s">
        <v>12119</v>
      </c>
      <c r="C173" t="s">
        <v>12334</v>
      </c>
      <c r="D173" t="s">
        <v>12084</v>
      </c>
      <c r="G173" t="str">
        <f>Config!$B$7</f>
        <v>SCH/Connector.SchLib</v>
      </c>
      <c r="H173" t="s">
        <v>6975</v>
      </c>
      <c r="I173" t="s">
        <v>16707</v>
      </c>
      <c r="J173" t="s">
        <v>13391</v>
      </c>
      <c r="L173" s="1" t="s">
        <v>13429</v>
      </c>
      <c r="M173" t="s">
        <v>12330</v>
      </c>
      <c r="N173" t="s">
        <v>12085</v>
      </c>
      <c r="O173" t="s">
        <v>12102</v>
      </c>
      <c r="P173" t="s">
        <v>8447</v>
      </c>
      <c r="Q173">
        <v>30136221</v>
      </c>
    </row>
    <row r="174" spans="1:17" ht="15.75">
      <c r="A174" t="s">
        <v>16713</v>
      </c>
      <c r="B174" t="s">
        <v>12120</v>
      </c>
      <c r="C174" t="s">
        <v>12334</v>
      </c>
      <c r="D174" t="s">
        <v>12084</v>
      </c>
      <c r="G174" t="str">
        <f>Config!$B$7</f>
        <v>SCH/Connector.SchLib</v>
      </c>
      <c r="H174" t="s">
        <v>6975</v>
      </c>
      <c r="I174" t="s">
        <v>16707</v>
      </c>
      <c r="J174" t="s">
        <v>13392</v>
      </c>
      <c r="L174" s="1" t="s">
        <v>13429</v>
      </c>
      <c r="M174" t="s">
        <v>12330</v>
      </c>
      <c r="N174" t="s">
        <v>12085</v>
      </c>
      <c r="O174" t="s">
        <v>12103</v>
      </c>
      <c r="P174" t="s">
        <v>8447</v>
      </c>
      <c r="Q174">
        <v>30136222</v>
      </c>
    </row>
    <row r="175" spans="1:17" ht="15.75">
      <c r="A175" t="s">
        <v>16714</v>
      </c>
      <c r="B175" t="s">
        <v>12121</v>
      </c>
      <c r="C175" t="s">
        <v>12334</v>
      </c>
      <c r="D175" t="s">
        <v>12084</v>
      </c>
      <c r="G175" t="str">
        <f>Config!$B$7</f>
        <v>SCH/Connector.SchLib</v>
      </c>
      <c r="H175" t="s">
        <v>6975</v>
      </c>
      <c r="I175" t="s">
        <v>16707</v>
      </c>
      <c r="J175" t="s">
        <v>13393</v>
      </c>
      <c r="L175" s="1" t="s">
        <v>13429</v>
      </c>
      <c r="M175" t="s">
        <v>12330</v>
      </c>
      <c r="N175" t="s">
        <v>12085</v>
      </c>
      <c r="O175" t="s">
        <v>12104</v>
      </c>
      <c r="P175" t="s">
        <v>8447</v>
      </c>
      <c r="Q175">
        <v>30136223</v>
      </c>
    </row>
    <row r="176" spans="1:17" ht="15.75">
      <c r="A176" t="s">
        <v>16715</v>
      </c>
      <c r="B176" t="s">
        <v>12122</v>
      </c>
      <c r="C176" t="s">
        <v>12334</v>
      </c>
      <c r="D176" t="s">
        <v>12084</v>
      </c>
      <c r="G176" t="str">
        <f>Config!$B$7</f>
        <v>SCH/Connector.SchLib</v>
      </c>
      <c r="H176" t="s">
        <v>6975</v>
      </c>
      <c r="I176" t="s">
        <v>16707</v>
      </c>
      <c r="J176" t="s">
        <v>13394</v>
      </c>
      <c r="L176" s="1" t="s">
        <v>13429</v>
      </c>
      <c r="M176" t="s">
        <v>12330</v>
      </c>
      <c r="N176" t="s">
        <v>12085</v>
      </c>
      <c r="O176" t="s">
        <v>12105</v>
      </c>
      <c r="P176" t="s">
        <v>8447</v>
      </c>
      <c r="Q176">
        <v>30136224</v>
      </c>
    </row>
    <row r="177" spans="1:17" ht="15.75">
      <c r="A177" t="s">
        <v>16716</v>
      </c>
      <c r="B177" t="s">
        <v>12123</v>
      </c>
      <c r="C177" t="s">
        <v>12334</v>
      </c>
      <c r="D177" t="s">
        <v>12084</v>
      </c>
      <c r="G177" t="str">
        <f>Config!$B$7</f>
        <v>SCH/Connector.SchLib</v>
      </c>
      <c r="H177" t="s">
        <v>6975</v>
      </c>
      <c r="I177" t="s">
        <v>16707</v>
      </c>
      <c r="J177" t="s">
        <v>13395</v>
      </c>
      <c r="L177" s="1" t="s">
        <v>13429</v>
      </c>
      <c r="M177" t="s">
        <v>12330</v>
      </c>
      <c r="N177" t="s">
        <v>12085</v>
      </c>
      <c r="O177" t="s">
        <v>12390</v>
      </c>
    </row>
    <row r="178" spans="1:17" ht="15.75">
      <c r="A178" t="s">
        <v>16717</v>
      </c>
      <c r="B178" t="s">
        <v>12115</v>
      </c>
      <c r="C178" t="s">
        <v>12334</v>
      </c>
      <c r="D178" t="s">
        <v>12084</v>
      </c>
      <c r="G178" t="str">
        <f>Config!$B$7</f>
        <v>SCH/Connector.SchLib</v>
      </c>
      <c r="H178" t="s">
        <v>6975</v>
      </c>
      <c r="I178" t="s">
        <v>16718</v>
      </c>
      <c r="J178" t="s">
        <v>13387</v>
      </c>
      <c r="L178" s="1" t="s">
        <v>13429</v>
      </c>
      <c r="M178" t="s">
        <v>12330</v>
      </c>
      <c r="N178" t="s">
        <v>12085</v>
      </c>
      <c r="O178" t="s">
        <v>12098</v>
      </c>
      <c r="P178" t="s">
        <v>8447</v>
      </c>
      <c r="Q178">
        <v>30136216</v>
      </c>
    </row>
    <row r="179" spans="1:17" ht="15.75">
      <c r="A179" t="s">
        <v>16719</v>
      </c>
      <c r="B179" t="s">
        <v>12116</v>
      </c>
      <c r="C179" t="s">
        <v>12334</v>
      </c>
      <c r="D179" t="s">
        <v>12084</v>
      </c>
      <c r="G179" t="str">
        <f>Config!$B$7</f>
        <v>SCH/Connector.SchLib</v>
      </c>
      <c r="H179" t="s">
        <v>6975</v>
      </c>
      <c r="I179" t="s">
        <v>16718</v>
      </c>
      <c r="J179" t="s">
        <v>13388</v>
      </c>
      <c r="L179" s="1" t="s">
        <v>13429</v>
      </c>
      <c r="M179" t="s">
        <v>12330</v>
      </c>
      <c r="N179" t="s">
        <v>12085</v>
      </c>
      <c r="O179" t="s">
        <v>12099</v>
      </c>
      <c r="P179" t="s">
        <v>8447</v>
      </c>
      <c r="Q179">
        <v>30136217</v>
      </c>
    </row>
    <row r="180" spans="1:17" ht="15.75">
      <c r="A180" t="s">
        <v>16720</v>
      </c>
      <c r="B180" t="s">
        <v>12087</v>
      </c>
      <c r="C180" t="s">
        <v>12334</v>
      </c>
      <c r="D180" t="s">
        <v>12084</v>
      </c>
      <c r="G180" t="str">
        <f>Config!$B$7</f>
        <v>SCH/Connector.SchLib</v>
      </c>
      <c r="H180" t="s">
        <v>6975</v>
      </c>
      <c r="I180" t="s">
        <v>16718</v>
      </c>
      <c r="J180" t="s">
        <v>13385</v>
      </c>
      <c r="L180" s="1" t="s">
        <v>13429</v>
      </c>
      <c r="M180" t="s">
        <v>12330</v>
      </c>
      <c r="N180" t="s">
        <v>12085</v>
      </c>
      <c r="O180" t="s">
        <v>12086</v>
      </c>
      <c r="P180" t="s">
        <v>8447</v>
      </c>
      <c r="Q180">
        <v>30136218</v>
      </c>
    </row>
    <row r="181" spans="1:17" ht="15.75">
      <c r="A181" t="s">
        <v>16721</v>
      </c>
      <c r="B181" t="s">
        <v>12117</v>
      </c>
      <c r="C181" t="s">
        <v>12334</v>
      </c>
      <c r="D181" t="s">
        <v>12084</v>
      </c>
      <c r="G181" t="str">
        <f>Config!$B$7</f>
        <v>SCH/Connector.SchLib</v>
      </c>
      <c r="H181" t="s">
        <v>6975</v>
      </c>
      <c r="I181" t="s">
        <v>16718</v>
      </c>
      <c r="J181" t="s">
        <v>13389</v>
      </c>
      <c r="L181" s="1" t="s">
        <v>13429</v>
      </c>
      <c r="M181" t="s">
        <v>12330</v>
      </c>
      <c r="N181" t="s">
        <v>12085</v>
      </c>
      <c r="O181" t="s">
        <v>12100</v>
      </c>
      <c r="P181" t="s">
        <v>8447</v>
      </c>
      <c r="Q181">
        <v>30136219</v>
      </c>
    </row>
    <row r="182" spans="1:17" ht="15.75">
      <c r="A182" t="s">
        <v>16722</v>
      </c>
      <c r="B182" t="s">
        <v>12118</v>
      </c>
      <c r="C182" t="s">
        <v>12334</v>
      </c>
      <c r="D182" t="s">
        <v>12084</v>
      </c>
      <c r="G182" t="str">
        <f>Config!$B$7</f>
        <v>SCH/Connector.SchLib</v>
      </c>
      <c r="H182" t="s">
        <v>6975</v>
      </c>
      <c r="I182" t="s">
        <v>16718</v>
      </c>
      <c r="J182" t="s">
        <v>13390</v>
      </c>
      <c r="L182" s="1" t="s">
        <v>13429</v>
      </c>
      <c r="M182" t="s">
        <v>12330</v>
      </c>
      <c r="N182" t="s">
        <v>12085</v>
      </c>
      <c r="O182" t="s">
        <v>12101</v>
      </c>
      <c r="P182" t="s">
        <v>8447</v>
      </c>
      <c r="Q182">
        <v>30136220</v>
      </c>
    </row>
    <row r="183" spans="1:17" ht="15.75">
      <c r="A183" t="s">
        <v>16723</v>
      </c>
      <c r="B183" t="s">
        <v>12119</v>
      </c>
      <c r="C183" t="s">
        <v>12334</v>
      </c>
      <c r="D183" t="s">
        <v>12084</v>
      </c>
      <c r="G183" t="str">
        <f>Config!$B$7</f>
        <v>SCH/Connector.SchLib</v>
      </c>
      <c r="H183" t="s">
        <v>6975</v>
      </c>
      <c r="I183" t="s">
        <v>16718</v>
      </c>
      <c r="J183" t="s">
        <v>13391</v>
      </c>
      <c r="L183" s="1" t="s">
        <v>13429</v>
      </c>
      <c r="M183" t="s">
        <v>12330</v>
      </c>
      <c r="N183" t="s">
        <v>12085</v>
      </c>
      <c r="O183" t="s">
        <v>12102</v>
      </c>
      <c r="P183" t="s">
        <v>8447</v>
      </c>
      <c r="Q183">
        <v>30136221</v>
      </c>
    </row>
    <row r="184" spans="1:17" ht="15.75">
      <c r="A184" t="s">
        <v>16724</v>
      </c>
      <c r="B184" t="s">
        <v>12120</v>
      </c>
      <c r="C184" t="s">
        <v>12334</v>
      </c>
      <c r="D184" t="s">
        <v>12084</v>
      </c>
      <c r="G184" t="str">
        <f>Config!$B$7</f>
        <v>SCH/Connector.SchLib</v>
      </c>
      <c r="H184" t="s">
        <v>6975</v>
      </c>
      <c r="I184" t="s">
        <v>16718</v>
      </c>
      <c r="J184" t="s">
        <v>13392</v>
      </c>
      <c r="L184" s="1" t="s">
        <v>13429</v>
      </c>
      <c r="M184" t="s">
        <v>12330</v>
      </c>
      <c r="N184" t="s">
        <v>12085</v>
      </c>
      <c r="O184" t="s">
        <v>12103</v>
      </c>
      <c r="P184" t="s">
        <v>8447</v>
      </c>
      <c r="Q184">
        <v>30136222</v>
      </c>
    </row>
    <row r="185" spans="1:17" ht="15.75">
      <c r="A185" t="s">
        <v>16725</v>
      </c>
      <c r="B185" t="s">
        <v>12121</v>
      </c>
      <c r="C185" t="s">
        <v>12334</v>
      </c>
      <c r="D185" t="s">
        <v>12084</v>
      </c>
      <c r="G185" t="str">
        <f>Config!$B$7</f>
        <v>SCH/Connector.SchLib</v>
      </c>
      <c r="H185" t="s">
        <v>6975</v>
      </c>
      <c r="I185" t="s">
        <v>16718</v>
      </c>
      <c r="J185" t="s">
        <v>13393</v>
      </c>
      <c r="L185" s="1" t="s">
        <v>13429</v>
      </c>
      <c r="M185" t="s">
        <v>12330</v>
      </c>
      <c r="N185" t="s">
        <v>12085</v>
      </c>
      <c r="O185" t="s">
        <v>12104</v>
      </c>
      <c r="P185" t="s">
        <v>8447</v>
      </c>
      <c r="Q185">
        <v>30136223</v>
      </c>
    </row>
    <row r="186" spans="1:17" ht="15.75">
      <c r="A186" t="s">
        <v>16726</v>
      </c>
      <c r="B186" t="s">
        <v>12122</v>
      </c>
      <c r="C186" t="s">
        <v>12334</v>
      </c>
      <c r="D186" t="s">
        <v>12084</v>
      </c>
      <c r="G186" t="str">
        <f>Config!$B$7</f>
        <v>SCH/Connector.SchLib</v>
      </c>
      <c r="H186" t="s">
        <v>6975</v>
      </c>
      <c r="I186" t="s">
        <v>16718</v>
      </c>
      <c r="J186" t="s">
        <v>13394</v>
      </c>
      <c r="L186" s="1" t="s">
        <v>13429</v>
      </c>
      <c r="M186" t="s">
        <v>12330</v>
      </c>
      <c r="N186" t="s">
        <v>12085</v>
      </c>
      <c r="O186" t="s">
        <v>12105</v>
      </c>
      <c r="P186" t="s">
        <v>8447</v>
      </c>
      <c r="Q186">
        <v>30136224</v>
      </c>
    </row>
    <row r="187" spans="1:17" ht="15.75">
      <c r="A187" t="s">
        <v>16727</v>
      </c>
      <c r="B187" t="s">
        <v>12123</v>
      </c>
      <c r="C187" t="s">
        <v>12334</v>
      </c>
      <c r="D187" t="s">
        <v>12084</v>
      </c>
      <c r="G187" t="str">
        <f>Config!$B$7</f>
        <v>SCH/Connector.SchLib</v>
      </c>
      <c r="H187" t="s">
        <v>6975</v>
      </c>
      <c r="I187" t="s">
        <v>16718</v>
      </c>
      <c r="J187" t="s">
        <v>13395</v>
      </c>
      <c r="L187" s="1" t="s">
        <v>13429</v>
      </c>
      <c r="M187" t="s">
        <v>12330</v>
      </c>
      <c r="N187" t="s">
        <v>12085</v>
      </c>
      <c r="O187" t="s">
        <v>12390</v>
      </c>
    </row>
    <row r="188" spans="1:17" ht="15.75">
      <c r="A188" t="s">
        <v>12263</v>
      </c>
      <c r="B188" t="s">
        <v>12263</v>
      </c>
      <c r="C188" t="s">
        <v>12335</v>
      </c>
      <c r="D188" t="s">
        <v>12084</v>
      </c>
      <c r="G188" t="str">
        <f>Config!$B$7</f>
        <v>SCH/Connector.SchLib</v>
      </c>
      <c r="H188" t="s">
        <v>6997</v>
      </c>
      <c r="I188" s="39"/>
      <c r="J188" s="39"/>
      <c r="L188" s="1" t="s">
        <v>13429</v>
      </c>
      <c r="M188" t="s">
        <v>12331</v>
      </c>
      <c r="N188" t="s">
        <v>12085</v>
      </c>
      <c r="O188" t="s">
        <v>12271</v>
      </c>
    </row>
    <row r="189" spans="1:17" ht="15.75">
      <c r="A189" t="s">
        <v>12264</v>
      </c>
      <c r="B189" t="s">
        <v>12264</v>
      </c>
      <c r="C189" t="s">
        <v>12335</v>
      </c>
      <c r="D189" t="s">
        <v>12084</v>
      </c>
      <c r="G189" t="str">
        <f>Config!$B$7</f>
        <v>SCH/Connector.SchLib</v>
      </c>
      <c r="H189" t="s">
        <v>6997</v>
      </c>
      <c r="I189" s="39"/>
      <c r="J189" s="39"/>
      <c r="L189" s="1" t="s">
        <v>13429</v>
      </c>
      <c r="M189" t="s">
        <v>12331</v>
      </c>
      <c r="N189" t="s">
        <v>12085</v>
      </c>
      <c r="O189" t="s">
        <v>12272</v>
      </c>
      <c r="P189" t="s">
        <v>8447</v>
      </c>
      <c r="Q189">
        <v>14021779</v>
      </c>
    </row>
    <row r="190" spans="1:17" ht="15.75">
      <c r="A190" t="s">
        <v>12265</v>
      </c>
      <c r="B190" t="s">
        <v>12265</v>
      </c>
      <c r="C190" t="s">
        <v>12335</v>
      </c>
      <c r="D190" t="s">
        <v>12084</v>
      </c>
      <c r="G190" t="str">
        <f>Config!$B$7</f>
        <v>SCH/Connector.SchLib</v>
      </c>
      <c r="H190" t="s">
        <v>6997</v>
      </c>
      <c r="I190" s="39"/>
      <c r="J190" s="39"/>
      <c r="L190" s="1" t="s">
        <v>13429</v>
      </c>
      <c r="M190" t="s">
        <v>12331</v>
      </c>
      <c r="N190" t="s">
        <v>12085</v>
      </c>
      <c r="O190" t="s">
        <v>12273</v>
      </c>
      <c r="P190" t="s">
        <v>8447</v>
      </c>
      <c r="Q190">
        <v>14021780</v>
      </c>
    </row>
    <row r="191" spans="1:17" ht="15.75">
      <c r="A191" t="s">
        <v>12266</v>
      </c>
      <c r="B191" t="s">
        <v>12266</v>
      </c>
      <c r="C191" t="s">
        <v>12335</v>
      </c>
      <c r="D191" t="s">
        <v>12084</v>
      </c>
      <c r="G191" t="str">
        <f>Config!$B$7</f>
        <v>SCH/Connector.SchLib</v>
      </c>
      <c r="H191" t="s">
        <v>6997</v>
      </c>
      <c r="I191" s="39"/>
      <c r="J191" s="39"/>
      <c r="L191" s="1" t="s">
        <v>13429</v>
      </c>
      <c r="M191" t="s">
        <v>12331</v>
      </c>
      <c r="N191" t="s">
        <v>12085</v>
      </c>
      <c r="O191" t="s">
        <v>12274</v>
      </c>
      <c r="P191" t="s">
        <v>8447</v>
      </c>
      <c r="Q191">
        <v>14021781</v>
      </c>
    </row>
    <row r="192" spans="1:17" ht="15.75">
      <c r="A192" t="s">
        <v>12267</v>
      </c>
      <c r="B192" t="s">
        <v>12267</v>
      </c>
      <c r="C192" t="s">
        <v>12335</v>
      </c>
      <c r="D192" t="s">
        <v>12084</v>
      </c>
      <c r="G192" t="str">
        <f>Config!$B$7</f>
        <v>SCH/Connector.SchLib</v>
      </c>
      <c r="H192" t="s">
        <v>6997</v>
      </c>
      <c r="I192" s="39"/>
      <c r="J192" s="39"/>
      <c r="L192" s="1" t="s">
        <v>13429</v>
      </c>
      <c r="M192" t="s">
        <v>12331</v>
      </c>
      <c r="N192" t="s">
        <v>12085</v>
      </c>
      <c r="O192" t="s">
        <v>12275</v>
      </c>
    </row>
    <row r="193" spans="1:17" ht="15.75">
      <c r="A193" t="s">
        <v>12268</v>
      </c>
      <c r="B193" t="s">
        <v>12268</v>
      </c>
      <c r="C193" t="s">
        <v>12335</v>
      </c>
      <c r="D193" t="s">
        <v>12084</v>
      </c>
      <c r="G193" t="str">
        <f>Config!$B$7</f>
        <v>SCH/Connector.SchLib</v>
      </c>
      <c r="H193" t="s">
        <v>6997</v>
      </c>
      <c r="I193" s="39"/>
      <c r="J193" s="39"/>
      <c r="L193" s="1" t="s">
        <v>13429</v>
      </c>
      <c r="M193" t="s">
        <v>12331</v>
      </c>
      <c r="N193" t="s">
        <v>12085</v>
      </c>
      <c r="O193" t="s">
        <v>12276</v>
      </c>
    </row>
    <row r="194" spans="1:17" ht="15.75">
      <c r="A194" t="s">
        <v>12269</v>
      </c>
      <c r="B194" t="s">
        <v>12269</v>
      </c>
      <c r="C194" t="s">
        <v>12335</v>
      </c>
      <c r="D194" t="s">
        <v>12084</v>
      </c>
      <c r="G194" t="str">
        <f>Config!$B$7</f>
        <v>SCH/Connector.SchLib</v>
      </c>
      <c r="H194" t="s">
        <v>6997</v>
      </c>
      <c r="I194" s="39"/>
      <c r="J194" s="39"/>
      <c r="L194" s="1" t="s">
        <v>13429</v>
      </c>
      <c r="M194" t="s">
        <v>12331</v>
      </c>
      <c r="N194" t="s">
        <v>12085</v>
      </c>
      <c r="O194" t="s">
        <v>12277</v>
      </c>
    </row>
    <row r="195" spans="1:17" ht="15.75">
      <c r="A195" t="s">
        <v>12270</v>
      </c>
      <c r="B195" t="s">
        <v>12270</v>
      </c>
      <c r="C195" t="s">
        <v>12335</v>
      </c>
      <c r="D195" t="s">
        <v>12084</v>
      </c>
      <c r="G195" t="str">
        <f>Config!$B$7</f>
        <v>SCH/Connector.SchLib</v>
      </c>
      <c r="H195" t="s">
        <v>6997</v>
      </c>
      <c r="I195" s="39"/>
      <c r="J195" s="39"/>
      <c r="L195" s="1" t="s">
        <v>13429</v>
      </c>
      <c r="M195" t="s">
        <v>12331</v>
      </c>
      <c r="N195" t="s">
        <v>12085</v>
      </c>
      <c r="O195" t="s">
        <v>12278</v>
      </c>
    </row>
    <row r="196" spans="1:17" ht="15.75">
      <c r="A196" t="s">
        <v>12279</v>
      </c>
      <c r="B196" t="s">
        <v>12279</v>
      </c>
      <c r="C196" t="s">
        <v>12336</v>
      </c>
      <c r="D196" t="s">
        <v>12084</v>
      </c>
      <c r="G196" t="str">
        <f>Config!$B$7</f>
        <v>SCH/Connector.SchLib</v>
      </c>
      <c r="H196" t="s">
        <v>6975</v>
      </c>
      <c r="I196" s="39"/>
      <c r="J196" s="39"/>
      <c r="L196" s="1" t="s">
        <v>13429</v>
      </c>
      <c r="M196" t="s">
        <v>12332</v>
      </c>
      <c r="N196" t="s">
        <v>12085</v>
      </c>
      <c r="O196" t="s">
        <v>12289</v>
      </c>
      <c r="P196" t="s">
        <v>8447</v>
      </c>
      <c r="Q196">
        <v>30223684</v>
      </c>
    </row>
    <row r="197" spans="1:17" ht="15.75">
      <c r="A197" t="s">
        <v>12280</v>
      </c>
      <c r="B197" t="s">
        <v>12280</v>
      </c>
      <c r="C197" t="s">
        <v>12336</v>
      </c>
      <c r="D197" t="s">
        <v>12084</v>
      </c>
      <c r="G197" t="str">
        <f>Config!$B$7</f>
        <v>SCH/Connector.SchLib</v>
      </c>
      <c r="H197" t="s">
        <v>6975</v>
      </c>
      <c r="I197" s="39"/>
      <c r="J197" s="39"/>
      <c r="L197" s="1" t="s">
        <v>13429</v>
      </c>
      <c r="M197" t="s">
        <v>12332</v>
      </c>
      <c r="N197" t="s">
        <v>12085</v>
      </c>
      <c r="O197" t="s">
        <v>12290</v>
      </c>
      <c r="P197" t="s">
        <v>8447</v>
      </c>
      <c r="Q197">
        <v>30136412</v>
      </c>
    </row>
    <row r="198" spans="1:17" ht="15.75">
      <c r="A198" t="s">
        <v>12281</v>
      </c>
      <c r="B198" t="s">
        <v>12281</v>
      </c>
      <c r="C198" t="s">
        <v>12336</v>
      </c>
      <c r="D198" t="s">
        <v>12084</v>
      </c>
      <c r="G198" t="str">
        <f>Config!$B$7</f>
        <v>SCH/Connector.SchLib</v>
      </c>
      <c r="H198" t="s">
        <v>6975</v>
      </c>
      <c r="I198" s="39"/>
      <c r="J198" s="39"/>
      <c r="L198" s="1" t="s">
        <v>13429</v>
      </c>
      <c r="M198" t="s">
        <v>12332</v>
      </c>
      <c r="N198" t="s">
        <v>12085</v>
      </c>
      <c r="O198" t="s">
        <v>12291</v>
      </c>
      <c r="P198" t="s">
        <v>8447</v>
      </c>
      <c r="Q198">
        <v>30136413</v>
      </c>
    </row>
    <row r="199" spans="1:17" ht="15.75">
      <c r="A199" t="s">
        <v>12282</v>
      </c>
      <c r="B199" t="s">
        <v>12282</v>
      </c>
      <c r="C199" t="s">
        <v>12336</v>
      </c>
      <c r="D199" t="s">
        <v>12084</v>
      </c>
      <c r="G199" t="str">
        <f>Config!$B$7</f>
        <v>SCH/Connector.SchLib</v>
      </c>
      <c r="H199" t="s">
        <v>6975</v>
      </c>
      <c r="I199" s="39"/>
      <c r="J199" s="39"/>
      <c r="L199" s="1" t="s">
        <v>13429</v>
      </c>
      <c r="M199" t="s">
        <v>12332</v>
      </c>
      <c r="N199" t="s">
        <v>12085</v>
      </c>
      <c r="O199" t="s">
        <v>12292</v>
      </c>
    </row>
    <row r="200" spans="1:17" ht="15.75">
      <c r="A200" t="s">
        <v>12283</v>
      </c>
      <c r="B200" t="s">
        <v>12283</v>
      </c>
      <c r="C200" t="s">
        <v>12336</v>
      </c>
      <c r="D200" t="s">
        <v>12084</v>
      </c>
      <c r="G200" t="str">
        <f>Config!$B$7</f>
        <v>SCH/Connector.SchLib</v>
      </c>
      <c r="H200" t="s">
        <v>6975</v>
      </c>
      <c r="I200" s="39"/>
      <c r="J200" s="39"/>
      <c r="L200" s="1" t="s">
        <v>13429</v>
      </c>
      <c r="M200" t="s">
        <v>12332</v>
      </c>
      <c r="N200" t="s">
        <v>12085</v>
      </c>
      <c r="O200" t="s">
        <v>12293</v>
      </c>
      <c r="P200" t="s">
        <v>8447</v>
      </c>
      <c r="Q200">
        <v>30136415</v>
      </c>
    </row>
    <row r="201" spans="1:17" ht="15.75">
      <c r="A201" t="s">
        <v>12284</v>
      </c>
      <c r="B201" t="s">
        <v>12284</v>
      </c>
      <c r="C201" t="s">
        <v>12336</v>
      </c>
      <c r="D201" t="s">
        <v>12084</v>
      </c>
      <c r="G201" t="str">
        <f>Config!$B$7</f>
        <v>SCH/Connector.SchLib</v>
      </c>
      <c r="H201" t="s">
        <v>6975</v>
      </c>
      <c r="I201" s="39"/>
      <c r="J201" s="39"/>
      <c r="L201" s="1" t="s">
        <v>13429</v>
      </c>
      <c r="M201" t="s">
        <v>12332</v>
      </c>
      <c r="N201" t="s">
        <v>12085</v>
      </c>
      <c r="O201" t="s">
        <v>12294</v>
      </c>
    </row>
    <row r="202" spans="1:17" ht="15.75">
      <c r="A202" t="s">
        <v>12285</v>
      </c>
      <c r="B202" t="s">
        <v>12285</v>
      </c>
      <c r="C202" t="s">
        <v>12336</v>
      </c>
      <c r="D202" t="s">
        <v>12084</v>
      </c>
      <c r="G202" t="str">
        <f>Config!$B$7</f>
        <v>SCH/Connector.SchLib</v>
      </c>
      <c r="H202" t="s">
        <v>6975</v>
      </c>
      <c r="I202" s="39"/>
      <c r="J202" s="39"/>
      <c r="L202" s="1" t="s">
        <v>13429</v>
      </c>
      <c r="M202" t="s">
        <v>12332</v>
      </c>
      <c r="N202" t="s">
        <v>12085</v>
      </c>
      <c r="O202" t="s">
        <v>12295</v>
      </c>
    </row>
    <row r="203" spans="1:17" ht="15.75">
      <c r="A203" t="s">
        <v>12286</v>
      </c>
      <c r="B203" t="s">
        <v>12286</v>
      </c>
      <c r="C203" t="s">
        <v>12336</v>
      </c>
      <c r="D203" t="s">
        <v>12084</v>
      </c>
      <c r="G203" t="str">
        <f>Config!$B$7</f>
        <v>SCH/Connector.SchLib</v>
      </c>
      <c r="H203" t="s">
        <v>6975</v>
      </c>
      <c r="I203" s="39"/>
      <c r="J203" s="39"/>
      <c r="L203" s="1" t="s">
        <v>13429</v>
      </c>
      <c r="M203" t="s">
        <v>12332</v>
      </c>
      <c r="N203" t="s">
        <v>12085</v>
      </c>
      <c r="O203" t="s">
        <v>12296</v>
      </c>
      <c r="P203" t="s">
        <v>8447</v>
      </c>
    </row>
    <row r="204" spans="1:17" ht="15.75">
      <c r="A204" t="s">
        <v>12287</v>
      </c>
      <c r="B204" t="s">
        <v>12287</v>
      </c>
      <c r="C204" t="s">
        <v>12336</v>
      </c>
      <c r="D204" t="s">
        <v>12084</v>
      </c>
      <c r="G204" t="str">
        <f>Config!$B$7</f>
        <v>SCH/Connector.SchLib</v>
      </c>
      <c r="H204" t="s">
        <v>6975</v>
      </c>
      <c r="I204" s="39"/>
      <c r="J204" s="39"/>
      <c r="L204" s="1" t="s">
        <v>13429</v>
      </c>
      <c r="M204" t="s">
        <v>12332</v>
      </c>
      <c r="N204" t="s">
        <v>12085</v>
      </c>
      <c r="O204" t="s">
        <v>12297</v>
      </c>
      <c r="P204" t="s">
        <v>8447</v>
      </c>
      <c r="Q204">
        <v>30223687</v>
      </c>
    </row>
    <row r="205" spans="1:17" ht="15.75">
      <c r="A205" t="s">
        <v>12288</v>
      </c>
      <c r="B205" t="s">
        <v>12288</v>
      </c>
      <c r="C205" t="s">
        <v>12336</v>
      </c>
      <c r="D205" t="s">
        <v>12084</v>
      </c>
      <c r="G205" t="str">
        <f>Config!$B$7</f>
        <v>SCH/Connector.SchLib</v>
      </c>
      <c r="H205" t="s">
        <v>6975</v>
      </c>
      <c r="I205" s="39"/>
      <c r="J205" s="39"/>
      <c r="L205" s="1" t="s">
        <v>13429</v>
      </c>
      <c r="M205" t="s">
        <v>12332</v>
      </c>
      <c r="N205" t="s">
        <v>12085</v>
      </c>
      <c r="O205" t="s">
        <v>12298</v>
      </c>
      <c r="P205" t="s">
        <v>8447</v>
      </c>
      <c r="Q205">
        <v>30223688</v>
      </c>
    </row>
    <row r="206" spans="1:17" ht="15.75">
      <c r="A206" t="s">
        <v>12299</v>
      </c>
      <c r="B206" t="s">
        <v>12299</v>
      </c>
      <c r="C206" t="s">
        <v>12337</v>
      </c>
      <c r="D206" t="s">
        <v>12084</v>
      </c>
      <c r="G206" t="str">
        <f>Config!$B$7</f>
        <v>SCH/Connector.SchLib</v>
      </c>
      <c r="H206" t="s">
        <v>6975</v>
      </c>
      <c r="I206" s="39"/>
      <c r="J206" s="39"/>
      <c r="L206" s="1" t="s">
        <v>13429</v>
      </c>
      <c r="M206" t="s">
        <v>12415</v>
      </c>
      <c r="N206" t="s">
        <v>12085</v>
      </c>
      <c r="O206" t="s">
        <v>12340</v>
      </c>
    </row>
    <row r="207" spans="1:17" ht="15.75">
      <c r="A207" t="s">
        <v>12300</v>
      </c>
      <c r="B207" t="s">
        <v>12300</v>
      </c>
      <c r="C207" t="s">
        <v>12337</v>
      </c>
      <c r="D207" t="s">
        <v>12084</v>
      </c>
      <c r="G207" t="str">
        <f>Config!$B$7</f>
        <v>SCH/Connector.SchLib</v>
      </c>
      <c r="H207" t="s">
        <v>6975</v>
      </c>
      <c r="I207" s="39"/>
      <c r="J207" s="39"/>
      <c r="L207" s="1" t="s">
        <v>13429</v>
      </c>
      <c r="M207" t="s">
        <v>12415</v>
      </c>
      <c r="N207" t="s">
        <v>12085</v>
      </c>
      <c r="O207" t="s">
        <v>12341</v>
      </c>
    </row>
    <row r="208" spans="1:17" ht="15.75">
      <c r="A208" t="s">
        <v>12301</v>
      </c>
      <c r="B208" t="s">
        <v>12301</v>
      </c>
      <c r="C208" t="s">
        <v>12337</v>
      </c>
      <c r="D208" t="s">
        <v>12084</v>
      </c>
      <c r="G208" t="str">
        <f>Config!$B$7</f>
        <v>SCH/Connector.SchLib</v>
      </c>
      <c r="H208" t="s">
        <v>6975</v>
      </c>
      <c r="I208" s="39"/>
      <c r="J208" s="39"/>
      <c r="L208" s="1" t="s">
        <v>13429</v>
      </c>
      <c r="M208" t="s">
        <v>12415</v>
      </c>
      <c r="N208" t="s">
        <v>12085</v>
      </c>
      <c r="O208" t="s">
        <v>12342</v>
      </c>
    </row>
    <row r="209" spans="1:17" ht="15.75">
      <c r="A209" t="s">
        <v>12302</v>
      </c>
      <c r="B209" t="s">
        <v>12302</v>
      </c>
      <c r="C209" t="s">
        <v>12337</v>
      </c>
      <c r="D209" t="s">
        <v>12084</v>
      </c>
      <c r="G209" t="str">
        <f>Config!$B$7</f>
        <v>SCH/Connector.SchLib</v>
      </c>
      <c r="H209" t="s">
        <v>6975</v>
      </c>
      <c r="I209" s="39"/>
      <c r="J209" s="39"/>
      <c r="L209" s="1" t="s">
        <v>13429</v>
      </c>
      <c r="M209" t="s">
        <v>12415</v>
      </c>
      <c r="N209" t="s">
        <v>12085</v>
      </c>
      <c r="O209" t="s">
        <v>12343</v>
      </c>
    </row>
    <row r="210" spans="1:17" ht="15.75">
      <c r="A210" t="s">
        <v>12303</v>
      </c>
      <c r="B210" t="s">
        <v>12303</v>
      </c>
      <c r="C210" t="s">
        <v>12337</v>
      </c>
      <c r="D210" t="s">
        <v>12084</v>
      </c>
      <c r="G210" t="str">
        <f>Config!$B$7</f>
        <v>SCH/Connector.SchLib</v>
      </c>
      <c r="H210" t="s">
        <v>6975</v>
      </c>
      <c r="I210" s="39"/>
      <c r="J210" s="39"/>
      <c r="L210" s="1" t="s">
        <v>13429</v>
      </c>
      <c r="M210" t="s">
        <v>12415</v>
      </c>
      <c r="N210" t="s">
        <v>12085</v>
      </c>
      <c r="O210" t="s">
        <v>12344</v>
      </c>
    </row>
    <row r="211" spans="1:17" ht="15.75">
      <c r="A211" t="s">
        <v>12304</v>
      </c>
      <c r="B211" t="s">
        <v>12304</v>
      </c>
      <c r="C211" t="s">
        <v>12337</v>
      </c>
      <c r="D211" t="s">
        <v>12084</v>
      </c>
      <c r="G211" t="str">
        <f>Config!$B$7</f>
        <v>SCH/Connector.SchLib</v>
      </c>
      <c r="H211" t="s">
        <v>6975</v>
      </c>
      <c r="I211" s="39"/>
      <c r="J211" s="39"/>
      <c r="L211" s="1" t="s">
        <v>13429</v>
      </c>
      <c r="M211" t="s">
        <v>12415</v>
      </c>
      <c r="N211" t="s">
        <v>12085</v>
      </c>
      <c r="O211" t="s">
        <v>12345</v>
      </c>
    </row>
    <row r="212" spans="1:17" ht="15.75">
      <c r="A212" t="s">
        <v>12305</v>
      </c>
      <c r="B212" t="s">
        <v>12305</v>
      </c>
      <c r="C212" t="s">
        <v>12337</v>
      </c>
      <c r="D212" t="s">
        <v>12084</v>
      </c>
      <c r="G212" t="str">
        <f>Config!$B$7</f>
        <v>SCH/Connector.SchLib</v>
      </c>
      <c r="H212" t="s">
        <v>6975</v>
      </c>
      <c r="I212" s="39"/>
      <c r="J212" s="39"/>
      <c r="L212" s="1" t="s">
        <v>13429</v>
      </c>
      <c r="M212" t="s">
        <v>12415</v>
      </c>
      <c r="N212" t="s">
        <v>12085</v>
      </c>
      <c r="O212" t="s">
        <v>12346</v>
      </c>
    </row>
    <row r="213" spans="1:17" ht="15.75">
      <c r="A213" t="s">
        <v>12306</v>
      </c>
      <c r="B213" t="s">
        <v>12306</v>
      </c>
      <c r="C213" t="s">
        <v>12337</v>
      </c>
      <c r="D213" t="s">
        <v>12084</v>
      </c>
      <c r="G213" t="str">
        <f>Config!$B$7</f>
        <v>SCH/Connector.SchLib</v>
      </c>
      <c r="H213" t="s">
        <v>6975</v>
      </c>
      <c r="I213" s="39"/>
      <c r="J213" s="39"/>
      <c r="L213" s="1" t="s">
        <v>13429</v>
      </c>
      <c r="M213" t="s">
        <v>12415</v>
      </c>
      <c r="N213" t="s">
        <v>12085</v>
      </c>
      <c r="O213" t="s">
        <v>12347</v>
      </c>
      <c r="P213" t="s">
        <v>8447</v>
      </c>
      <c r="Q213">
        <v>30223530</v>
      </c>
    </row>
    <row r="214" spans="1:17" ht="15.75">
      <c r="A214" t="s">
        <v>12307</v>
      </c>
      <c r="B214" t="s">
        <v>12307</v>
      </c>
      <c r="C214" t="s">
        <v>12337</v>
      </c>
      <c r="D214" t="s">
        <v>12084</v>
      </c>
      <c r="G214" t="str">
        <f>Config!$B$7</f>
        <v>SCH/Connector.SchLib</v>
      </c>
      <c r="H214" t="s">
        <v>6975</v>
      </c>
      <c r="I214" s="39"/>
      <c r="J214" s="39"/>
      <c r="L214" s="1" t="s">
        <v>13429</v>
      </c>
      <c r="M214" t="s">
        <v>12415</v>
      </c>
      <c r="N214" t="s">
        <v>12085</v>
      </c>
      <c r="O214" t="s">
        <v>12348</v>
      </c>
      <c r="P214" t="s">
        <v>8447</v>
      </c>
      <c r="Q214">
        <v>30223531</v>
      </c>
    </row>
    <row r="215" spans="1:17" ht="15.75">
      <c r="A215" t="s">
        <v>12308</v>
      </c>
      <c r="B215" t="s">
        <v>12308</v>
      </c>
      <c r="C215" t="s">
        <v>12337</v>
      </c>
      <c r="D215" t="s">
        <v>12084</v>
      </c>
      <c r="G215" t="str">
        <f>Config!$B$7</f>
        <v>SCH/Connector.SchLib</v>
      </c>
      <c r="H215" t="s">
        <v>6975</v>
      </c>
      <c r="I215" s="39"/>
      <c r="J215" s="39"/>
      <c r="L215" s="1" t="s">
        <v>13429</v>
      </c>
      <c r="M215" t="s">
        <v>12415</v>
      </c>
      <c r="N215" t="s">
        <v>12085</v>
      </c>
      <c r="O215" t="s">
        <v>12349</v>
      </c>
      <c r="P215" t="s">
        <v>8447</v>
      </c>
    </row>
    <row r="216" spans="1:17" ht="15.75">
      <c r="A216" t="s">
        <v>12309</v>
      </c>
      <c r="B216" t="s">
        <v>12309</v>
      </c>
      <c r="C216" t="s">
        <v>12338</v>
      </c>
      <c r="D216" t="s">
        <v>12084</v>
      </c>
      <c r="G216" t="str">
        <f>Config!$B$7</f>
        <v>SCH/Connector.SchLib</v>
      </c>
      <c r="H216" t="s">
        <v>6975</v>
      </c>
      <c r="I216" s="39"/>
      <c r="J216" s="39"/>
      <c r="L216" s="1" t="s">
        <v>13429</v>
      </c>
      <c r="M216" t="s">
        <v>12416</v>
      </c>
      <c r="N216" t="s">
        <v>12085</v>
      </c>
      <c r="O216" t="s">
        <v>12350</v>
      </c>
      <c r="P216" t="s">
        <v>8447</v>
      </c>
      <c r="Q216">
        <v>30136211</v>
      </c>
    </row>
    <row r="217" spans="1:17" ht="15.75">
      <c r="A217" t="s">
        <v>12310</v>
      </c>
      <c r="B217" t="s">
        <v>12310</v>
      </c>
      <c r="C217" t="s">
        <v>12338</v>
      </c>
      <c r="D217" t="s">
        <v>12084</v>
      </c>
      <c r="G217" t="str">
        <f>Config!$B$7</f>
        <v>SCH/Connector.SchLib</v>
      </c>
      <c r="H217" t="s">
        <v>6975</v>
      </c>
      <c r="I217" s="39"/>
      <c r="J217" s="39"/>
      <c r="L217" s="1" t="s">
        <v>13429</v>
      </c>
      <c r="M217" t="s">
        <v>12416</v>
      </c>
      <c r="N217" t="s">
        <v>12085</v>
      </c>
      <c r="O217" t="s">
        <v>12351</v>
      </c>
      <c r="P217" t="s">
        <v>8447</v>
      </c>
      <c r="Q217">
        <v>14021753</v>
      </c>
    </row>
    <row r="218" spans="1:17" ht="15.75">
      <c r="A218" t="s">
        <v>12311</v>
      </c>
      <c r="B218" t="s">
        <v>12311</v>
      </c>
      <c r="C218" t="s">
        <v>12338</v>
      </c>
      <c r="D218" t="s">
        <v>12084</v>
      </c>
      <c r="G218" t="str">
        <f>Config!$B$7</f>
        <v>SCH/Connector.SchLib</v>
      </c>
      <c r="H218" t="s">
        <v>6975</v>
      </c>
      <c r="I218" s="39"/>
      <c r="J218" s="39"/>
      <c r="L218" s="1" t="s">
        <v>13429</v>
      </c>
      <c r="M218" t="s">
        <v>12416</v>
      </c>
      <c r="N218" t="s">
        <v>12085</v>
      </c>
      <c r="O218" t="s">
        <v>12352</v>
      </c>
      <c r="P218" t="s">
        <v>8447</v>
      </c>
      <c r="Q218">
        <v>14021754</v>
      </c>
    </row>
    <row r="219" spans="1:17" ht="15.75">
      <c r="A219" t="s">
        <v>12312</v>
      </c>
      <c r="B219" t="s">
        <v>12312</v>
      </c>
      <c r="C219" t="s">
        <v>12338</v>
      </c>
      <c r="D219" t="s">
        <v>12084</v>
      </c>
      <c r="G219" t="str">
        <f>Config!$B$7</f>
        <v>SCH/Connector.SchLib</v>
      </c>
      <c r="H219" t="s">
        <v>6975</v>
      </c>
      <c r="I219" s="39"/>
      <c r="J219" s="39"/>
      <c r="L219" s="1" t="s">
        <v>13429</v>
      </c>
      <c r="M219" t="s">
        <v>12416</v>
      </c>
      <c r="N219" t="s">
        <v>12085</v>
      </c>
      <c r="O219" t="s">
        <v>12353</v>
      </c>
      <c r="P219" t="s">
        <v>8447</v>
      </c>
      <c r="Q219">
        <v>14021757</v>
      </c>
    </row>
    <row r="220" spans="1:17" ht="15.75">
      <c r="A220" t="s">
        <v>12313</v>
      </c>
      <c r="B220" t="s">
        <v>12313</v>
      </c>
      <c r="C220" t="s">
        <v>12338</v>
      </c>
      <c r="D220" t="s">
        <v>12084</v>
      </c>
      <c r="G220" t="str">
        <f>Config!$B$7</f>
        <v>SCH/Connector.SchLib</v>
      </c>
      <c r="H220" t="s">
        <v>6975</v>
      </c>
      <c r="I220" s="39"/>
      <c r="J220" s="39"/>
      <c r="L220" s="1" t="s">
        <v>13429</v>
      </c>
      <c r="M220" t="s">
        <v>12416</v>
      </c>
      <c r="N220" t="s">
        <v>12085</v>
      </c>
      <c r="O220" t="s">
        <v>12354</v>
      </c>
      <c r="P220" t="s">
        <v>8447</v>
      </c>
      <c r="Q220">
        <v>14021755</v>
      </c>
    </row>
    <row r="221" spans="1:17" ht="15.75">
      <c r="A221" t="s">
        <v>12314</v>
      </c>
      <c r="B221" t="s">
        <v>12314</v>
      </c>
      <c r="C221" t="s">
        <v>12338</v>
      </c>
      <c r="D221" t="s">
        <v>12084</v>
      </c>
      <c r="G221" t="str">
        <f>Config!$B$7</f>
        <v>SCH/Connector.SchLib</v>
      </c>
      <c r="H221" t="s">
        <v>6975</v>
      </c>
      <c r="I221" s="39"/>
      <c r="J221" s="39"/>
      <c r="L221" s="1" t="s">
        <v>13429</v>
      </c>
      <c r="M221" t="s">
        <v>12416</v>
      </c>
      <c r="N221" t="s">
        <v>12085</v>
      </c>
      <c r="O221" t="s">
        <v>12355</v>
      </c>
      <c r="P221" t="s">
        <v>8447</v>
      </c>
      <c r="Q221">
        <v>14021756</v>
      </c>
    </row>
    <row r="222" spans="1:17" ht="15.75">
      <c r="A222" t="s">
        <v>12315</v>
      </c>
      <c r="B222" t="s">
        <v>12315</v>
      </c>
      <c r="C222" t="s">
        <v>12338</v>
      </c>
      <c r="D222" t="s">
        <v>12084</v>
      </c>
      <c r="G222" t="str">
        <f>Config!$B$7</f>
        <v>SCH/Connector.SchLib</v>
      </c>
      <c r="H222" t="s">
        <v>6975</v>
      </c>
      <c r="I222" s="39"/>
      <c r="J222" s="39"/>
      <c r="L222" s="1" t="s">
        <v>13429</v>
      </c>
      <c r="M222" t="s">
        <v>12416</v>
      </c>
      <c r="N222" t="s">
        <v>12085</v>
      </c>
      <c r="O222" t="s">
        <v>12356</v>
      </c>
    </row>
    <row r="223" spans="1:17" ht="15.75">
      <c r="A223" t="s">
        <v>12316</v>
      </c>
      <c r="B223" t="s">
        <v>12316</v>
      </c>
      <c r="C223" t="s">
        <v>12338</v>
      </c>
      <c r="D223" t="s">
        <v>12084</v>
      </c>
      <c r="G223" t="str">
        <f>Config!$B$7</f>
        <v>SCH/Connector.SchLib</v>
      </c>
      <c r="H223" t="s">
        <v>6975</v>
      </c>
      <c r="I223" s="39"/>
      <c r="J223" s="39"/>
      <c r="L223" s="1" t="s">
        <v>13429</v>
      </c>
      <c r="M223" t="s">
        <v>12416</v>
      </c>
      <c r="N223" t="s">
        <v>12085</v>
      </c>
      <c r="O223" t="s">
        <v>12357</v>
      </c>
      <c r="P223" t="s">
        <v>8447</v>
      </c>
      <c r="Q223">
        <v>30136213</v>
      </c>
    </row>
    <row r="224" spans="1:17" ht="15.75">
      <c r="A224" t="s">
        <v>12317</v>
      </c>
      <c r="B224" t="s">
        <v>12317</v>
      </c>
      <c r="C224" t="s">
        <v>12338</v>
      </c>
      <c r="D224" t="s">
        <v>12084</v>
      </c>
      <c r="G224" t="str">
        <f>Config!$B$7</f>
        <v>SCH/Connector.SchLib</v>
      </c>
      <c r="H224" t="s">
        <v>6975</v>
      </c>
      <c r="I224" s="39"/>
      <c r="J224" s="39"/>
      <c r="L224" s="1" t="s">
        <v>13429</v>
      </c>
      <c r="M224" t="s">
        <v>12416</v>
      </c>
      <c r="N224" t="s">
        <v>12085</v>
      </c>
      <c r="O224" t="s">
        <v>12358</v>
      </c>
    </row>
    <row r="225" spans="1:17" ht="15.75">
      <c r="A225" t="s">
        <v>12318</v>
      </c>
      <c r="B225" t="s">
        <v>12318</v>
      </c>
      <c r="C225" t="s">
        <v>12338</v>
      </c>
      <c r="D225" t="s">
        <v>12084</v>
      </c>
      <c r="G225" t="str">
        <f>Config!$B$7</f>
        <v>SCH/Connector.SchLib</v>
      </c>
      <c r="H225" t="s">
        <v>6975</v>
      </c>
      <c r="I225" s="39"/>
      <c r="J225" s="39"/>
      <c r="L225" s="1" t="s">
        <v>13429</v>
      </c>
      <c r="M225" t="s">
        <v>12416</v>
      </c>
      <c r="N225" t="s">
        <v>12085</v>
      </c>
      <c r="O225" t="s">
        <v>12359</v>
      </c>
    </row>
    <row r="226" spans="1:17" ht="15.75">
      <c r="A226" t="s">
        <v>12319</v>
      </c>
      <c r="B226" t="s">
        <v>12319</v>
      </c>
      <c r="C226" t="s">
        <v>12339</v>
      </c>
      <c r="D226" t="s">
        <v>12084</v>
      </c>
      <c r="G226" t="str">
        <f>Config!$B$7</f>
        <v>SCH/Connector.SchLib</v>
      </c>
      <c r="H226" t="s">
        <v>6975</v>
      </c>
      <c r="I226" s="39"/>
      <c r="J226" s="39"/>
      <c r="L226" s="1" t="s">
        <v>13429</v>
      </c>
      <c r="M226" t="s">
        <v>12417</v>
      </c>
      <c r="N226" t="s">
        <v>12085</v>
      </c>
      <c r="O226" t="s">
        <v>12360</v>
      </c>
      <c r="P226" t="s">
        <v>8447</v>
      </c>
      <c r="Q226">
        <v>14021809</v>
      </c>
    </row>
    <row r="227" spans="1:17" ht="15.75">
      <c r="A227" t="s">
        <v>12320</v>
      </c>
      <c r="B227" t="s">
        <v>12320</v>
      </c>
      <c r="C227" t="s">
        <v>12339</v>
      </c>
      <c r="D227" t="s">
        <v>12084</v>
      </c>
      <c r="G227" t="str">
        <f>Config!$B$7</f>
        <v>SCH/Connector.SchLib</v>
      </c>
      <c r="H227" t="s">
        <v>6975</v>
      </c>
      <c r="I227" s="39"/>
      <c r="J227" s="39"/>
      <c r="L227" s="1" t="s">
        <v>13429</v>
      </c>
      <c r="M227" t="s">
        <v>12417</v>
      </c>
      <c r="N227" t="s">
        <v>12085</v>
      </c>
      <c r="O227" t="s">
        <v>12361</v>
      </c>
      <c r="P227" t="s">
        <v>8447</v>
      </c>
      <c r="Q227">
        <v>14021804</v>
      </c>
    </row>
    <row r="228" spans="1:17" ht="15.75">
      <c r="A228" t="s">
        <v>12321</v>
      </c>
      <c r="B228" t="s">
        <v>12321</v>
      </c>
      <c r="C228" t="s">
        <v>12339</v>
      </c>
      <c r="D228" t="s">
        <v>12084</v>
      </c>
      <c r="G228" t="str">
        <f>Config!$B$7</f>
        <v>SCH/Connector.SchLib</v>
      </c>
      <c r="H228" t="s">
        <v>6975</v>
      </c>
      <c r="I228" s="39"/>
      <c r="J228" s="39"/>
      <c r="L228" s="1" t="s">
        <v>13429</v>
      </c>
      <c r="M228" t="s">
        <v>12417</v>
      </c>
      <c r="N228" t="s">
        <v>12085</v>
      </c>
      <c r="O228" t="s">
        <v>12362</v>
      </c>
      <c r="P228" t="s">
        <v>8447</v>
      </c>
      <c r="Q228">
        <v>14021805</v>
      </c>
    </row>
    <row r="229" spans="1:17" ht="15.75">
      <c r="A229" t="s">
        <v>12322</v>
      </c>
      <c r="B229" t="s">
        <v>12322</v>
      </c>
      <c r="C229" t="s">
        <v>12339</v>
      </c>
      <c r="D229" t="s">
        <v>12084</v>
      </c>
      <c r="G229" t="str">
        <f>Config!$B$7</f>
        <v>SCH/Connector.SchLib</v>
      </c>
      <c r="H229" t="s">
        <v>6975</v>
      </c>
      <c r="I229" s="39"/>
      <c r="J229" s="39"/>
      <c r="L229" s="1" t="s">
        <v>13429</v>
      </c>
      <c r="M229" t="s">
        <v>12417</v>
      </c>
      <c r="N229" t="s">
        <v>12085</v>
      </c>
      <c r="O229" t="s">
        <v>12363</v>
      </c>
      <c r="P229" t="s">
        <v>8447</v>
      </c>
      <c r="Q229">
        <v>14021808</v>
      </c>
    </row>
    <row r="230" spans="1:17" ht="15.75">
      <c r="A230" t="s">
        <v>12323</v>
      </c>
      <c r="B230" t="s">
        <v>12323</v>
      </c>
      <c r="C230" t="s">
        <v>12339</v>
      </c>
      <c r="D230" t="s">
        <v>12084</v>
      </c>
      <c r="G230" t="str">
        <f>Config!$B$7</f>
        <v>SCH/Connector.SchLib</v>
      </c>
      <c r="H230" t="s">
        <v>6975</v>
      </c>
      <c r="I230" s="39"/>
      <c r="J230" s="39"/>
      <c r="L230" s="1" t="s">
        <v>13429</v>
      </c>
      <c r="M230" t="s">
        <v>12417</v>
      </c>
      <c r="N230" t="s">
        <v>12085</v>
      </c>
      <c r="O230" t="s">
        <v>12364</v>
      </c>
    </row>
    <row r="231" spans="1:17" ht="15.75">
      <c r="A231" t="s">
        <v>12324</v>
      </c>
      <c r="B231" t="s">
        <v>12324</v>
      </c>
      <c r="C231" t="s">
        <v>12339</v>
      </c>
      <c r="D231" t="s">
        <v>12084</v>
      </c>
      <c r="G231" t="str">
        <f>Config!$B$7</f>
        <v>SCH/Connector.SchLib</v>
      </c>
      <c r="H231" t="s">
        <v>6975</v>
      </c>
      <c r="I231" s="39"/>
      <c r="J231" s="39"/>
      <c r="L231" s="1" t="s">
        <v>13429</v>
      </c>
      <c r="M231" t="s">
        <v>12417</v>
      </c>
      <c r="N231" t="s">
        <v>12085</v>
      </c>
      <c r="O231" t="s">
        <v>12365</v>
      </c>
    </row>
    <row r="232" spans="1:17" ht="15.75">
      <c r="A232" t="s">
        <v>12325</v>
      </c>
      <c r="B232" t="s">
        <v>12325</v>
      </c>
      <c r="C232" t="s">
        <v>12339</v>
      </c>
      <c r="D232" t="s">
        <v>12084</v>
      </c>
      <c r="G232" t="str">
        <f>Config!$B$7</f>
        <v>SCH/Connector.SchLib</v>
      </c>
      <c r="H232" t="s">
        <v>6975</v>
      </c>
      <c r="I232" s="39"/>
      <c r="J232" s="39"/>
      <c r="L232" s="1" t="s">
        <v>13429</v>
      </c>
      <c r="M232" t="s">
        <v>12417</v>
      </c>
      <c r="N232" t="s">
        <v>12085</v>
      </c>
      <c r="O232" t="s">
        <v>12366</v>
      </c>
    </row>
    <row r="233" spans="1:17" ht="15.75">
      <c r="A233" t="s">
        <v>12326</v>
      </c>
      <c r="B233" t="s">
        <v>12326</v>
      </c>
      <c r="C233" t="s">
        <v>12339</v>
      </c>
      <c r="D233" t="s">
        <v>12084</v>
      </c>
      <c r="G233" t="str">
        <f>Config!$B$7</f>
        <v>SCH/Connector.SchLib</v>
      </c>
      <c r="H233" t="s">
        <v>6975</v>
      </c>
      <c r="I233" s="39"/>
      <c r="J233" s="39"/>
      <c r="L233" s="1" t="s">
        <v>13429</v>
      </c>
      <c r="M233" t="s">
        <v>12417</v>
      </c>
      <c r="N233" t="s">
        <v>12085</v>
      </c>
      <c r="O233" t="s">
        <v>12367</v>
      </c>
    </row>
    <row r="234" spans="1:17" ht="15.75">
      <c r="A234" t="s">
        <v>12327</v>
      </c>
      <c r="B234" t="s">
        <v>12327</v>
      </c>
      <c r="C234" t="s">
        <v>12339</v>
      </c>
      <c r="D234" t="s">
        <v>12084</v>
      </c>
      <c r="G234" t="str">
        <f>Config!$B$7</f>
        <v>SCH/Connector.SchLib</v>
      </c>
      <c r="H234" t="s">
        <v>6975</v>
      </c>
      <c r="I234" s="39"/>
      <c r="J234" s="39"/>
      <c r="L234" s="1" t="s">
        <v>13429</v>
      </c>
      <c r="M234" t="s">
        <v>12417</v>
      </c>
      <c r="N234" t="s">
        <v>12085</v>
      </c>
      <c r="O234" t="s">
        <v>12368</v>
      </c>
    </row>
    <row r="235" spans="1:17" ht="15.75">
      <c r="A235" t="s">
        <v>12328</v>
      </c>
      <c r="B235" t="s">
        <v>12328</v>
      </c>
      <c r="C235" t="s">
        <v>12339</v>
      </c>
      <c r="D235" t="s">
        <v>12084</v>
      </c>
      <c r="G235" t="str">
        <f>Config!$B$7</f>
        <v>SCH/Connector.SchLib</v>
      </c>
      <c r="H235" t="s">
        <v>6975</v>
      </c>
      <c r="I235" s="39"/>
      <c r="J235" s="39"/>
      <c r="L235" s="1" t="s">
        <v>13429</v>
      </c>
      <c r="M235" t="s">
        <v>12417</v>
      </c>
      <c r="N235" t="s">
        <v>12085</v>
      </c>
      <c r="O235" t="s">
        <v>12369</v>
      </c>
    </row>
    <row r="236" spans="1:17" ht="15.75">
      <c r="A236" t="s">
        <v>12393</v>
      </c>
      <c r="B236" t="s">
        <v>12393</v>
      </c>
      <c r="C236" t="s">
        <v>12414</v>
      </c>
      <c r="D236" t="s">
        <v>12084</v>
      </c>
      <c r="G236" t="str">
        <f>Config!$B$7</f>
        <v>SCH/Connector.SchLib</v>
      </c>
      <c r="H236" t="s">
        <v>6975</v>
      </c>
      <c r="I236" s="39"/>
      <c r="J236" s="39"/>
      <c r="L236" s="1" t="s">
        <v>13429</v>
      </c>
      <c r="M236" t="s">
        <v>12370</v>
      </c>
      <c r="N236" t="s">
        <v>12085</v>
      </c>
      <c r="O236" t="s">
        <v>12371</v>
      </c>
    </row>
    <row r="237" spans="1:17" ht="15.75">
      <c r="A237" t="s">
        <v>12394</v>
      </c>
      <c r="B237" t="s">
        <v>12394</v>
      </c>
      <c r="C237" t="s">
        <v>12414</v>
      </c>
      <c r="D237" t="s">
        <v>12084</v>
      </c>
      <c r="G237" t="str">
        <f>Config!$B$7</f>
        <v>SCH/Connector.SchLib</v>
      </c>
      <c r="H237" t="s">
        <v>6975</v>
      </c>
      <c r="I237" s="39"/>
      <c r="J237" s="39"/>
      <c r="L237" s="1" t="s">
        <v>13429</v>
      </c>
      <c r="M237" t="s">
        <v>12370</v>
      </c>
      <c r="N237" t="s">
        <v>12085</v>
      </c>
      <c r="O237" t="s">
        <v>12372</v>
      </c>
      <c r="P237" t="s">
        <v>8447</v>
      </c>
      <c r="Q237">
        <v>30136393</v>
      </c>
    </row>
    <row r="238" spans="1:17" ht="15.75">
      <c r="A238" t="s">
        <v>12395</v>
      </c>
      <c r="B238" t="s">
        <v>12395</v>
      </c>
      <c r="C238" t="s">
        <v>12414</v>
      </c>
      <c r="D238" t="s">
        <v>12084</v>
      </c>
      <c r="G238" t="str">
        <f>Config!$B$7</f>
        <v>SCH/Connector.SchLib</v>
      </c>
      <c r="H238" t="s">
        <v>6975</v>
      </c>
      <c r="I238" s="39"/>
      <c r="J238" s="39"/>
      <c r="L238" s="1" t="s">
        <v>13429</v>
      </c>
      <c r="M238" t="s">
        <v>12370</v>
      </c>
      <c r="N238" t="s">
        <v>12085</v>
      </c>
      <c r="O238" t="s">
        <v>12373</v>
      </c>
      <c r="P238" t="s">
        <v>8447</v>
      </c>
      <c r="Q238">
        <v>30136394</v>
      </c>
    </row>
    <row r="239" spans="1:17" ht="15.75">
      <c r="A239" t="s">
        <v>12396</v>
      </c>
      <c r="B239" t="s">
        <v>12396</v>
      </c>
      <c r="C239" t="s">
        <v>12414</v>
      </c>
      <c r="D239" t="s">
        <v>12084</v>
      </c>
      <c r="G239" t="str">
        <f>Config!$B$7</f>
        <v>SCH/Connector.SchLib</v>
      </c>
      <c r="H239" t="s">
        <v>6975</v>
      </c>
      <c r="I239" s="39"/>
      <c r="J239" s="39"/>
      <c r="L239" s="1" t="s">
        <v>13429</v>
      </c>
      <c r="M239" t="s">
        <v>12370</v>
      </c>
      <c r="N239" t="s">
        <v>12085</v>
      </c>
      <c r="O239" t="s">
        <v>12374</v>
      </c>
      <c r="P239" t="s">
        <v>8447</v>
      </c>
      <c r="Q239">
        <v>30136395</v>
      </c>
    </row>
    <row r="240" spans="1:17" ht="15.75">
      <c r="A240" t="s">
        <v>12397</v>
      </c>
      <c r="B240" t="s">
        <v>12397</v>
      </c>
      <c r="C240" t="s">
        <v>12414</v>
      </c>
      <c r="D240" t="s">
        <v>12084</v>
      </c>
      <c r="G240" t="str">
        <f>Config!$B$7</f>
        <v>SCH/Connector.SchLib</v>
      </c>
      <c r="H240" t="s">
        <v>6975</v>
      </c>
      <c r="I240" s="39"/>
      <c r="J240" s="39"/>
      <c r="L240" s="1" t="s">
        <v>13429</v>
      </c>
      <c r="M240" t="s">
        <v>12370</v>
      </c>
      <c r="N240" t="s">
        <v>12085</v>
      </c>
      <c r="O240" t="s">
        <v>12375</v>
      </c>
      <c r="P240" t="s">
        <v>8447</v>
      </c>
      <c r="Q240">
        <v>30136396</v>
      </c>
    </row>
    <row r="241" spans="1:17" ht="15.75">
      <c r="A241" t="s">
        <v>12398</v>
      </c>
      <c r="B241" t="s">
        <v>12398</v>
      </c>
      <c r="C241" t="s">
        <v>12414</v>
      </c>
      <c r="D241" t="s">
        <v>12084</v>
      </c>
      <c r="G241" t="str">
        <f>Config!$B$7</f>
        <v>SCH/Connector.SchLib</v>
      </c>
      <c r="H241" t="s">
        <v>6975</v>
      </c>
      <c r="I241" s="39"/>
      <c r="J241" s="39"/>
      <c r="L241" s="1" t="s">
        <v>13429</v>
      </c>
      <c r="M241" t="s">
        <v>12370</v>
      </c>
      <c r="N241" t="s">
        <v>12085</v>
      </c>
      <c r="O241" t="s">
        <v>12376</v>
      </c>
    </row>
    <row r="242" spans="1:17" ht="15.75">
      <c r="A242" t="s">
        <v>12399</v>
      </c>
      <c r="B242" t="s">
        <v>12399</v>
      </c>
      <c r="C242" t="s">
        <v>12414</v>
      </c>
      <c r="D242" t="s">
        <v>12084</v>
      </c>
      <c r="G242" t="str">
        <f>Config!$B$7</f>
        <v>SCH/Connector.SchLib</v>
      </c>
      <c r="H242" t="s">
        <v>6975</v>
      </c>
      <c r="I242" s="39"/>
      <c r="J242" s="39"/>
      <c r="L242" s="1" t="s">
        <v>13429</v>
      </c>
      <c r="M242" t="s">
        <v>12370</v>
      </c>
      <c r="N242" t="s">
        <v>12085</v>
      </c>
      <c r="O242" t="s">
        <v>12377</v>
      </c>
    </row>
    <row r="243" spans="1:17" ht="15.75">
      <c r="A243" t="s">
        <v>12400</v>
      </c>
      <c r="B243" t="s">
        <v>12400</v>
      </c>
      <c r="C243" t="s">
        <v>12414</v>
      </c>
      <c r="D243" t="s">
        <v>12084</v>
      </c>
      <c r="G243" t="str">
        <f>Config!$B$7</f>
        <v>SCH/Connector.SchLib</v>
      </c>
      <c r="H243" t="s">
        <v>6975</v>
      </c>
      <c r="I243" s="39"/>
      <c r="J243" s="39"/>
      <c r="L243" s="1" t="s">
        <v>13429</v>
      </c>
      <c r="M243" t="s">
        <v>12370</v>
      </c>
      <c r="N243" t="s">
        <v>12085</v>
      </c>
      <c r="O243" t="s">
        <v>12378</v>
      </c>
      <c r="P243" t="s">
        <v>8447</v>
      </c>
      <c r="Q243">
        <v>30136399</v>
      </c>
    </row>
    <row r="244" spans="1:17" ht="15.75">
      <c r="A244" t="s">
        <v>12401</v>
      </c>
      <c r="B244" t="s">
        <v>12401</v>
      </c>
      <c r="C244" t="s">
        <v>12414</v>
      </c>
      <c r="D244" t="s">
        <v>12084</v>
      </c>
      <c r="G244" t="str">
        <f>Config!$B$7</f>
        <v>SCH/Connector.SchLib</v>
      </c>
      <c r="H244" t="s">
        <v>6975</v>
      </c>
      <c r="I244" s="39"/>
      <c r="J244" s="39"/>
      <c r="L244" s="1" t="s">
        <v>13429</v>
      </c>
      <c r="M244" t="s">
        <v>12370</v>
      </c>
      <c r="N244" t="s">
        <v>12085</v>
      </c>
      <c r="O244" t="s">
        <v>12379</v>
      </c>
      <c r="P244" t="s">
        <v>8447</v>
      </c>
      <c r="Q244">
        <v>30136400</v>
      </c>
    </row>
    <row r="245" spans="1:17" ht="15.75">
      <c r="A245" t="s">
        <v>12402</v>
      </c>
      <c r="B245" t="s">
        <v>12402</v>
      </c>
      <c r="C245" t="s">
        <v>12414</v>
      </c>
      <c r="D245" t="s">
        <v>12084</v>
      </c>
      <c r="G245" t="str">
        <f>Config!$B$7</f>
        <v>SCH/Connector.SchLib</v>
      </c>
      <c r="H245" t="s">
        <v>6975</v>
      </c>
      <c r="I245" s="39"/>
      <c r="J245" s="39"/>
      <c r="L245" s="1" t="s">
        <v>13429</v>
      </c>
      <c r="M245" t="s">
        <v>12370</v>
      </c>
      <c r="N245" t="s">
        <v>12085</v>
      </c>
      <c r="O245" t="s">
        <v>12380</v>
      </c>
    </row>
    <row r="246" spans="1:17" ht="15.75">
      <c r="A246" t="s">
        <v>12403</v>
      </c>
      <c r="B246" t="s">
        <v>12403</v>
      </c>
      <c r="C246" t="s">
        <v>12404</v>
      </c>
      <c r="D246" t="s">
        <v>12084</v>
      </c>
      <c r="G246" t="str">
        <f>Config!$B$7</f>
        <v>SCH/Connector.SchLib</v>
      </c>
      <c r="H246" t="s">
        <v>6975</v>
      </c>
      <c r="I246" s="39"/>
      <c r="J246" s="39"/>
      <c r="L246" s="1" t="s">
        <v>13429</v>
      </c>
      <c r="M246" t="s">
        <v>12392</v>
      </c>
      <c r="N246" t="s">
        <v>12085</v>
      </c>
      <c r="O246" t="s">
        <v>12381</v>
      </c>
    </row>
    <row r="247" spans="1:17" ht="15.75">
      <c r="A247" t="s">
        <v>12405</v>
      </c>
      <c r="B247" t="s">
        <v>12405</v>
      </c>
      <c r="C247" t="s">
        <v>12404</v>
      </c>
      <c r="D247" t="s">
        <v>12084</v>
      </c>
      <c r="G247" t="str">
        <f>Config!$B$7</f>
        <v>SCH/Connector.SchLib</v>
      </c>
      <c r="H247" t="s">
        <v>6975</v>
      </c>
      <c r="I247" s="39"/>
      <c r="J247" s="39"/>
      <c r="L247" s="1" t="s">
        <v>13429</v>
      </c>
      <c r="M247" t="s">
        <v>12392</v>
      </c>
      <c r="N247" t="s">
        <v>12085</v>
      </c>
      <c r="O247" t="s">
        <v>12382</v>
      </c>
      <c r="P247" t="s">
        <v>8447</v>
      </c>
      <c r="Q247">
        <v>30136403</v>
      </c>
    </row>
    <row r="248" spans="1:17" ht="15.75">
      <c r="A248" t="s">
        <v>12406</v>
      </c>
      <c r="B248" t="s">
        <v>12406</v>
      </c>
      <c r="C248" t="s">
        <v>12404</v>
      </c>
      <c r="D248" t="s">
        <v>12084</v>
      </c>
      <c r="G248" t="str">
        <f>Config!$B$7</f>
        <v>SCH/Connector.SchLib</v>
      </c>
      <c r="H248" t="s">
        <v>6975</v>
      </c>
      <c r="I248" s="39"/>
      <c r="J248" s="39"/>
      <c r="L248" s="1" t="s">
        <v>13429</v>
      </c>
      <c r="M248" t="s">
        <v>12392</v>
      </c>
      <c r="N248" t="s">
        <v>12085</v>
      </c>
      <c r="O248" t="s">
        <v>12383</v>
      </c>
      <c r="P248" t="s">
        <v>8447</v>
      </c>
      <c r="Q248">
        <v>30136404</v>
      </c>
    </row>
    <row r="249" spans="1:17" ht="15.75">
      <c r="A249" t="s">
        <v>12407</v>
      </c>
      <c r="B249" t="s">
        <v>12407</v>
      </c>
      <c r="C249" t="s">
        <v>12404</v>
      </c>
      <c r="D249" t="s">
        <v>12084</v>
      </c>
      <c r="G249" t="str">
        <f>Config!$B$7</f>
        <v>SCH/Connector.SchLib</v>
      </c>
      <c r="H249" t="s">
        <v>6975</v>
      </c>
      <c r="I249" s="39"/>
      <c r="J249" s="39"/>
      <c r="L249" s="1" t="s">
        <v>13429</v>
      </c>
      <c r="M249" t="s">
        <v>12392</v>
      </c>
      <c r="N249" t="s">
        <v>12085</v>
      </c>
      <c r="O249" t="s">
        <v>12384</v>
      </c>
      <c r="P249" t="s">
        <v>8447</v>
      </c>
      <c r="Q249">
        <v>30136405</v>
      </c>
    </row>
    <row r="250" spans="1:17" ht="15.75">
      <c r="A250" t="s">
        <v>12408</v>
      </c>
      <c r="B250" t="s">
        <v>12408</v>
      </c>
      <c r="C250" t="s">
        <v>12404</v>
      </c>
      <c r="D250" t="s">
        <v>12084</v>
      </c>
      <c r="G250" t="str">
        <f>Config!$B$7</f>
        <v>SCH/Connector.SchLib</v>
      </c>
      <c r="H250" t="s">
        <v>6975</v>
      </c>
      <c r="I250" s="39"/>
      <c r="J250" s="39"/>
      <c r="L250" s="1" t="s">
        <v>13429</v>
      </c>
      <c r="M250" t="s">
        <v>12392</v>
      </c>
      <c r="N250" t="s">
        <v>12085</v>
      </c>
      <c r="O250" t="s">
        <v>12385</v>
      </c>
    </row>
    <row r="251" spans="1:17" ht="15.75">
      <c r="A251" t="s">
        <v>12409</v>
      </c>
      <c r="B251" t="s">
        <v>12409</v>
      </c>
      <c r="C251" t="s">
        <v>12404</v>
      </c>
      <c r="D251" t="s">
        <v>12084</v>
      </c>
      <c r="G251" t="str">
        <f>Config!$B$7</f>
        <v>SCH/Connector.SchLib</v>
      </c>
      <c r="H251" t="s">
        <v>6975</v>
      </c>
      <c r="I251" s="39"/>
      <c r="J251" s="39"/>
      <c r="L251" s="1" t="s">
        <v>13429</v>
      </c>
      <c r="M251" t="s">
        <v>12392</v>
      </c>
      <c r="N251" t="s">
        <v>12085</v>
      </c>
      <c r="O251" t="s">
        <v>12386</v>
      </c>
    </row>
    <row r="252" spans="1:17" ht="15.75">
      <c r="A252" t="s">
        <v>12410</v>
      </c>
      <c r="B252" t="s">
        <v>12410</v>
      </c>
      <c r="C252" t="s">
        <v>12404</v>
      </c>
      <c r="D252" t="s">
        <v>12084</v>
      </c>
      <c r="G252" t="str">
        <f>Config!$B$7</f>
        <v>SCH/Connector.SchLib</v>
      </c>
      <c r="H252" t="s">
        <v>6975</v>
      </c>
      <c r="I252" s="39"/>
      <c r="J252" s="39"/>
      <c r="L252" s="1" t="s">
        <v>13429</v>
      </c>
      <c r="M252" t="s">
        <v>12392</v>
      </c>
      <c r="N252" t="s">
        <v>12085</v>
      </c>
      <c r="O252" t="s">
        <v>12387</v>
      </c>
    </row>
    <row r="253" spans="1:17" ht="15.75">
      <c r="A253" t="s">
        <v>12411</v>
      </c>
      <c r="B253" t="s">
        <v>12411</v>
      </c>
      <c r="C253" t="s">
        <v>12404</v>
      </c>
      <c r="D253" t="s">
        <v>12084</v>
      </c>
      <c r="G253" t="str">
        <f>Config!$B$7</f>
        <v>SCH/Connector.SchLib</v>
      </c>
      <c r="H253" t="s">
        <v>6975</v>
      </c>
      <c r="I253" s="39"/>
      <c r="J253" s="39"/>
      <c r="L253" s="1" t="s">
        <v>13429</v>
      </c>
      <c r="M253" t="s">
        <v>12392</v>
      </c>
      <c r="N253" t="s">
        <v>12085</v>
      </c>
      <c r="O253" t="s">
        <v>12388</v>
      </c>
      <c r="P253" t="s">
        <v>8447</v>
      </c>
      <c r="Q253">
        <v>30136409</v>
      </c>
    </row>
    <row r="254" spans="1:17" ht="15.75">
      <c r="A254" t="s">
        <v>12412</v>
      </c>
      <c r="B254" t="s">
        <v>12412</v>
      </c>
      <c r="C254" t="s">
        <v>12404</v>
      </c>
      <c r="D254" t="s">
        <v>12084</v>
      </c>
      <c r="G254" t="str">
        <f>Config!$B$7</f>
        <v>SCH/Connector.SchLib</v>
      </c>
      <c r="H254" t="s">
        <v>6975</v>
      </c>
      <c r="I254" s="39"/>
      <c r="J254" s="39"/>
      <c r="L254" s="1" t="s">
        <v>13429</v>
      </c>
      <c r="M254" t="s">
        <v>12392</v>
      </c>
      <c r="N254" t="s">
        <v>12085</v>
      </c>
      <c r="O254" t="s">
        <v>12389</v>
      </c>
      <c r="P254" t="s">
        <v>8447</v>
      </c>
      <c r="Q254">
        <v>30136410</v>
      </c>
    </row>
    <row r="255" spans="1:17" ht="15.75">
      <c r="A255" t="s">
        <v>12413</v>
      </c>
      <c r="B255" t="s">
        <v>12413</v>
      </c>
      <c r="C255" t="s">
        <v>12404</v>
      </c>
      <c r="D255" t="s">
        <v>12084</v>
      </c>
      <c r="G255" t="str">
        <f>Config!$B$7</f>
        <v>SCH/Connector.SchLib</v>
      </c>
      <c r="H255" t="s">
        <v>6975</v>
      </c>
      <c r="I255" s="39"/>
      <c r="J255" s="39"/>
      <c r="L255" s="1" t="s">
        <v>13429</v>
      </c>
      <c r="M255" t="s">
        <v>12392</v>
      </c>
      <c r="N255" t="s">
        <v>12085</v>
      </c>
      <c r="O255" t="s">
        <v>12391</v>
      </c>
    </row>
    <row r="256" spans="1:17" ht="15.75">
      <c r="A256" t="s">
        <v>18016</v>
      </c>
      <c r="B256" t="s">
        <v>18016</v>
      </c>
      <c r="C256" t="s">
        <v>18017</v>
      </c>
      <c r="D256" t="s">
        <v>21</v>
      </c>
      <c r="G256" t="str">
        <f>Config!$B$7</f>
        <v>SCH/Connector.SchLib</v>
      </c>
      <c r="H256" t="s">
        <v>6975</v>
      </c>
      <c r="I256" t="s">
        <v>6232</v>
      </c>
      <c r="J256" t="s">
        <v>18016</v>
      </c>
      <c r="L256" s="1" t="s">
        <v>13429</v>
      </c>
    </row>
    <row r="257" spans="1:25" ht="15.75">
      <c r="A257" t="s">
        <v>13940</v>
      </c>
      <c r="B257" t="s">
        <v>13940</v>
      </c>
      <c r="C257" t="s">
        <v>13941</v>
      </c>
      <c r="D257" t="s">
        <v>21</v>
      </c>
      <c r="G257" t="str">
        <f>Config!$B$7</f>
        <v>SCH/Connector.SchLib</v>
      </c>
      <c r="H257" t="s">
        <v>6975</v>
      </c>
      <c r="I257" t="s">
        <v>6232</v>
      </c>
      <c r="J257" t="s">
        <v>13940</v>
      </c>
      <c r="L257" s="1" t="s">
        <v>13429</v>
      </c>
    </row>
    <row r="258" spans="1:25" ht="15.75">
      <c r="A258" t="s">
        <v>13938</v>
      </c>
      <c r="B258" t="s">
        <v>13938</v>
      </c>
      <c r="C258" t="s">
        <v>13939</v>
      </c>
      <c r="D258" t="s">
        <v>21</v>
      </c>
      <c r="G258" t="str">
        <f>Config!$B$7</f>
        <v>SCH/Connector.SchLib</v>
      </c>
      <c r="H258" t="s">
        <v>6975</v>
      </c>
      <c r="I258" t="s">
        <v>6232</v>
      </c>
      <c r="J258" t="s">
        <v>13938</v>
      </c>
      <c r="L258" s="1" t="s">
        <v>13429</v>
      </c>
    </row>
    <row r="259" spans="1:25" ht="15.75">
      <c r="A259" t="s">
        <v>13936</v>
      </c>
      <c r="B259" t="s">
        <v>13936</v>
      </c>
      <c r="C259" t="s">
        <v>13937</v>
      </c>
      <c r="D259" t="s">
        <v>21</v>
      </c>
      <c r="G259" t="str">
        <f>Config!$B$7</f>
        <v>SCH/Connector.SchLib</v>
      </c>
      <c r="H259" t="s">
        <v>6975</v>
      </c>
      <c r="I259" t="s">
        <v>6232</v>
      </c>
      <c r="J259" t="s">
        <v>13936</v>
      </c>
      <c r="L259" s="1" t="s">
        <v>13429</v>
      </c>
    </row>
    <row r="260" spans="1:25" ht="15.75">
      <c r="A260" t="s">
        <v>13932</v>
      </c>
      <c r="B260" t="s">
        <v>13932</v>
      </c>
      <c r="C260" t="s">
        <v>13934</v>
      </c>
      <c r="D260" t="s">
        <v>21</v>
      </c>
      <c r="G260" t="str">
        <f>Config!$B$7</f>
        <v>SCH/Connector.SchLib</v>
      </c>
      <c r="H260" t="s">
        <v>6975</v>
      </c>
      <c r="I260" t="s">
        <v>6232</v>
      </c>
      <c r="J260" t="s">
        <v>13932</v>
      </c>
      <c r="L260" s="1" t="s">
        <v>13429</v>
      </c>
    </row>
    <row r="261" spans="1:25" ht="15.75">
      <c r="A261" t="s">
        <v>13933</v>
      </c>
      <c r="B261" t="s">
        <v>13933</v>
      </c>
      <c r="C261" t="s">
        <v>13935</v>
      </c>
      <c r="D261" t="s">
        <v>21</v>
      </c>
      <c r="G261" t="str">
        <f>Config!$B$7</f>
        <v>SCH/Connector.SchLib</v>
      </c>
      <c r="H261" t="s">
        <v>6975</v>
      </c>
      <c r="I261" t="s">
        <v>6232</v>
      </c>
      <c r="J261" t="s">
        <v>13933</v>
      </c>
      <c r="L261" s="1" t="s">
        <v>13429</v>
      </c>
    </row>
    <row r="262" spans="1:25" ht="15.75">
      <c r="A262" t="s">
        <v>12650</v>
      </c>
      <c r="B262" t="s">
        <v>12650</v>
      </c>
      <c r="C262" t="s">
        <v>12655</v>
      </c>
      <c r="D262" t="s">
        <v>21</v>
      </c>
      <c r="G262" t="str">
        <f>Config!$B$7</f>
        <v>SCH/Connector.SchLib</v>
      </c>
      <c r="H262" t="s">
        <v>6975</v>
      </c>
      <c r="I262" t="s">
        <v>6232</v>
      </c>
      <c r="J262" t="s">
        <v>12650</v>
      </c>
      <c r="L262" s="1" t="s">
        <v>13429</v>
      </c>
    </row>
    <row r="263" spans="1:25" ht="15.75">
      <c r="A263" t="s">
        <v>13316</v>
      </c>
      <c r="B263" t="s">
        <v>13316</v>
      </c>
      <c r="C263" t="s">
        <v>13317</v>
      </c>
      <c r="D263" t="s">
        <v>21</v>
      </c>
      <c r="G263" t="str">
        <f>Config!$B$7</f>
        <v>SCH/Connector.SchLib</v>
      </c>
      <c r="H263" t="s">
        <v>6975</v>
      </c>
      <c r="I263" t="s">
        <v>6232</v>
      </c>
      <c r="J263" t="s">
        <v>13316</v>
      </c>
      <c r="L263" s="1" t="s">
        <v>13429</v>
      </c>
    </row>
    <row r="264" spans="1:25" ht="15.75">
      <c r="A264" t="s">
        <v>12651</v>
      </c>
      <c r="B264" t="s">
        <v>12651</v>
      </c>
      <c r="C264" t="s">
        <v>12656</v>
      </c>
      <c r="D264" t="s">
        <v>21</v>
      </c>
      <c r="G264" t="str">
        <f>Config!$B$7</f>
        <v>SCH/Connector.SchLib</v>
      </c>
      <c r="H264" t="s">
        <v>6975</v>
      </c>
      <c r="I264" t="s">
        <v>6232</v>
      </c>
      <c r="J264" t="s">
        <v>12651</v>
      </c>
      <c r="L264" s="1" t="s">
        <v>13429</v>
      </c>
    </row>
    <row r="265" spans="1:25" ht="15.75">
      <c r="A265" t="s">
        <v>12662</v>
      </c>
      <c r="B265" t="s">
        <v>12662</v>
      </c>
      <c r="C265" t="s">
        <v>12663</v>
      </c>
      <c r="D265" t="s">
        <v>21</v>
      </c>
      <c r="G265" t="str">
        <f>Config!$B$7</f>
        <v>SCH/Connector.SchLib</v>
      </c>
      <c r="H265" t="s">
        <v>6975</v>
      </c>
      <c r="I265" t="s">
        <v>6232</v>
      </c>
      <c r="J265" t="s">
        <v>12662</v>
      </c>
      <c r="L265" s="1" t="s">
        <v>13429</v>
      </c>
    </row>
    <row r="266" spans="1:25" ht="15.75">
      <c r="A266" t="s">
        <v>12652</v>
      </c>
      <c r="B266" t="s">
        <v>12652</v>
      </c>
      <c r="C266" t="s">
        <v>12657</v>
      </c>
      <c r="D266" t="s">
        <v>21</v>
      </c>
      <c r="G266" t="str">
        <f>Config!$B$7</f>
        <v>SCH/Connector.SchLib</v>
      </c>
      <c r="H266" t="s">
        <v>6975</v>
      </c>
      <c r="I266" t="s">
        <v>6232</v>
      </c>
      <c r="J266" t="s">
        <v>12652</v>
      </c>
      <c r="L266" s="1" t="s">
        <v>13429</v>
      </c>
    </row>
    <row r="267" spans="1:25" ht="15.75">
      <c r="A267" t="s">
        <v>12660</v>
      </c>
      <c r="B267" t="s">
        <v>12660</v>
      </c>
      <c r="C267" t="s">
        <v>12661</v>
      </c>
      <c r="D267" t="s">
        <v>21</v>
      </c>
      <c r="G267" t="str">
        <f>Config!$B$7</f>
        <v>SCH/Connector.SchLib</v>
      </c>
      <c r="H267" t="s">
        <v>6975</v>
      </c>
      <c r="I267" t="s">
        <v>6232</v>
      </c>
      <c r="J267" t="s">
        <v>12660</v>
      </c>
      <c r="L267" s="1" t="s">
        <v>13429</v>
      </c>
    </row>
    <row r="268" spans="1:25" ht="15.75">
      <c r="A268" t="s">
        <v>12653</v>
      </c>
      <c r="B268" t="s">
        <v>12653</v>
      </c>
      <c r="C268" t="s">
        <v>12658</v>
      </c>
      <c r="D268" t="s">
        <v>21</v>
      </c>
      <c r="G268" t="str">
        <f>Config!$B$7</f>
        <v>SCH/Connector.SchLib</v>
      </c>
      <c r="H268" t="s">
        <v>6975</v>
      </c>
      <c r="I268" t="s">
        <v>6232</v>
      </c>
      <c r="J268" t="s">
        <v>12653</v>
      </c>
      <c r="L268" s="1" t="s">
        <v>13429</v>
      </c>
    </row>
    <row r="269" spans="1:25" ht="15.75">
      <c r="A269" t="s">
        <v>12654</v>
      </c>
      <c r="B269" t="s">
        <v>12654</v>
      </c>
      <c r="C269" t="s">
        <v>12659</v>
      </c>
      <c r="D269" t="s">
        <v>21</v>
      </c>
      <c r="G269" t="str">
        <f>Config!$B$7</f>
        <v>SCH/Connector.SchLib</v>
      </c>
      <c r="H269" t="s">
        <v>6975</v>
      </c>
      <c r="I269" t="s">
        <v>6232</v>
      </c>
      <c r="J269" t="s">
        <v>12654</v>
      </c>
      <c r="L269" s="1" t="s">
        <v>13429</v>
      </c>
    </row>
    <row r="270" spans="1:25" ht="15.75">
      <c r="A270" t="s">
        <v>13003</v>
      </c>
      <c r="B270">
        <v>5600200320</v>
      </c>
      <c r="C270" t="s">
        <v>13004</v>
      </c>
      <c r="D270" t="s">
        <v>6634</v>
      </c>
      <c r="G270" t="str">
        <f>Config!$B$7</f>
        <v>SCH/Connector.SchLib</v>
      </c>
      <c r="H270" t="s">
        <v>7841</v>
      </c>
      <c r="I270" t="str">
        <f>_xlfn.CONCAT(PrivateLibraryPath,"PCB/Molex.PcbLib")</f>
        <v>../altium_lib_private/PCB/Molex.PcbLib</v>
      </c>
      <c r="J270">
        <v>5600200320</v>
      </c>
      <c r="L270" s="1" t="s">
        <v>13429</v>
      </c>
      <c r="M270" t="s">
        <v>13005</v>
      </c>
      <c r="N270" t="s">
        <v>6634</v>
      </c>
      <c r="O270" s="14" t="s">
        <v>13006</v>
      </c>
      <c r="P270" t="s">
        <v>25</v>
      </c>
      <c r="Q270" t="s">
        <v>13007</v>
      </c>
      <c r="V270" t="s">
        <v>6634</v>
      </c>
      <c r="W270" s="14" t="s">
        <v>13006</v>
      </c>
      <c r="X270" t="s">
        <v>4559</v>
      </c>
      <c r="Y270" t="s">
        <v>13008</v>
      </c>
    </row>
    <row r="271" spans="1:25" ht="15.75">
      <c r="A271" t="s">
        <v>13009</v>
      </c>
      <c r="B271">
        <v>5023520300</v>
      </c>
      <c r="C271" t="s">
        <v>13010</v>
      </c>
      <c r="D271" t="s">
        <v>6634</v>
      </c>
      <c r="G271" t="str">
        <f>Config!$B$7</f>
        <v>SCH/Connector.SchLib</v>
      </c>
      <c r="H271" t="s">
        <v>7841</v>
      </c>
      <c r="I271" t="str">
        <f>_xlfn.CONCAT(PrivateLibraryPath,"PCB/Molex.PcbLib")</f>
        <v>../altium_lib_private/PCB/Molex.PcbLib</v>
      </c>
      <c r="J271">
        <v>5023520300</v>
      </c>
      <c r="L271" s="1" t="s">
        <v>13429</v>
      </c>
      <c r="M271" t="s">
        <v>13011</v>
      </c>
      <c r="N271" t="s">
        <v>6634</v>
      </c>
      <c r="O271">
        <v>5023520300</v>
      </c>
      <c r="P271" t="s">
        <v>25</v>
      </c>
      <c r="Q271" t="s">
        <v>13012</v>
      </c>
      <c r="V271" t="s">
        <v>6634</v>
      </c>
      <c r="W271">
        <v>5023520300</v>
      </c>
      <c r="X271" t="s">
        <v>4559</v>
      </c>
      <c r="Y271" t="s">
        <v>13013</v>
      </c>
    </row>
    <row r="272" spans="1:25" ht="15.75">
      <c r="A272" t="s">
        <v>13014</v>
      </c>
      <c r="B272">
        <v>5023520200</v>
      </c>
      <c r="C272" t="s">
        <v>13015</v>
      </c>
      <c r="D272" t="s">
        <v>6634</v>
      </c>
      <c r="G272" t="str">
        <f>Config!$B$7</f>
        <v>SCH/Connector.SchLib</v>
      </c>
      <c r="H272" t="s">
        <v>6997</v>
      </c>
      <c r="I272" t="str">
        <f>_xlfn.CONCAT(PrivateLibraryPath,"PCB/Molex.PcbLib")</f>
        <v>../altium_lib_private/PCB/Molex.PcbLib</v>
      </c>
      <c r="J272">
        <v>5023520200</v>
      </c>
      <c r="L272" s="1" t="s">
        <v>13429</v>
      </c>
      <c r="M272" s="28" t="s">
        <v>13017</v>
      </c>
      <c r="N272" t="s">
        <v>6634</v>
      </c>
      <c r="O272">
        <v>5023520200</v>
      </c>
      <c r="P272" t="s">
        <v>25</v>
      </c>
      <c r="Q272" t="s">
        <v>13016</v>
      </c>
      <c r="V272" t="s">
        <v>6634</v>
      </c>
      <c r="W272">
        <v>5023520200</v>
      </c>
      <c r="X272" t="s">
        <v>4559</v>
      </c>
      <c r="Y272" t="s">
        <v>13018</v>
      </c>
    </row>
    <row r="273" spans="1:26" ht="15.75">
      <c r="A273" t="s">
        <v>13238</v>
      </c>
      <c r="B273" t="s">
        <v>13239</v>
      </c>
      <c r="C273" t="s">
        <v>13240</v>
      </c>
      <c r="D273" t="s">
        <v>12978</v>
      </c>
      <c r="G273" t="str">
        <f>Config!$B$7</f>
        <v>SCH/Connector.SchLib</v>
      </c>
      <c r="H273" t="s">
        <v>13241</v>
      </c>
      <c r="I273" t="s">
        <v>7971</v>
      </c>
      <c r="J273" t="s">
        <v>13261</v>
      </c>
      <c r="L273" s="1" t="s">
        <v>13429</v>
      </c>
      <c r="M273" t="s">
        <v>13242</v>
      </c>
      <c r="N273" t="s">
        <v>12978</v>
      </c>
      <c r="O273" t="s">
        <v>13244</v>
      </c>
      <c r="P273" t="s">
        <v>25</v>
      </c>
      <c r="Q273" t="s">
        <v>13243</v>
      </c>
      <c r="V273" t="s">
        <v>13247</v>
      </c>
      <c r="W273" t="s">
        <v>13245</v>
      </c>
      <c r="X273" t="s">
        <v>4559</v>
      </c>
      <c r="Y273" t="s">
        <v>13246</v>
      </c>
    </row>
    <row r="274" spans="1:26" ht="15.75">
      <c r="A274" t="s">
        <v>14238</v>
      </c>
      <c r="B274" t="s">
        <v>14238</v>
      </c>
      <c r="C274" t="s">
        <v>14239</v>
      </c>
      <c r="D274" t="s">
        <v>6645</v>
      </c>
      <c r="G274" t="str">
        <f>Config!$B$7</f>
        <v>SCH/Connector.SchLib</v>
      </c>
      <c r="H274" t="s">
        <v>14236</v>
      </c>
      <c r="I274" t="s">
        <v>12256</v>
      </c>
      <c r="J274" t="s">
        <v>14235</v>
      </c>
      <c r="L274" s="1" t="s">
        <v>13429</v>
      </c>
      <c r="M274" t="s">
        <v>14237</v>
      </c>
      <c r="N274" t="s">
        <v>14240</v>
      </c>
      <c r="O274" t="s">
        <v>14241</v>
      </c>
      <c r="P274" t="s">
        <v>25</v>
      </c>
      <c r="Q274" t="s">
        <v>14242</v>
      </c>
      <c r="V274" t="s">
        <v>14243</v>
      </c>
      <c r="W274" t="s">
        <v>14241</v>
      </c>
      <c r="X274" t="s">
        <v>4559</v>
      </c>
      <c r="Y274" t="s">
        <v>14244</v>
      </c>
      <c r="Z274" t="s">
        <v>4727</v>
      </c>
    </row>
    <row r="275" spans="1:26" ht="15.75">
      <c r="A275" t="s">
        <v>14245</v>
      </c>
      <c r="B275" t="s">
        <v>14245</v>
      </c>
      <c r="C275" t="s">
        <v>14246</v>
      </c>
      <c r="D275" t="s">
        <v>14247</v>
      </c>
      <c r="G275" t="s">
        <v>4430</v>
      </c>
      <c r="H275" t="s">
        <v>14236</v>
      </c>
      <c r="I275" s="39"/>
      <c r="J275" s="39"/>
      <c r="L275" s="1" t="s">
        <v>13429</v>
      </c>
      <c r="M275" t="s">
        <v>14248</v>
      </c>
      <c r="N275" t="s">
        <v>12191</v>
      </c>
      <c r="O275" t="s">
        <v>14249</v>
      </c>
      <c r="P275" t="s">
        <v>25</v>
      </c>
      <c r="Q275" t="s">
        <v>14250</v>
      </c>
      <c r="V275" t="s">
        <v>14251</v>
      </c>
      <c r="W275" t="s">
        <v>14249</v>
      </c>
      <c r="X275" t="s">
        <v>4559</v>
      </c>
      <c r="Y275" t="s">
        <v>14252</v>
      </c>
      <c r="Z275" t="s">
        <v>4727</v>
      </c>
    </row>
    <row r="276" spans="1:26">
      <c r="A276" t="s">
        <v>18100</v>
      </c>
      <c r="B276" t="s">
        <v>12511</v>
      </c>
      <c r="C276" t="s">
        <v>18101</v>
      </c>
      <c r="D276" t="s">
        <v>21</v>
      </c>
      <c r="G276" t="s">
        <v>4430</v>
      </c>
      <c r="H276" t="s">
        <v>6975</v>
      </c>
      <c r="I276" t="s">
        <v>18102</v>
      </c>
      <c r="J276" t="s">
        <v>18103</v>
      </c>
      <c r="L276" t="s">
        <v>13429</v>
      </c>
    </row>
    <row r="277" spans="1:26">
      <c r="A277" t="s">
        <v>18104</v>
      </c>
      <c r="B277" t="s">
        <v>12893</v>
      </c>
      <c r="C277" t="s">
        <v>18105</v>
      </c>
      <c r="D277" t="s">
        <v>21</v>
      </c>
      <c r="G277" t="s">
        <v>4430</v>
      </c>
      <c r="H277" t="s">
        <v>6997</v>
      </c>
      <c r="I277" t="s">
        <v>18102</v>
      </c>
      <c r="J277" t="s">
        <v>18106</v>
      </c>
      <c r="L277" t="s">
        <v>13429</v>
      </c>
    </row>
    <row r="278" spans="1:26">
      <c r="A278" t="s">
        <v>18107</v>
      </c>
      <c r="B278" t="s">
        <v>12894</v>
      </c>
      <c r="C278" t="s">
        <v>18108</v>
      </c>
      <c r="D278" t="s">
        <v>21</v>
      </c>
      <c r="G278" t="s">
        <v>4430</v>
      </c>
      <c r="H278" t="s">
        <v>7841</v>
      </c>
      <c r="I278" t="s">
        <v>18102</v>
      </c>
      <c r="J278" t="s">
        <v>18109</v>
      </c>
      <c r="L278" t="s">
        <v>13429</v>
      </c>
    </row>
    <row r="279" spans="1:26">
      <c r="A279" t="s">
        <v>18110</v>
      </c>
      <c r="B279" t="s">
        <v>12895</v>
      </c>
      <c r="C279" t="s">
        <v>18111</v>
      </c>
      <c r="D279" t="s">
        <v>21</v>
      </c>
      <c r="G279" t="s">
        <v>4430</v>
      </c>
      <c r="H279" t="s">
        <v>6353</v>
      </c>
      <c r="I279" t="s">
        <v>18102</v>
      </c>
      <c r="J279" t="s">
        <v>18112</v>
      </c>
      <c r="L279" t="s">
        <v>13429</v>
      </c>
    </row>
    <row r="280" spans="1:26">
      <c r="A280" t="s">
        <v>18113</v>
      </c>
      <c r="B280" t="s">
        <v>12896</v>
      </c>
      <c r="C280" t="s">
        <v>18114</v>
      </c>
      <c r="D280" t="s">
        <v>21</v>
      </c>
      <c r="G280" t="s">
        <v>4430</v>
      </c>
      <c r="H280" t="s">
        <v>6362</v>
      </c>
      <c r="I280" t="s">
        <v>18102</v>
      </c>
      <c r="J280" t="s">
        <v>18115</v>
      </c>
      <c r="L280" t="s">
        <v>13429</v>
      </c>
    </row>
    <row r="281" spans="1:26">
      <c r="A281" t="s">
        <v>18116</v>
      </c>
      <c r="B281" t="s">
        <v>12897</v>
      </c>
      <c r="C281" t="s">
        <v>18117</v>
      </c>
      <c r="D281" t="s">
        <v>21</v>
      </c>
      <c r="G281" t="s">
        <v>4430</v>
      </c>
      <c r="H281" t="s">
        <v>6556</v>
      </c>
      <c r="I281" t="s">
        <v>18102</v>
      </c>
      <c r="J281" t="s">
        <v>18118</v>
      </c>
      <c r="L281" t="s">
        <v>13429</v>
      </c>
    </row>
    <row r="282" spans="1:26">
      <c r="A282" t="s">
        <v>18119</v>
      </c>
      <c r="B282" t="s">
        <v>12898</v>
      </c>
      <c r="C282" t="s">
        <v>18120</v>
      </c>
      <c r="D282" t="s">
        <v>21</v>
      </c>
      <c r="G282" t="s">
        <v>4430</v>
      </c>
      <c r="H282" t="s">
        <v>7849</v>
      </c>
      <c r="I282" t="s">
        <v>18102</v>
      </c>
      <c r="J282" t="s">
        <v>18121</v>
      </c>
      <c r="L282" t="s">
        <v>13429</v>
      </c>
    </row>
    <row r="283" spans="1:26">
      <c r="A283" t="s">
        <v>18122</v>
      </c>
      <c r="B283" t="s">
        <v>12899</v>
      </c>
      <c r="C283" t="s">
        <v>18123</v>
      </c>
      <c r="D283" t="s">
        <v>21</v>
      </c>
      <c r="G283" t="s">
        <v>4430</v>
      </c>
      <c r="H283" t="s">
        <v>4429</v>
      </c>
      <c r="I283" t="s">
        <v>18102</v>
      </c>
      <c r="J283" t="s">
        <v>18124</v>
      </c>
      <c r="L283" t="s">
        <v>13429</v>
      </c>
    </row>
    <row r="284" spans="1:26">
      <c r="A284" t="s">
        <v>18125</v>
      </c>
      <c r="B284" t="s">
        <v>12900</v>
      </c>
      <c r="C284" t="s">
        <v>18126</v>
      </c>
      <c r="D284" t="s">
        <v>21</v>
      </c>
      <c r="G284" t="s">
        <v>4430</v>
      </c>
      <c r="H284" t="s">
        <v>7854</v>
      </c>
      <c r="I284" t="s">
        <v>18102</v>
      </c>
      <c r="J284" t="s">
        <v>18127</v>
      </c>
      <c r="L284" t="s">
        <v>13429</v>
      </c>
    </row>
    <row r="285" spans="1:26">
      <c r="A285" t="s">
        <v>18128</v>
      </c>
      <c r="B285" t="s">
        <v>12901</v>
      </c>
      <c r="C285" t="s">
        <v>18129</v>
      </c>
      <c r="D285" t="s">
        <v>21</v>
      </c>
      <c r="G285" t="s">
        <v>4430</v>
      </c>
      <c r="H285" t="s">
        <v>6563</v>
      </c>
      <c r="I285" t="s">
        <v>18102</v>
      </c>
      <c r="J285" t="s">
        <v>18130</v>
      </c>
      <c r="L285" t="s">
        <v>13429</v>
      </c>
    </row>
    <row r="286" spans="1:26">
      <c r="A286" t="s">
        <v>18131</v>
      </c>
      <c r="B286" t="s">
        <v>12902</v>
      </c>
      <c r="C286" t="s">
        <v>18132</v>
      </c>
      <c r="D286" t="s">
        <v>21</v>
      </c>
      <c r="G286" t="s">
        <v>4430</v>
      </c>
      <c r="H286" t="s">
        <v>7862</v>
      </c>
      <c r="I286" t="s">
        <v>18102</v>
      </c>
      <c r="J286" t="s">
        <v>18133</v>
      </c>
      <c r="L286" t="s">
        <v>13429</v>
      </c>
    </row>
    <row r="287" spans="1:26">
      <c r="A287" t="s">
        <v>18134</v>
      </c>
      <c r="B287" t="s">
        <v>12903</v>
      </c>
      <c r="C287" t="s">
        <v>18135</v>
      </c>
      <c r="D287" t="s">
        <v>21</v>
      </c>
      <c r="G287" t="s">
        <v>4430</v>
      </c>
      <c r="H287" t="s">
        <v>7859</v>
      </c>
      <c r="I287" t="s">
        <v>18102</v>
      </c>
      <c r="J287" t="s">
        <v>18136</v>
      </c>
      <c r="L287" t="s">
        <v>13429</v>
      </c>
    </row>
    <row r="288" spans="1:26">
      <c r="A288" t="s">
        <v>18137</v>
      </c>
      <c r="B288" t="s">
        <v>12904</v>
      </c>
      <c r="C288" t="s">
        <v>18138</v>
      </c>
      <c r="D288" t="s">
        <v>21</v>
      </c>
      <c r="G288" t="s">
        <v>4430</v>
      </c>
      <c r="H288" t="s">
        <v>7865</v>
      </c>
      <c r="I288" t="s">
        <v>18102</v>
      </c>
      <c r="J288" t="s">
        <v>18139</v>
      </c>
      <c r="L288" t="s">
        <v>13429</v>
      </c>
    </row>
    <row r="289" spans="1:12">
      <c r="A289" t="s">
        <v>18140</v>
      </c>
      <c r="B289" t="s">
        <v>12905</v>
      </c>
      <c r="C289" t="s">
        <v>18141</v>
      </c>
      <c r="D289" t="s">
        <v>21</v>
      </c>
      <c r="G289" t="s">
        <v>4430</v>
      </c>
      <c r="H289" t="s">
        <v>6566</v>
      </c>
      <c r="I289" t="s">
        <v>18102</v>
      </c>
      <c r="J289" t="s">
        <v>18142</v>
      </c>
      <c r="L289" t="s">
        <v>13429</v>
      </c>
    </row>
    <row r="290" spans="1:12">
      <c r="A290" t="s">
        <v>18143</v>
      </c>
      <c r="B290" t="s">
        <v>12906</v>
      </c>
      <c r="C290" t="s">
        <v>18144</v>
      </c>
      <c r="D290" t="s">
        <v>21</v>
      </c>
      <c r="G290" t="s">
        <v>4430</v>
      </c>
      <c r="H290" t="s">
        <v>7870</v>
      </c>
      <c r="I290" t="s">
        <v>18102</v>
      </c>
      <c r="J290" t="s">
        <v>18145</v>
      </c>
      <c r="L290" t="s">
        <v>13429</v>
      </c>
    </row>
    <row r="291" spans="1:12">
      <c r="A291" t="s">
        <v>18146</v>
      </c>
      <c r="B291" t="s">
        <v>12907</v>
      </c>
      <c r="C291" t="s">
        <v>18147</v>
      </c>
      <c r="D291" t="s">
        <v>21</v>
      </c>
      <c r="G291" t="s">
        <v>4430</v>
      </c>
      <c r="H291" t="s">
        <v>7873</v>
      </c>
      <c r="I291" t="s">
        <v>18102</v>
      </c>
      <c r="J291" t="s">
        <v>18148</v>
      </c>
      <c r="L291" t="s">
        <v>13429</v>
      </c>
    </row>
    <row r="292" spans="1:12">
      <c r="A292" t="s">
        <v>18149</v>
      </c>
      <c r="B292" t="s">
        <v>12908</v>
      </c>
      <c r="C292" t="s">
        <v>18150</v>
      </c>
      <c r="D292" t="s">
        <v>21</v>
      </c>
      <c r="G292" t="s">
        <v>4430</v>
      </c>
      <c r="H292" t="s">
        <v>7876</v>
      </c>
      <c r="I292" t="s">
        <v>18102</v>
      </c>
      <c r="J292" t="s">
        <v>18151</v>
      </c>
      <c r="L292" t="s">
        <v>13429</v>
      </c>
    </row>
    <row r="293" spans="1:12">
      <c r="A293" t="s">
        <v>18152</v>
      </c>
      <c r="B293" t="s">
        <v>12909</v>
      </c>
      <c r="C293" t="s">
        <v>18153</v>
      </c>
      <c r="D293" t="s">
        <v>21</v>
      </c>
      <c r="G293" t="s">
        <v>4430</v>
      </c>
      <c r="H293" t="s">
        <v>7879</v>
      </c>
      <c r="I293" t="s">
        <v>18102</v>
      </c>
      <c r="J293" t="s">
        <v>18154</v>
      </c>
      <c r="L293" t="s">
        <v>13429</v>
      </c>
    </row>
    <row r="294" spans="1:12">
      <c r="A294" t="s">
        <v>18155</v>
      </c>
      <c r="B294" t="s">
        <v>12910</v>
      </c>
      <c r="C294" t="s">
        <v>18156</v>
      </c>
      <c r="D294" t="s">
        <v>21</v>
      </c>
      <c r="G294" t="s">
        <v>4430</v>
      </c>
      <c r="H294" t="s">
        <v>7882</v>
      </c>
      <c r="I294" t="s">
        <v>18102</v>
      </c>
      <c r="J294" t="s">
        <v>18157</v>
      </c>
      <c r="L294" t="s">
        <v>13429</v>
      </c>
    </row>
    <row r="295" spans="1:12">
      <c r="A295" t="s">
        <v>18158</v>
      </c>
      <c r="B295" t="s">
        <v>12911</v>
      </c>
      <c r="C295" t="s">
        <v>18159</v>
      </c>
      <c r="D295" t="s">
        <v>21</v>
      </c>
      <c r="G295" t="s">
        <v>4430</v>
      </c>
      <c r="H295" t="s">
        <v>7883</v>
      </c>
      <c r="I295" t="s">
        <v>18102</v>
      </c>
      <c r="J295" t="s">
        <v>18160</v>
      </c>
      <c r="L295" t="s">
        <v>13429</v>
      </c>
    </row>
    <row r="296" spans="1:12">
      <c r="A296" t="s">
        <v>18161</v>
      </c>
      <c r="B296" t="s">
        <v>13019</v>
      </c>
      <c r="C296" t="s">
        <v>18162</v>
      </c>
      <c r="D296" t="s">
        <v>21</v>
      </c>
      <c r="G296" t="s">
        <v>4430</v>
      </c>
      <c r="H296" t="s">
        <v>13021</v>
      </c>
      <c r="I296" t="s">
        <v>18102</v>
      </c>
      <c r="J296" t="s">
        <v>18163</v>
      </c>
      <c r="L296" t="s">
        <v>13429</v>
      </c>
    </row>
    <row r="297" spans="1:12">
      <c r="A297" t="s">
        <v>18164</v>
      </c>
      <c r="B297" t="s">
        <v>13023</v>
      </c>
      <c r="C297" t="s">
        <v>18165</v>
      </c>
      <c r="D297" t="s">
        <v>21</v>
      </c>
      <c r="G297" t="s">
        <v>4430</v>
      </c>
      <c r="H297" t="s">
        <v>13025</v>
      </c>
      <c r="I297" t="s">
        <v>18102</v>
      </c>
      <c r="J297" t="s">
        <v>18166</v>
      </c>
      <c r="L297" t="s">
        <v>13429</v>
      </c>
    </row>
    <row r="298" spans="1:12">
      <c r="A298" t="s">
        <v>18167</v>
      </c>
      <c r="B298" t="s">
        <v>13027</v>
      </c>
      <c r="C298" t="s">
        <v>18168</v>
      </c>
      <c r="D298" t="s">
        <v>21</v>
      </c>
      <c r="G298" t="s">
        <v>4430</v>
      </c>
      <c r="H298" t="s">
        <v>13029</v>
      </c>
      <c r="I298" t="s">
        <v>18102</v>
      </c>
      <c r="J298" t="s">
        <v>18169</v>
      </c>
      <c r="L298" t="s">
        <v>13429</v>
      </c>
    </row>
    <row r="299" spans="1:12">
      <c r="A299" t="s">
        <v>18170</v>
      </c>
      <c r="B299" t="s">
        <v>13031</v>
      </c>
      <c r="C299" t="s">
        <v>18171</v>
      </c>
      <c r="D299" t="s">
        <v>21</v>
      </c>
      <c r="G299" t="s">
        <v>4430</v>
      </c>
      <c r="H299" t="s">
        <v>13033</v>
      </c>
      <c r="I299" t="s">
        <v>18102</v>
      </c>
      <c r="J299" t="s">
        <v>18172</v>
      </c>
      <c r="L299" t="s">
        <v>13429</v>
      </c>
    </row>
    <row r="300" spans="1:12">
      <c r="A300" t="s">
        <v>18173</v>
      </c>
      <c r="B300" t="s">
        <v>13035</v>
      </c>
      <c r="C300" t="s">
        <v>18174</v>
      </c>
      <c r="D300" t="s">
        <v>21</v>
      </c>
      <c r="G300" t="s">
        <v>4430</v>
      </c>
      <c r="H300" t="s">
        <v>13037</v>
      </c>
      <c r="I300" t="s">
        <v>18102</v>
      </c>
      <c r="J300" t="s">
        <v>18175</v>
      </c>
      <c r="L300" t="s">
        <v>13429</v>
      </c>
    </row>
    <row r="301" spans="1:12">
      <c r="A301" t="s">
        <v>18176</v>
      </c>
      <c r="B301" t="s">
        <v>13039</v>
      </c>
      <c r="C301" t="s">
        <v>18177</v>
      </c>
      <c r="D301" t="s">
        <v>21</v>
      </c>
      <c r="G301" t="s">
        <v>4430</v>
      </c>
      <c r="H301" t="s">
        <v>13041</v>
      </c>
      <c r="I301" t="s">
        <v>18102</v>
      </c>
      <c r="J301" t="s">
        <v>18178</v>
      </c>
      <c r="L301" t="s">
        <v>13429</v>
      </c>
    </row>
    <row r="302" spans="1:12">
      <c r="A302" t="s">
        <v>18179</v>
      </c>
      <c r="B302" t="s">
        <v>13043</v>
      </c>
      <c r="C302" t="s">
        <v>18180</v>
      </c>
      <c r="D302" t="s">
        <v>21</v>
      </c>
      <c r="G302" t="s">
        <v>4430</v>
      </c>
      <c r="H302" t="s">
        <v>13045</v>
      </c>
      <c r="I302" t="s">
        <v>18102</v>
      </c>
      <c r="J302" t="s">
        <v>18181</v>
      </c>
      <c r="L302" t="s">
        <v>13429</v>
      </c>
    </row>
    <row r="303" spans="1:12">
      <c r="A303" t="s">
        <v>18182</v>
      </c>
      <c r="B303" t="s">
        <v>13047</v>
      </c>
      <c r="C303" t="s">
        <v>18183</v>
      </c>
      <c r="D303" t="s">
        <v>21</v>
      </c>
      <c r="G303" t="s">
        <v>4430</v>
      </c>
      <c r="H303" t="s">
        <v>13049</v>
      </c>
      <c r="I303" t="s">
        <v>18102</v>
      </c>
      <c r="J303" t="s">
        <v>18184</v>
      </c>
      <c r="L303" t="s">
        <v>13429</v>
      </c>
    </row>
    <row r="304" spans="1:12">
      <c r="A304" t="s">
        <v>18185</v>
      </c>
      <c r="B304" t="s">
        <v>13051</v>
      </c>
      <c r="C304" t="s">
        <v>18186</v>
      </c>
      <c r="D304" t="s">
        <v>21</v>
      </c>
      <c r="G304" t="s">
        <v>4430</v>
      </c>
      <c r="H304" t="s">
        <v>13053</v>
      </c>
      <c r="I304" t="s">
        <v>18102</v>
      </c>
      <c r="J304" t="s">
        <v>18187</v>
      </c>
      <c r="L304" t="s">
        <v>13429</v>
      </c>
    </row>
    <row r="305" spans="1:12">
      <c r="A305" t="s">
        <v>18188</v>
      </c>
      <c r="B305" t="s">
        <v>13055</v>
      </c>
      <c r="C305" t="s">
        <v>18189</v>
      </c>
      <c r="D305" t="s">
        <v>21</v>
      </c>
      <c r="G305" t="s">
        <v>4430</v>
      </c>
      <c r="H305" t="s">
        <v>13057</v>
      </c>
      <c r="I305" t="s">
        <v>18102</v>
      </c>
      <c r="J305" t="s">
        <v>18190</v>
      </c>
      <c r="L305" t="s">
        <v>13429</v>
      </c>
    </row>
    <row r="306" spans="1:12">
      <c r="A306" t="s">
        <v>18191</v>
      </c>
      <c r="B306" t="s">
        <v>13059</v>
      </c>
      <c r="C306" t="s">
        <v>18192</v>
      </c>
      <c r="D306" t="s">
        <v>21</v>
      </c>
      <c r="G306" t="s">
        <v>4430</v>
      </c>
      <c r="H306" t="s">
        <v>12258</v>
      </c>
      <c r="I306" t="s">
        <v>18102</v>
      </c>
      <c r="J306" t="s">
        <v>18193</v>
      </c>
      <c r="L306" t="s">
        <v>13429</v>
      </c>
    </row>
    <row r="307" spans="1:12">
      <c r="A307" t="s">
        <v>18194</v>
      </c>
      <c r="B307" t="s">
        <v>13062</v>
      </c>
      <c r="C307" t="s">
        <v>18195</v>
      </c>
      <c r="D307" t="s">
        <v>21</v>
      </c>
      <c r="G307" t="s">
        <v>4430</v>
      </c>
      <c r="H307" t="s">
        <v>13064</v>
      </c>
      <c r="I307" t="s">
        <v>18102</v>
      </c>
      <c r="J307" t="s">
        <v>18196</v>
      </c>
      <c r="L307" t="s">
        <v>13429</v>
      </c>
    </row>
    <row r="308" spans="1:12">
      <c r="A308" t="s">
        <v>18197</v>
      </c>
      <c r="B308" t="s">
        <v>13066</v>
      </c>
      <c r="C308" t="s">
        <v>18198</v>
      </c>
      <c r="D308" t="s">
        <v>21</v>
      </c>
      <c r="G308" t="s">
        <v>4430</v>
      </c>
      <c r="H308" t="s">
        <v>13068</v>
      </c>
      <c r="I308" t="s">
        <v>18102</v>
      </c>
      <c r="J308" t="s">
        <v>18199</v>
      </c>
      <c r="L308" t="s">
        <v>13429</v>
      </c>
    </row>
    <row r="309" spans="1:12">
      <c r="A309" t="s">
        <v>18200</v>
      </c>
      <c r="B309" t="s">
        <v>13070</v>
      </c>
      <c r="C309" t="s">
        <v>18201</v>
      </c>
      <c r="D309" t="s">
        <v>21</v>
      </c>
      <c r="G309" t="s">
        <v>4430</v>
      </c>
      <c r="H309" t="s">
        <v>13072</v>
      </c>
      <c r="I309" t="s">
        <v>18102</v>
      </c>
      <c r="J309" t="s">
        <v>18202</v>
      </c>
      <c r="L309" t="s">
        <v>13429</v>
      </c>
    </row>
    <row r="310" spans="1:12">
      <c r="A310" t="s">
        <v>18203</v>
      </c>
      <c r="B310" t="s">
        <v>13074</v>
      </c>
      <c r="C310" t="s">
        <v>18204</v>
      </c>
      <c r="D310" t="s">
        <v>21</v>
      </c>
      <c r="G310" t="s">
        <v>4430</v>
      </c>
      <c r="H310" t="s">
        <v>13076</v>
      </c>
      <c r="I310" t="s">
        <v>18102</v>
      </c>
      <c r="J310" t="s">
        <v>18205</v>
      </c>
      <c r="L310" t="s">
        <v>13429</v>
      </c>
    </row>
    <row r="311" spans="1:12">
      <c r="A311" t="s">
        <v>18206</v>
      </c>
      <c r="B311" t="s">
        <v>13078</v>
      </c>
      <c r="C311" t="s">
        <v>18207</v>
      </c>
      <c r="D311" t="s">
        <v>21</v>
      </c>
      <c r="G311" t="s">
        <v>4430</v>
      </c>
      <c r="H311" t="s">
        <v>13080</v>
      </c>
      <c r="I311" t="s">
        <v>18102</v>
      </c>
      <c r="J311" t="s">
        <v>18208</v>
      </c>
      <c r="L311" t="s">
        <v>13429</v>
      </c>
    </row>
    <row r="312" spans="1:12">
      <c r="A312" t="s">
        <v>18209</v>
      </c>
      <c r="B312" t="s">
        <v>13082</v>
      </c>
      <c r="C312" t="s">
        <v>18210</v>
      </c>
      <c r="D312" t="s">
        <v>21</v>
      </c>
      <c r="G312" t="s">
        <v>4430</v>
      </c>
      <c r="H312" t="s">
        <v>13084</v>
      </c>
      <c r="I312" t="s">
        <v>18102</v>
      </c>
      <c r="J312" t="s">
        <v>18211</v>
      </c>
      <c r="L312" t="s">
        <v>13429</v>
      </c>
    </row>
    <row r="313" spans="1:12">
      <c r="A313" t="s">
        <v>18212</v>
      </c>
      <c r="B313" t="s">
        <v>13086</v>
      </c>
      <c r="C313" t="s">
        <v>18213</v>
      </c>
      <c r="D313" t="s">
        <v>21</v>
      </c>
      <c r="G313" t="s">
        <v>4430</v>
      </c>
      <c r="H313" t="s">
        <v>13088</v>
      </c>
      <c r="I313" t="s">
        <v>18102</v>
      </c>
      <c r="J313" t="s">
        <v>18214</v>
      </c>
      <c r="L313" t="s">
        <v>13429</v>
      </c>
    </row>
    <row r="314" spans="1:12">
      <c r="A314" t="s">
        <v>18215</v>
      </c>
      <c r="B314" t="s">
        <v>13090</v>
      </c>
      <c r="C314" t="s">
        <v>18216</v>
      </c>
      <c r="D314" t="s">
        <v>21</v>
      </c>
      <c r="G314" t="s">
        <v>4430</v>
      </c>
      <c r="H314" t="s">
        <v>13092</v>
      </c>
      <c r="I314" t="s">
        <v>18102</v>
      </c>
      <c r="J314" t="s">
        <v>18217</v>
      </c>
      <c r="L314" t="s">
        <v>13429</v>
      </c>
    </row>
    <row r="315" spans="1:12">
      <c r="A315" t="s">
        <v>18218</v>
      </c>
      <c r="B315" t="s">
        <v>13094</v>
      </c>
      <c r="C315" t="s">
        <v>18219</v>
      </c>
      <c r="D315" t="s">
        <v>21</v>
      </c>
      <c r="G315" t="s">
        <v>4430</v>
      </c>
      <c r="H315" t="s">
        <v>7483</v>
      </c>
      <c r="I315" t="s">
        <v>18102</v>
      </c>
      <c r="J315" t="s">
        <v>18220</v>
      </c>
      <c r="L315" t="s">
        <v>13429</v>
      </c>
    </row>
    <row r="316" spans="1:12">
      <c r="A316" t="s">
        <v>18221</v>
      </c>
      <c r="B316" t="s">
        <v>13097</v>
      </c>
      <c r="C316" t="s">
        <v>18222</v>
      </c>
      <c r="D316" t="s">
        <v>21</v>
      </c>
      <c r="G316" t="s">
        <v>4430</v>
      </c>
      <c r="H316" t="s">
        <v>13099</v>
      </c>
      <c r="I316" t="s">
        <v>18102</v>
      </c>
      <c r="J316" t="s">
        <v>18223</v>
      </c>
      <c r="L316" t="s">
        <v>13429</v>
      </c>
    </row>
    <row r="317" spans="1:12">
      <c r="A317" t="s">
        <v>18224</v>
      </c>
      <c r="B317" t="s">
        <v>13101</v>
      </c>
      <c r="C317" t="s">
        <v>18225</v>
      </c>
      <c r="D317" t="s">
        <v>21</v>
      </c>
      <c r="G317" t="s">
        <v>4430</v>
      </c>
      <c r="H317" t="s">
        <v>13103</v>
      </c>
      <c r="I317" t="s">
        <v>18102</v>
      </c>
      <c r="J317" t="s">
        <v>18226</v>
      </c>
      <c r="L317" t="s">
        <v>13429</v>
      </c>
    </row>
    <row r="318" spans="1:12">
      <c r="A318" t="s">
        <v>18227</v>
      </c>
      <c r="B318" t="s">
        <v>13105</v>
      </c>
      <c r="C318" t="s">
        <v>18228</v>
      </c>
      <c r="D318" t="s">
        <v>21</v>
      </c>
      <c r="G318" t="s">
        <v>4430</v>
      </c>
      <c r="H318" t="s">
        <v>13107</v>
      </c>
      <c r="I318" t="s">
        <v>18102</v>
      </c>
      <c r="J318" t="s">
        <v>18229</v>
      </c>
      <c r="L318" t="s">
        <v>13429</v>
      </c>
    </row>
    <row r="319" spans="1:12">
      <c r="A319" t="s">
        <v>18230</v>
      </c>
      <c r="B319" t="s">
        <v>13109</v>
      </c>
      <c r="C319" t="s">
        <v>18231</v>
      </c>
      <c r="D319" t="s">
        <v>21</v>
      </c>
      <c r="G319" t="s">
        <v>4430</v>
      </c>
      <c r="H319" t="s">
        <v>13111</v>
      </c>
      <c r="I319" t="s">
        <v>18102</v>
      </c>
      <c r="J319" t="s">
        <v>18232</v>
      </c>
      <c r="L319" t="s">
        <v>13429</v>
      </c>
    </row>
    <row r="320" spans="1:12">
      <c r="A320" t="s">
        <v>18233</v>
      </c>
      <c r="B320" t="s">
        <v>13113</v>
      </c>
      <c r="C320" t="s">
        <v>18234</v>
      </c>
      <c r="D320" t="s">
        <v>21</v>
      </c>
      <c r="G320" t="s">
        <v>4430</v>
      </c>
      <c r="H320" t="s">
        <v>13115</v>
      </c>
      <c r="I320" t="s">
        <v>18102</v>
      </c>
      <c r="J320" t="s">
        <v>18235</v>
      </c>
      <c r="L320" t="s">
        <v>13429</v>
      </c>
    </row>
    <row r="321" spans="1:12">
      <c r="A321" t="s">
        <v>18236</v>
      </c>
      <c r="B321" t="s">
        <v>13117</v>
      </c>
      <c r="C321" t="s">
        <v>18237</v>
      </c>
      <c r="D321" t="s">
        <v>21</v>
      </c>
      <c r="G321" t="s">
        <v>4430</v>
      </c>
      <c r="H321" t="s">
        <v>13119</v>
      </c>
      <c r="I321" t="s">
        <v>18102</v>
      </c>
      <c r="J321" t="s">
        <v>18238</v>
      </c>
      <c r="L321" t="s">
        <v>13429</v>
      </c>
    </row>
    <row r="322" spans="1:12">
      <c r="A322" t="s">
        <v>18239</v>
      </c>
      <c r="B322" t="s">
        <v>13121</v>
      </c>
      <c r="C322" t="s">
        <v>18240</v>
      </c>
      <c r="D322" t="s">
        <v>21</v>
      </c>
      <c r="G322" t="s">
        <v>4430</v>
      </c>
      <c r="H322" t="s">
        <v>13123</v>
      </c>
      <c r="I322" t="s">
        <v>18102</v>
      </c>
      <c r="J322" t="s">
        <v>18241</v>
      </c>
      <c r="L322" t="s">
        <v>13429</v>
      </c>
    </row>
    <row r="323" spans="1:12">
      <c r="A323" t="s">
        <v>18242</v>
      </c>
      <c r="B323" t="s">
        <v>13125</v>
      </c>
      <c r="C323" t="s">
        <v>18243</v>
      </c>
      <c r="D323" t="s">
        <v>21</v>
      </c>
      <c r="G323" t="s">
        <v>4430</v>
      </c>
      <c r="H323" t="s">
        <v>13127</v>
      </c>
      <c r="I323" t="s">
        <v>18102</v>
      </c>
      <c r="J323" t="s">
        <v>18244</v>
      </c>
      <c r="L323" t="s">
        <v>13429</v>
      </c>
    </row>
    <row r="324" spans="1:12">
      <c r="A324" t="s">
        <v>18245</v>
      </c>
      <c r="B324" t="s">
        <v>13129</v>
      </c>
      <c r="C324" t="s">
        <v>18246</v>
      </c>
      <c r="D324" t="s">
        <v>21</v>
      </c>
      <c r="G324" t="s">
        <v>4430</v>
      </c>
      <c r="H324" t="s">
        <v>13131</v>
      </c>
      <c r="I324" t="s">
        <v>18102</v>
      </c>
      <c r="J324" t="s">
        <v>18247</v>
      </c>
      <c r="L324" t="s">
        <v>13429</v>
      </c>
    </row>
    <row r="325" spans="1:12">
      <c r="A325" t="s">
        <v>18248</v>
      </c>
      <c r="B325" t="s">
        <v>13133</v>
      </c>
      <c r="C325" t="s">
        <v>18249</v>
      </c>
      <c r="D325" t="s">
        <v>21</v>
      </c>
      <c r="G325" t="s">
        <v>4430</v>
      </c>
      <c r="H325" t="s">
        <v>13135</v>
      </c>
      <c r="I325" t="s">
        <v>18102</v>
      </c>
      <c r="J325" t="s">
        <v>18250</v>
      </c>
      <c r="L325" t="s">
        <v>13429</v>
      </c>
    </row>
    <row r="326" spans="1:12">
      <c r="A326" t="s">
        <v>18251</v>
      </c>
      <c r="B326" t="s">
        <v>13318</v>
      </c>
      <c r="C326" t="s">
        <v>18252</v>
      </c>
      <c r="D326" t="s">
        <v>21</v>
      </c>
      <c r="G326" t="s">
        <v>4430</v>
      </c>
      <c r="H326" t="s">
        <v>6997</v>
      </c>
      <c r="I326" t="s">
        <v>18102</v>
      </c>
      <c r="J326" t="s">
        <v>18253</v>
      </c>
      <c r="L326" t="s">
        <v>13429</v>
      </c>
    </row>
    <row r="327" spans="1:12">
      <c r="A327" t="s">
        <v>18254</v>
      </c>
      <c r="B327" t="s">
        <v>13321</v>
      </c>
      <c r="C327" t="s">
        <v>18255</v>
      </c>
      <c r="D327" t="s">
        <v>21</v>
      </c>
      <c r="G327" t="s">
        <v>4430</v>
      </c>
      <c r="H327" t="s">
        <v>6353</v>
      </c>
      <c r="I327" t="s">
        <v>18102</v>
      </c>
      <c r="J327" t="s">
        <v>18256</v>
      </c>
      <c r="L327" t="s">
        <v>13429</v>
      </c>
    </row>
    <row r="328" spans="1:12">
      <c r="A328" t="s">
        <v>18257</v>
      </c>
      <c r="B328" t="s">
        <v>8500</v>
      </c>
      <c r="C328" t="s">
        <v>18258</v>
      </c>
      <c r="D328" t="s">
        <v>21</v>
      </c>
      <c r="G328" t="s">
        <v>4430</v>
      </c>
      <c r="H328" t="s">
        <v>6556</v>
      </c>
      <c r="I328" t="s">
        <v>18102</v>
      </c>
      <c r="J328" t="s">
        <v>18259</v>
      </c>
      <c r="L328" t="s">
        <v>13429</v>
      </c>
    </row>
    <row r="329" spans="1:12">
      <c r="A329" t="s">
        <v>18260</v>
      </c>
      <c r="B329" t="s">
        <v>4427</v>
      </c>
      <c r="C329" t="s">
        <v>18261</v>
      </c>
      <c r="D329" t="s">
        <v>21</v>
      </c>
      <c r="G329" t="s">
        <v>4430</v>
      </c>
      <c r="H329" t="s">
        <v>4429</v>
      </c>
      <c r="I329" t="s">
        <v>18102</v>
      </c>
      <c r="J329" t="s">
        <v>18262</v>
      </c>
      <c r="L329" t="s">
        <v>13429</v>
      </c>
    </row>
    <row r="330" spans="1:12">
      <c r="A330" t="s">
        <v>18263</v>
      </c>
      <c r="B330" t="s">
        <v>13324</v>
      </c>
      <c r="C330" t="s">
        <v>18264</v>
      </c>
      <c r="D330" t="s">
        <v>21</v>
      </c>
      <c r="G330" t="s">
        <v>4430</v>
      </c>
      <c r="H330" t="s">
        <v>6563</v>
      </c>
      <c r="I330" t="s">
        <v>18102</v>
      </c>
      <c r="J330" t="s">
        <v>18265</v>
      </c>
      <c r="L330" t="s">
        <v>13429</v>
      </c>
    </row>
    <row r="331" spans="1:12">
      <c r="A331" t="s">
        <v>18266</v>
      </c>
      <c r="B331" t="s">
        <v>13327</v>
      </c>
      <c r="C331" t="s">
        <v>18267</v>
      </c>
      <c r="D331" t="s">
        <v>21</v>
      </c>
      <c r="G331" t="s">
        <v>4430</v>
      </c>
      <c r="H331" t="s">
        <v>7859</v>
      </c>
      <c r="I331" t="s">
        <v>18102</v>
      </c>
      <c r="J331" t="s">
        <v>18268</v>
      </c>
      <c r="L331" t="s">
        <v>13429</v>
      </c>
    </row>
    <row r="332" spans="1:12">
      <c r="A332" t="s">
        <v>18269</v>
      </c>
      <c r="B332" t="s">
        <v>13330</v>
      </c>
      <c r="C332" t="s">
        <v>18270</v>
      </c>
      <c r="D332" t="s">
        <v>21</v>
      </c>
      <c r="G332" t="s">
        <v>4430</v>
      </c>
      <c r="H332" t="s">
        <v>6566</v>
      </c>
      <c r="I332" t="s">
        <v>18102</v>
      </c>
      <c r="J332" t="s">
        <v>18271</v>
      </c>
      <c r="L332" t="s">
        <v>13429</v>
      </c>
    </row>
    <row r="333" spans="1:12">
      <c r="A333" t="s">
        <v>18272</v>
      </c>
      <c r="B333" t="s">
        <v>13333</v>
      </c>
      <c r="C333" t="s">
        <v>18273</v>
      </c>
      <c r="D333" t="s">
        <v>21</v>
      </c>
      <c r="G333" t="s">
        <v>4430</v>
      </c>
      <c r="H333" t="s">
        <v>7873</v>
      </c>
      <c r="I333" t="s">
        <v>18102</v>
      </c>
      <c r="J333" t="s">
        <v>18274</v>
      </c>
      <c r="L333" t="s">
        <v>13429</v>
      </c>
    </row>
    <row r="334" spans="1:12">
      <c r="A334" t="s">
        <v>18275</v>
      </c>
      <c r="B334" t="s">
        <v>13336</v>
      </c>
      <c r="C334" t="s">
        <v>18276</v>
      </c>
      <c r="D334" t="s">
        <v>21</v>
      </c>
      <c r="G334" t="s">
        <v>4430</v>
      </c>
      <c r="H334" t="s">
        <v>7879</v>
      </c>
      <c r="I334" t="s">
        <v>18102</v>
      </c>
      <c r="J334" t="s">
        <v>18277</v>
      </c>
      <c r="L334" t="s">
        <v>13429</v>
      </c>
    </row>
    <row r="335" spans="1:12">
      <c r="A335" t="s">
        <v>18278</v>
      </c>
      <c r="B335" t="s">
        <v>13339</v>
      </c>
      <c r="C335" t="s">
        <v>18279</v>
      </c>
      <c r="D335" t="s">
        <v>21</v>
      </c>
      <c r="G335" t="s">
        <v>4430</v>
      </c>
      <c r="H335" t="s">
        <v>7883</v>
      </c>
      <c r="I335" t="s">
        <v>18102</v>
      </c>
      <c r="J335" t="s">
        <v>18280</v>
      </c>
      <c r="L335" t="s">
        <v>13429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0" sqref="I30"/>
    </sheetView>
  </sheetViews>
  <sheetFormatPr defaultColWidth="11.5703125" defaultRowHeight="15"/>
  <cols>
    <col min="1" max="1" width="19" bestFit="1" customWidth="1"/>
    <col min="2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17989</v>
      </c>
      <c r="B5" t="str">
        <f>A5</f>
        <v>SN74LVC1G3157DCK</v>
      </c>
      <c r="C5" t="s">
        <v>6660</v>
      </c>
      <c r="D5" t="s">
        <v>6661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6662</v>
      </c>
      <c r="W5" t="s">
        <v>4559</v>
      </c>
      <c r="X5" t="s">
        <v>6663</v>
      </c>
      <c r="Y5" t="s">
        <v>4727</v>
      </c>
    </row>
    <row r="6" spans="1:25">
      <c r="A6" t="s">
        <v>8871</v>
      </c>
      <c r="B6" t="s">
        <v>8871</v>
      </c>
      <c r="C6" t="s">
        <v>8872</v>
      </c>
      <c r="D6" t="s">
        <v>4401</v>
      </c>
      <c r="E6" t="s">
        <v>4553</v>
      </c>
      <c r="G6" t="str">
        <f>Config!$B$6</f>
        <v>SCH/Logic_IEC.SchLib</v>
      </c>
      <c r="H6" t="s">
        <v>10659</v>
      </c>
      <c r="I6" t="s">
        <v>4376</v>
      </c>
      <c r="J6" t="s">
        <v>8877</v>
      </c>
      <c r="L6" s="26" t="s">
        <v>8873</v>
      </c>
      <c r="M6" t="s">
        <v>6273</v>
      </c>
      <c r="N6" t="s">
        <v>8874</v>
      </c>
      <c r="O6" t="s">
        <v>25</v>
      </c>
      <c r="P6" t="s">
        <v>8875</v>
      </c>
      <c r="U6" t="s">
        <v>4401</v>
      </c>
      <c r="V6" t="s">
        <v>8874</v>
      </c>
      <c r="W6" t="s">
        <v>4559</v>
      </c>
      <c r="X6" t="s">
        <v>8876</v>
      </c>
      <c r="Y6" t="s">
        <v>4727</v>
      </c>
    </row>
    <row r="7" spans="1:25">
      <c r="A7" t="s">
        <v>14033</v>
      </c>
      <c r="B7" t="s">
        <v>14033</v>
      </c>
      <c r="C7" t="s">
        <v>14034</v>
      </c>
      <c r="D7" t="s">
        <v>6661</v>
      </c>
      <c r="E7" t="s">
        <v>14035</v>
      </c>
      <c r="G7" t="str">
        <f>Config!$B$6</f>
        <v>SCH/Logic_IEC.SchLib</v>
      </c>
      <c r="H7" t="s">
        <v>14036</v>
      </c>
      <c r="I7" t="s">
        <v>4377</v>
      </c>
      <c r="J7" t="s">
        <v>11025</v>
      </c>
      <c r="L7" s="26" t="s">
        <v>14037</v>
      </c>
      <c r="M7" t="s">
        <v>4517</v>
      </c>
      <c r="N7" t="s">
        <v>14038</v>
      </c>
      <c r="P7" t="s">
        <v>14039</v>
      </c>
      <c r="U7" t="s">
        <v>6661</v>
      </c>
      <c r="V7" t="s">
        <v>14038</v>
      </c>
      <c r="W7" t="s">
        <v>4559</v>
      </c>
      <c r="X7" t="s">
        <v>14040</v>
      </c>
      <c r="Y7" t="s">
        <v>4727</v>
      </c>
    </row>
    <row r="8" spans="1:25">
      <c r="A8" t="s">
        <v>16831</v>
      </c>
      <c r="B8" t="s">
        <v>16831</v>
      </c>
      <c r="C8" t="s">
        <v>16832</v>
      </c>
      <c r="D8" t="s">
        <v>6661</v>
      </c>
      <c r="E8" t="s">
        <v>16770</v>
      </c>
      <c r="G8" t="str">
        <f>Config!$B$6</f>
        <v>SCH/Logic_IEC.SchLib</v>
      </c>
      <c r="H8" t="s">
        <v>16833</v>
      </c>
      <c r="I8" t="s">
        <v>10689</v>
      </c>
      <c r="J8" t="s">
        <v>16834</v>
      </c>
      <c r="L8" t="s">
        <v>16835</v>
      </c>
      <c r="M8" t="s">
        <v>4517</v>
      </c>
      <c r="N8" t="s">
        <v>16837</v>
      </c>
      <c r="O8" t="s">
        <v>25</v>
      </c>
      <c r="P8" t="s">
        <v>16838</v>
      </c>
      <c r="U8" t="s">
        <v>4517</v>
      </c>
      <c r="V8" t="s">
        <v>16837</v>
      </c>
      <c r="W8" t="s">
        <v>4559</v>
      </c>
      <c r="X8" t="s">
        <v>16836</v>
      </c>
    </row>
    <row r="9" spans="1:25">
      <c r="A9" t="s">
        <v>17990</v>
      </c>
      <c r="B9" t="s">
        <v>17990</v>
      </c>
      <c r="C9" t="s">
        <v>18754</v>
      </c>
      <c r="D9" t="s">
        <v>6661</v>
      </c>
      <c r="E9" t="s">
        <v>2656</v>
      </c>
      <c r="G9" t="str">
        <f>Config!$B$6</f>
        <v>SCH/Logic_IEC.SchLib</v>
      </c>
      <c r="H9" t="s">
        <v>4441</v>
      </c>
      <c r="I9" t="s">
        <v>4376</v>
      </c>
      <c r="J9" t="s">
        <v>4789</v>
      </c>
      <c r="L9" t="s">
        <v>18000</v>
      </c>
      <c r="M9" t="s">
        <v>4517</v>
      </c>
      <c r="N9" t="s">
        <v>17984</v>
      </c>
      <c r="O9" t="s">
        <v>25</v>
      </c>
      <c r="P9" t="s">
        <v>17995</v>
      </c>
    </row>
    <row r="10" spans="1:25">
      <c r="A10" t="s">
        <v>17991</v>
      </c>
      <c r="B10" t="s">
        <v>17991</v>
      </c>
      <c r="C10" t="s">
        <v>18755</v>
      </c>
      <c r="D10" t="s">
        <v>6661</v>
      </c>
      <c r="E10" t="s">
        <v>18002</v>
      </c>
      <c r="G10" t="str">
        <f>Config!$B$6</f>
        <v>SCH/Logic_IEC.SchLib</v>
      </c>
      <c r="H10" t="s">
        <v>4441</v>
      </c>
      <c r="I10" t="s">
        <v>6736</v>
      </c>
      <c r="J10" t="s">
        <v>18005</v>
      </c>
      <c r="L10" t="s">
        <v>18000</v>
      </c>
      <c r="M10" t="s">
        <v>4517</v>
      </c>
      <c r="N10" t="s">
        <v>17985</v>
      </c>
      <c r="O10" t="s">
        <v>25</v>
      </c>
      <c r="P10" t="s">
        <v>17996</v>
      </c>
    </row>
    <row r="11" spans="1:25">
      <c r="A11" t="s">
        <v>17992</v>
      </c>
      <c r="B11" t="s">
        <v>17992</v>
      </c>
      <c r="C11" t="s">
        <v>18756</v>
      </c>
      <c r="D11" t="s">
        <v>6661</v>
      </c>
      <c r="E11" t="s">
        <v>18003</v>
      </c>
      <c r="G11" t="str">
        <f>Config!$B$6</f>
        <v>SCH/Logic_IEC.SchLib</v>
      </c>
      <c r="H11" t="s">
        <v>4441</v>
      </c>
      <c r="I11" t="s">
        <v>6736</v>
      </c>
      <c r="J11" s="39"/>
      <c r="L11" t="s">
        <v>18000</v>
      </c>
      <c r="M11" t="s">
        <v>4517</v>
      </c>
      <c r="N11" t="s">
        <v>17986</v>
      </c>
      <c r="O11" t="s">
        <v>25</v>
      </c>
      <c r="P11" t="s">
        <v>17997</v>
      </c>
    </row>
    <row r="12" spans="1:25">
      <c r="A12" t="s">
        <v>17994</v>
      </c>
      <c r="B12" t="s">
        <v>17994</v>
      </c>
      <c r="C12" t="s">
        <v>18755</v>
      </c>
      <c r="D12" t="s">
        <v>6661</v>
      </c>
      <c r="E12" t="s">
        <v>18002</v>
      </c>
      <c r="G12" t="str">
        <f>Config!$B$6</f>
        <v>SCH/Logic_IEC.SchLib</v>
      </c>
      <c r="H12" t="s">
        <v>4441</v>
      </c>
      <c r="I12" t="s">
        <v>6736</v>
      </c>
      <c r="J12" t="s">
        <v>18006</v>
      </c>
      <c r="L12" t="s">
        <v>18000</v>
      </c>
      <c r="M12" t="s">
        <v>4517</v>
      </c>
      <c r="N12" t="s">
        <v>17987</v>
      </c>
      <c r="O12" t="s">
        <v>25</v>
      </c>
      <c r="P12" t="s">
        <v>17998</v>
      </c>
    </row>
    <row r="13" spans="1:25">
      <c r="A13" t="s">
        <v>17993</v>
      </c>
      <c r="B13" t="s">
        <v>17993</v>
      </c>
      <c r="C13" t="s">
        <v>18757</v>
      </c>
      <c r="D13" t="s">
        <v>6661</v>
      </c>
      <c r="E13" t="s">
        <v>18004</v>
      </c>
      <c r="G13" t="str">
        <f>Config!$B$6</f>
        <v>SCH/Logic_IEC.SchLib</v>
      </c>
      <c r="H13" t="s">
        <v>4441</v>
      </c>
      <c r="I13" t="s">
        <v>4376</v>
      </c>
      <c r="J13" t="s">
        <v>18007</v>
      </c>
      <c r="L13" t="s">
        <v>18000</v>
      </c>
      <c r="M13" t="s">
        <v>4517</v>
      </c>
      <c r="N13" t="s">
        <v>17988</v>
      </c>
      <c r="O13" t="s">
        <v>25</v>
      </c>
      <c r="P13" t="s">
        <v>17999</v>
      </c>
    </row>
    <row r="14" spans="1:25">
      <c r="A14" t="s">
        <v>18752</v>
      </c>
      <c r="B14" t="s">
        <v>18752</v>
      </c>
      <c r="C14" t="s">
        <v>18753</v>
      </c>
      <c r="D14" t="s">
        <v>6661</v>
      </c>
      <c r="E14" t="s">
        <v>6332</v>
      </c>
      <c r="G14" t="str">
        <f>Config!$B$6</f>
        <v>SCH/Logic_IEC.SchLib</v>
      </c>
      <c r="H14" t="s">
        <v>18764</v>
      </c>
      <c r="I14" t="s">
        <v>4377</v>
      </c>
      <c r="J14" t="s">
        <v>18767</v>
      </c>
      <c r="L14" t="s">
        <v>18760</v>
      </c>
      <c r="M14" t="s">
        <v>4517</v>
      </c>
      <c r="N14" t="s">
        <v>18751</v>
      </c>
      <c r="O14" t="s">
        <v>25</v>
      </c>
      <c r="P14" t="s">
        <v>18759</v>
      </c>
    </row>
    <row r="15" spans="1:25">
      <c r="A15" t="s">
        <v>18758</v>
      </c>
      <c r="B15" t="s">
        <v>18758</v>
      </c>
      <c r="C15" t="s">
        <v>18766</v>
      </c>
      <c r="D15" t="s">
        <v>6661</v>
      </c>
      <c r="E15" t="s">
        <v>18765</v>
      </c>
      <c r="G15" t="str">
        <f>Config!$B$6</f>
        <v>SCH/Logic_IEC.SchLib</v>
      </c>
      <c r="H15" t="s">
        <v>18763</v>
      </c>
      <c r="I15" t="s">
        <v>6243</v>
      </c>
      <c r="J15" t="s">
        <v>18768</v>
      </c>
      <c r="L15" t="s">
        <v>18762</v>
      </c>
      <c r="M15" t="s">
        <v>4517</v>
      </c>
      <c r="N15" t="s">
        <v>18758</v>
      </c>
      <c r="O15" t="s">
        <v>25</v>
      </c>
      <c r="P15" t="s">
        <v>18761</v>
      </c>
    </row>
    <row r="16" spans="1:25">
      <c r="A16" t="s">
        <v>18770</v>
      </c>
      <c r="B16" t="s">
        <v>18770</v>
      </c>
      <c r="C16" t="s">
        <v>18777</v>
      </c>
      <c r="D16" t="s">
        <v>6661</v>
      </c>
      <c r="E16" t="s">
        <v>18004</v>
      </c>
      <c r="G16" t="str">
        <f>Config!$B$6</f>
        <v>SCH/Logic_IEC.SchLib</v>
      </c>
      <c r="H16" t="s">
        <v>18773</v>
      </c>
      <c r="I16" t="s">
        <v>4376</v>
      </c>
      <c r="J16" t="s">
        <v>18007</v>
      </c>
      <c r="L16" t="s">
        <v>18771</v>
      </c>
      <c r="M16" t="s">
        <v>4517</v>
      </c>
      <c r="N16" t="s">
        <v>18769</v>
      </c>
      <c r="O16" t="s">
        <v>25</v>
      </c>
      <c r="P16" t="s">
        <v>18772</v>
      </c>
    </row>
    <row r="17" spans="1:16">
      <c r="A17" t="s">
        <v>18774</v>
      </c>
      <c r="B17" t="s">
        <v>18774</v>
      </c>
      <c r="C17" t="s">
        <v>18775</v>
      </c>
      <c r="D17" t="s">
        <v>6661</v>
      </c>
      <c r="E17" t="s">
        <v>18779</v>
      </c>
      <c r="G17" t="str">
        <f>Config!$B$6</f>
        <v>SCH/Logic_IEC.SchLib</v>
      </c>
      <c r="H17" t="s">
        <v>18773</v>
      </c>
      <c r="I17" t="s">
        <v>4376</v>
      </c>
      <c r="J17" t="s">
        <v>8877</v>
      </c>
      <c r="L17" t="s">
        <v>18771</v>
      </c>
      <c r="M17" t="s">
        <v>4517</v>
      </c>
      <c r="N17" t="s">
        <v>18784</v>
      </c>
      <c r="O17" t="s">
        <v>25</v>
      </c>
      <c r="P17" t="s">
        <v>18783</v>
      </c>
    </row>
    <row r="18" spans="1:16">
      <c r="A18" t="s">
        <v>18778</v>
      </c>
      <c r="B18" t="s">
        <v>18778</v>
      </c>
      <c r="C18" t="s">
        <v>18776</v>
      </c>
      <c r="D18" t="s">
        <v>6661</v>
      </c>
      <c r="E18" t="s">
        <v>18780</v>
      </c>
      <c r="G18" t="str">
        <f>Config!$B$6</f>
        <v>SCH/Logic_IEC.SchLib</v>
      </c>
      <c r="H18" t="s">
        <v>18773</v>
      </c>
      <c r="I18" t="s">
        <v>4376</v>
      </c>
      <c r="J18" t="s">
        <v>8510</v>
      </c>
      <c r="L18" t="s">
        <v>18771</v>
      </c>
      <c r="M18" t="s">
        <v>4517</v>
      </c>
      <c r="N18" t="s">
        <v>18781</v>
      </c>
      <c r="O18" t="s">
        <v>25</v>
      </c>
      <c r="P18" t="s">
        <v>18782</v>
      </c>
    </row>
  </sheetData>
  <phoneticPr fontId="2" type="noConversion"/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6256</v>
      </c>
      <c r="B4" t="s">
        <v>6258</v>
      </c>
      <c r="C4" t="s">
        <v>6258</v>
      </c>
      <c r="D4" t="s">
        <v>6257</v>
      </c>
      <c r="E4" t="s">
        <v>4353</v>
      </c>
      <c r="G4" t="s">
        <v>6259</v>
      </c>
      <c r="H4" t="s">
        <v>6260</v>
      </c>
      <c r="I4" t="str">
        <f>_xlfn.CONCAT(PrivateLibraryPath,"PCB/Toradex.PcbLib")</f>
        <v>../altium_lib_private/PCB/Toradex.PcbLib</v>
      </c>
      <c r="J4" t="s">
        <v>6632</v>
      </c>
      <c r="L4" t="s">
        <v>6331</v>
      </c>
      <c r="M4" t="s">
        <v>6263</v>
      </c>
      <c r="N4" t="s">
        <v>6261</v>
      </c>
      <c r="O4" t="s">
        <v>25</v>
      </c>
      <c r="P4" t="s">
        <v>6262</v>
      </c>
      <c r="U4" t="s">
        <v>6263</v>
      </c>
      <c r="V4" t="s">
        <v>6653</v>
      </c>
      <c r="W4" t="s">
        <v>4559</v>
      </c>
      <c r="X4" t="s">
        <v>6633</v>
      </c>
    </row>
    <row r="5" spans="1:25">
      <c r="A5" t="s">
        <v>13596</v>
      </c>
      <c r="B5" t="s">
        <v>13596</v>
      </c>
      <c r="C5" t="s">
        <v>13604</v>
      </c>
      <c r="D5" t="s">
        <v>13612</v>
      </c>
      <c r="E5" t="s">
        <v>469</v>
      </c>
      <c r="G5" t="s">
        <v>2655</v>
      </c>
      <c r="H5" t="s">
        <v>6758</v>
      </c>
      <c r="I5" t="s">
        <v>6756</v>
      </c>
      <c r="J5" t="s">
        <v>8024</v>
      </c>
      <c r="L5" s="26" t="s">
        <v>8025</v>
      </c>
      <c r="M5" t="s">
        <v>8026</v>
      </c>
      <c r="N5" t="s">
        <v>13613</v>
      </c>
      <c r="O5" t="s">
        <v>25</v>
      </c>
      <c r="P5" t="s">
        <v>13617</v>
      </c>
    </row>
    <row r="6" spans="1:25">
      <c r="A6" t="s">
        <v>13597</v>
      </c>
      <c r="B6" t="s">
        <v>13597</v>
      </c>
      <c r="C6" t="s">
        <v>13605</v>
      </c>
      <c r="D6" t="s">
        <v>13612</v>
      </c>
      <c r="E6" t="s">
        <v>469</v>
      </c>
      <c r="G6" t="s">
        <v>2655</v>
      </c>
      <c r="H6" t="s">
        <v>6758</v>
      </c>
      <c r="I6" t="s">
        <v>6756</v>
      </c>
      <c r="J6" t="s">
        <v>8024</v>
      </c>
      <c r="L6" s="26" t="s">
        <v>8025</v>
      </c>
      <c r="M6" t="s">
        <v>8026</v>
      </c>
      <c r="N6" t="s">
        <v>13614</v>
      </c>
      <c r="O6" t="s">
        <v>25</v>
      </c>
      <c r="P6" t="s">
        <v>13618</v>
      </c>
    </row>
    <row r="7" spans="1:25">
      <c r="A7" t="s">
        <v>13598</v>
      </c>
      <c r="B7" t="s">
        <v>13598</v>
      </c>
      <c r="C7" t="s">
        <v>13606</v>
      </c>
      <c r="D7" t="s">
        <v>13612</v>
      </c>
      <c r="E7" t="s">
        <v>469</v>
      </c>
      <c r="G7" t="s">
        <v>2655</v>
      </c>
      <c r="H7" t="s">
        <v>6758</v>
      </c>
      <c r="I7" t="s">
        <v>6756</v>
      </c>
      <c r="J7" t="s">
        <v>8024</v>
      </c>
      <c r="L7" s="26" t="s">
        <v>8025</v>
      </c>
      <c r="M7" t="s">
        <v>8026</v>
      </c>
      <c r="N7" t="s">
        <v>13615</v>
      </c>
      <c r="O7" t="s">
        <v>25</v>
      </c>
      <c r="P7" t="s">
        <v>13619</v>
      </c>
    </row>
    <row r="8" spans="1:25">
      <c r="A8" t="s">
        <v>13599</v>
      </c>
      <c r="B8" t="s">
        <v>13599</v>
      </c>
      <c r="C8" t="s">
        <v>13607</v>
      </c>
      <c r="D8" t="s">
        <v>13612</v>
      </c>
      <c r="E8" t="s">
        <v>469</v>
      </c>
      <c r="G8" t="s">
        <v>2655</v>
      </c>
      <c r="H8" t="s">
        <v>6758</v>
      </c>
      <c r="I8" t="s">
        <v>6756</v>
      </c>
      <c r="J8" t="s">
        <v>8024</v>
      </c>
      <c r="L8" s="26" t="s">
        <v>8025</v>
      </c>
      <c r="M8" t="s">
        <v>8026</v>
      </c>
      <c r="N8" t="s">
        <v>13616</v>
      </c>
      <c r="O8" t="s">
        <v>25</v>
      </c>
      <c r="P8" t="s">
        <v>13620</v>
      </c>
    </row>
    <row r="9" spans="1:25">
      <c r="A9" t="s">
        <v>8021</v>
      </c>
      <c r="B9" t="s">
        <v>8021</v>
      </c>
      <c r="C9" t="s">
        <v>8022</v>
      </c>
      <c r="D9" t="s">
        <v>13612</v>
      </c>
      <c r="E9" t="s">
        <v>469</v>
      </c>
      <c r="G9" t="s">
        <v>2655</v>
      </c>
      <c r="H9" t="s">
        <v>6758</v>
      </c>
      <c r="I9" t="s">
        <v>6756</v>
      </c>
      <c r="J9" t="s">
        <v>8024</v>
      </c>
      <c r="L9" s="26" t="s">
        <v>8025</v>
      </c>
      <c r="M9" t="s">
        <v>8026</v>
      </c>
      <c r="N9" t="s">
        <v>8027</v>
      </c>
      <c r="O9" t="s">
        <v>25</v>
      </c>
      <c r="P9" t="s">
        <v>8028</v>
      </c>
    </row>
    <row r="10" spans="1:25">
      <c r="A10" t="s">
        <v>13600</v>
      </c>
      <c r="B10" t="s">
        <v>13600</v>
      </c>
      <c r="C10" t="s">
        <v>13608</v>
      </c>
      <c r="D10" t="s">
        <v>13612</v>
      </c>
      <c r="E10" t="s">
        <v>469</v>
      </c>
      <c r="G10" t="s">
        <v>2655</v>
      </c>
      <c r="H10" t="s">
        <v>6758</v>
      </c>
      <c r="I10" t="s">
        <v>6756</v>
      </c>
      <c r="J10" t="s">
        <v>6758</v>
      </c>
      <c r="L10" s="26" t="s">
        <v>6757</v>
      </c>
      <c r="M10" t="s">
        <v>8026</v>
      </c>
      <c r="N10" t="s">
        <v>13621</v>
      </c>
      <c r="O10" t="s">
        <v>25</v>
      </c>
      <c r="P10" t="s">
        <v>13626</v>
      </c>
    </row>
    <row r="11" spans="1:25">
      <c r="A11" t="s">
        <v>13601</v>
      </c>
      <c r="B11" t="s">
        <v>13601</v>
      </c>
      <c r="C11" t="s">
        <v>13609</v>
      </c>
      <c r="D11" t="s">
        <v>13612</v>
      </c>
      <c r="E11" t="s">
        <v>469</v>
      </c>
      <c r="G11" t="s">
        <v>2655</v>
      </c>
      <c r="H11" t="s">
        <v>6758</v>
      </c>
      <c r="I11" t="s">
        <v>6756</v>
      </c>
      <c r="J11" t="s">
        <v>6758</v>
      </c>
      <c r="L11" s="26" t="s">
        <v>6757</v>
      </c>
      <c r="M11" t="s">
        <v>8026</v>
      </c>
      <c r="N11" t="s">
        <v>13622</v>
      </c>
      <c r="O11" t="s">
        <v>25</v>
      </c>
      <c r="P11" t="s">
        <v>13627</v>
      </c>
    </row>
    <row r="12" spans="1:25">
      <c r="A12" t="s">
        <v>6755</v>
      </c>
      <c r="B12" t="s">
        <v>6755</v>
      </c>
      <c r="C12" t="s">
        <v>8023</v>
      </c>
      <c r="D12" t="s">
        <v>13612</v>
      </c>
      <c r="E12" t="s">
        <v>469</v>
      </c>
      <c r="G12" t="s">
        <v>2655</v>
      </c>
      <c r="H12" t="s">
        <v>6758</v>
      </c>
      <c r="I12" t="s">
        <v>6756</v>
      </c>
      <c r="J12" t="s">
        <v>6758</v>
      </c>
      <c r="L12" s="26" t="s">
        <v>6757</v>
      </c>
      <c r="M12" t="s">
        <v>8026</v>
      </c>
      <c r="N12" t="s">
        <v>13623</v>
      </c>
      <c r="O12" t="s">
        <v>25</v>
      </c>
      <c r="P12" t="s">
        <v>13628</v>
      </c>
    </row>
    <row r="13" spans="1:25">
      <c r="A13" t="s">
        <v>13602</v>
      </c>
      <c r="B13" t="s">
        <v>13602</v>
      </c>
      <c r="C13" t="s">
        <v>13610</v>
      </c>
      <c r="D13" t="s">
        <v>13612</v>
      </c>
      <c r="E13" t="s">
        <v>469</v>
      </c>
      <c r="G13" t="s">
        <v>2655</v>
      </c>
      <c r="H13" t="s">
        <v>6758</v>
      </c>
      <c r="I13" t="s">
        <v>6756</v>
      </c>
      <c r="J13" t="s">
        <v>6758</v>
      </c>
      <c r="L13" s="26" t="s">
        <v>6757</v>
      </c>
      <c r="M13" t="s">
        <v>8026</v>
      </c>
      <c r="N13" t="s">
        <v>13624</v>
      </c>
      <c r="O13" t="s">
        <v>25</v>
      </c>
      <c r="P13" t="s">
        <v>13629</v>
      </c>
    </row>
    <row r="14" spans="1:25">
      <c r="A14" t="s">
        <v>13603</v>
      </c>
      <c r="B14" t="s">
        <v>13603</v>
      </c>
      <c r="C14" t="s">
        <v>13611</v>
      </c>
      <c r="D14" t="s">
        <v>13612</v>
      </c>
      <c r="E14" t="s">
        <v>469</v>
      </c>
      <c r="G14" t="s">
        <v>2655</v>
      </c>
      <c r="H14" t="s">
        <v>6758</v>
      </c>
      <c r="I14" t="s">
        <v>6756</v>
      </c>
      <c r="J14" t="s">
        <v>6758</v>
      </c>
      <c r="L14" s="26" t="s">
        <v>6757</v>
      </c>
      <c r="M14" t="s">
        <v>8026</v>
      </c>
      <c r="N14" t="s">
        <v>13625</v>
      </c>
      <c r="O14" t="s">
        <v>25</v>
      </c>
      <c r="P14" t="s">
        <v>13630</v>
      </c>
    </row>
    <row r="15" spans="1:25">
      <c r="A15" t="s">
        <v>8864</v>
      </c>
      <c r="B15" t="s">
        <v>8864</v>
      </c>
      <c r="C15" t="s">
        <v>8865</v>
      </c>
      <c r="D15" t="s">
        <v>8866</v>
      </c>
      <c r="E15" t="s">
        <v>469</v>
      </c>
      <c r="G15" t="s">
        <v>8870</v>
      </c>
      <c r="H15" t="s">
        <v>8864</v>
      </c>
      <c r="I15" t="s">
        <v>8867</v>
      </c>
      <c r="J15" t="s">
        <v>8868</v>
      </c>
      <c r="L15" t="s">
        <v>8869</v>
      </c>
      <c r="M15" t="s">
        <v>8866</v>
      </c>
    </row>
    <row r="16" spans="1:25">
      <c r="A16" t="s">
        <v>13817</v>
      </c>
      <c r="B16" t="s">
        <v>13817</v>
      </c>
      <c r="C16" t="s">
        <v>13819</v>
      </c>
      <c r="D16" t="s">
        <v>13821</v>
      </c>
      <c r="E16" t="s">
        <v>13822</v>
      </c>
      <c r="G16" t="s">
        <v>8870</v>
      </c>
      <c r="H16" t="s">
        <v>13817</v>
      </c>
      <c r="I16" t="s">
        <v>13825</v>
      </c>
      <c r="J16" t="s">
        <v>13817</v>
      </c>
      <c r="L16" t="s">
        <v>13815</v>
      </c>
      <c r="M16" t="s">
        <v>13823</v>
      </c>
      <c r="N16" t="s">
        <v>13817</v>
      </c>
      <c r="O16" t="s">
        <v>25</v>
      </c>
      <c r="P16" t="s">
        <v>13824</v>
      </c>
    </row>
    <row r="17" spans="1:16">
      <c r="A17" t="s">
        <v>14817</v>
      </c>
      <c r="B17" t="s">
        <v>14817</v>
      </c>
      <c r="C17" t="s">
        <v>14819</v>
      </c>
      <c r="D17" t="s">
        <v>13821</v>
      </c>
      <c r="E17" t="s">
        <v>13822</v>
      </c>
      <c r="G17" t="s">
        <v>8870</v>
      </c>
      <c r="H17" t="s">
        <v>13817</v>
      </c>
      <c r="I17" t="s">
        <v>13825</v>
      </c>
      <c r="J17" t="s">
        <v>14817</v>
      </c>
      <c r="L17" t="s">
        <v>13815</v>
      </c>
      <c r="M17" t="s">
        <v>13823</v>
      </c>
      <c r="N17" t="s">
        <v>13817</v>
      </c>
      <c r="O17" t="s">
        <v>25</v>
      </c>
      <c r="P17" t="s">
        <v>13824</v>
      </c>
    </row>
    <row r="18" spans="1:16">
      <c r="A18" t="s">
        <v>14818</v>
      </c>
      <c r="B18" t="s">
        <v>14818</v>
      </c>
      <c r="C18" t="s">
        <v>14820</v>
      </c>
      <c r="D18" t="s">
        <v>13821</v>
      </c>
      <c r="E18" t="s">
        <v>13822</v>
      </c>
      <c r="G18" t="s">
        <v>8870</v>
      </c>
      <c r="H18" t="s">
        <v>13817</v>
      </c>
      <c r="I18" t="s">
        <v>13825</v>
      </c>
      <c r="J18" t="s">
        <v>14818</v>
      </c>
      <c r="L18" t="s">
        <v>13815</v>
      </c>
      <c r="M18" t="s">
        <v>13823</v>
      </c>
      <c r="N18" t="s">
        <v>13817</v>
      </c>
      <c r="O18" t="s">
        <v>25</v>
      </c>
      <c r="P18" t="s">
        <v>13824</v>
      </c>
    </row>
    <row r="19" spans="1:16">
      <c r="A19" t="s">
        <v>13818</v>
      </c>
      <c r="B19" t="s">
        <v>13818</v>
      </c>
      <c r="C19" t="s">
        <v>13820</v>
      </c>
      <c r="D19" t="s">
        <v>13821</v>
      </c>
      <c r="E19" t="s">
        <v>13822</v>
      </c>
      <c r="G19" t="s">
        <v>8870</v>
      </c>
      <c r="H19" t="s">
        <v>13818</v>
      </c>
      <c r="I19" t="s">
        <v>13825</v>
      </c>
      <c r="J19" t="s">
        <v>13818</v>
      </c>
      <c r="L19" t="s">
        <v>13816</v>
      </c>
    </row>
    <row r="20" spans="1:16">
      <c r="A20" t="s">
        <v>13861</v>
      </c>
      <c r="B20" t="s">
        <v>13861</v>
      </c>
      <c r="C20" t="s">
        <v>13862</v>
      </c>
      <c r="D20" t="s">
        <v>13863</v>
      </c>
      <c r="E20" t="s">
        <v>13822</v>
      </c>
      <c r="G20" t="s">
        <v>8870</v>
      </c>
      <c r="H20" t="s">
        <v>13861</v>
      </c>
      <c r="L20" t="s">
        <v>13864</v>
      </c>
      <c r="M20" t="s">
        <v>13863</v>
      </c>
      <c r="N20" t="s">
        <v>13861</v>
      </c>
      <c r="O20" t="s">
        <v>25</v>
      </c>
      <c r="P20" t="s">
        <v>13865</v>
      </c>
    </row>
    <row r="21" spans="1:16">
      <c r="A21" t="s">
        <v>13866</v>
      </c>
      <c r="B21" t="s">
        <v>13866</v>
      </c>
      <c r="C21" t="s">
        <v>13867</v>
      </c>
      <c r="D21" t="s">
        <v>13868</v>
      </c>
      <c r="E21" t="s">
        <v>13822</v>
      </c>
      <c r="G21" t="s">
        <v>8870</v>
      </c>
      <c r="H21" t="s">
        <v>13866</v>
      </c>
      <c r="L21" t="s">
        <v>13869</v>
      </c>
      <c r="M21" t="s">
        <v>13868</v>
      </c>
      <c r="N21" t="s">
        <v>13866</v>
      </c>
      <c r="O21" t="s">
        <v>4349</v>
      </c>
      <c r="P21" t="s">
        <v>13870</v>
      </c>
    </row>
    <row r="22" spans="1:16">
      <c r="A22" t="s">
        <v>13871</v>
      </c>
      <c r="B22" t="s">
        <v>13871</v>
      </c>
      <c r="C22" t="s">
        <v>13872</v>
      </c>
      <c r="D22" t="s">
        <v>13868</v>
      </c>
      <c r="E22" t="s">
        <v>13822</v>
      </c>
      <c r="G22" t="s">
        <v>8870</v>
      </c>
      <c r="H22" t="s">
        <v>13871</v>
      </c>
      <c r="L22" t="s">
        <v>13873</v>
      </c>
      <c r="M22" t="s">
        <v>13868</v>
      </c>
      <c r="N22" t="s">
        <v>13871</v>
      </c>
      <c r="O22" t="s">
        <v>4349</v>
      </c>
      <c r="P22" t="s">
        <v>13874</v>
      </c>
    </row>
    <row r="23" spans="1:16">
      <c r="A23" t="s">
        <v>13875</v>
      </c>
      <c r="B23" t="s">
        <v>13875</v>
      </c>
      <c r="C23" t="s">
        <v>13878</v>
      </c>
      <c r="D23" t="s">
        <v>13868</v>
      </c>
      <c r="E23" t="s">
        <v>13822</v>
      </c>
      <c r="G23" t="s">
        <v>8870</v>
      </c>
      <c r="H23" t="s">
        <v>13871</v>
      </c>
      <c r="L23" t="s">
        <v>13877</v>
      </c>
      <c r="M23" t="s">
        <v>13868</v>
      </c>
      <c r="N23" t="s">
        <v>13875</v>
      </c>
      <c r="O23" t="s">
        <v>4349</v>
      </c>
      <c r="P23" t="s">
        <v>13876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AA275"/>
  <sheetViews>
    <sheetView tabSelected="1" zoomScaleNormal="100" workbookViewId="0">
      <pane xSplit="1" ySplit="1" topLeftCell="B247" activePane="bottomRight" state="frozen"/>
      <selection pane="topRight" activeCell="B1" sqref="B1"/>
      <selection pane="bottomLeft" activeCell="A2" sqref="A2"/>
      <selection pane="bottomRight" activeCell="C277" sqref="C277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  <col min="23" max="26" width="23.28515625" customWidth="1"/>
  </cols>
  <sheetData>
    <row r="1" spans="1:27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18631</v>
      </c>
      <c r="X1" s="1" t="s">
        <v>18632</v>
      </c>
      <c r="Y1" s="1" t="s">
        <v>18633</v>
      </c>
      <c r="Z1" s="1" t="s">
        <v>18634</v>
      </c>
      <c r="AA1" s="1" t="s">
        <v>4726</v>
      </c>
    </row>
    <row r="2" spans="1:27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AA2" t="s">
        <v>4727</v>
      </c>
    </row>
    <row r="3" spans="1:27">
      <c r="A3" t="s">
        <v>2657</v>
      </c>
      <c r="B3" t="s">
        <v>2657</v>
      </c>
      <c r="C3" t="s">
        <v>2658</v>
      </c>
      <c r="D3" t="s">
        <v>2659</v>
      </c>
      <c r="E3" t="s">
        <v>10851</v>
      </c>
      <c r="F3" t="s">
        <v>2655</v>
      </c>
      <c r="G3" t="s">
        <v>2660</v>
      </c>
      <c r="H3" t="s">
        <v>4377</v>
      </c>
      <c r="I3" t="s">
        <v>10850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AA3" t="s">
        <v>4727</v>
      </c>
    </row>
    <row r="4" spans="1:27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AA4" t="s">
        <v>4727</v>
      </c>
    </row>
    <row r="5" spans="1:27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AA5" t="s">
        <v>4727</v>
      </c>
    </row>
    <row r="6" spans="1:27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AA6" t="s">
        <v>4727</v>
      </c>
    </row>
    <row r="7" spans="1:27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AA7" t="s">
        <v>4727</v>
      </c>
    </row>
    <row r="8" spans="1:27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AA8" t="s">
        <v>4727</v>
      </c>
    </row>
    <row r="9" spans="1:27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AA9" t="s">
        <v>4727</v>
      </c>
    </row>
    <row r="10" spans="1:27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AA10" t="s">
        <v>4727</v>
      </c>
    </row>
    <row r="11" spans="1:27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AA11" t="s">
        <v>4727</v>
      </c>
    </row>
    <row r="12" spans="1:27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s="5"/>
      <c r="X12" s="5"/>
      <c r="Y12" s="5"/>
      <c r="Z12" s="5"/>
      <c r="AA12" t="s">
        <v>4727</v>
      </c>
    </row>
    <row r="13" spans="1:27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AA13" t="s">
        <v>4727</v>
      </c>
    </row>
    <row r="14" spans="1:27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s="5"/>
      <c r="X14" s="5"/>
      <c r="Y14" s="5"/>
      <c r="Z14" s="5"/>
      <c r="AA14" t="s">
        <v>4727</v>
      </c>
    </row>
    <row r="15" spans="1:27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s="5"/>
      <c r="X15" s="5"/>
      <c r="Y15" s="5"/>
      <c r="Z15" s="5"/>
      <c r="AA15" t="s">
        <v>4727</v>
      </c>
    </row>
    <row r="16" spans="1:27">
      <c r="A16" t="s">
        <v>6539</v>
      </c>
      <c r="B16" t="s">
        <v>6539</v>
      </c>
      <c r="C16" t="s">
        <v>6655</v>
      </c>
      <c r="D16" t="s">
        <v>4517</v>
      </c>
      <c r="E16" t="s">
        <v>6332</v>
      </c>
      <c r="F16" t="s">
        <v>2655</v>
      </c>
      <c r="G16" t="s">
        <v>6538</v>
      </c>
      <c r="H16" t="s">
        <v>4377</v>
      </c>
      <c r="I16" t="s">
        <v>10852</v>
      </c>
      <c r="J16" t="s">
        <v>6537</v>
      </c>
      <c r="K16" t="s">
        <v>4517</v>
      </c>
      <c r="L16" t="s">
        <v>6541</v>
      </c>
      <c r="M16" t="s">
        <v>25</v>
      </c>
      <c r="N16" t="s">
        <v>6540</v>
      </c>
      <c r="S16" t="s">
        <v>4517</v>
      </c>
      <c r="T16" s="5" t="s">
        <v>6541</v>
      </c>
      <c r="U16" t="s">
        <v>4559</v>
      </c>
      <c r="V16" s="5" t="s">
        <v>6542</v>
      </c>
      <c r="W16" s="5"/>
      <c r="X16" s="5"/>
      <c r="Y16" s="5"/>
      <c r="Z16" s="5"/>
    </row>
    <row r="17" spans="1:27">
      <c r="A17" t="s">
        <v>6233</v>
      </c>
      <c r="B17" t="s">
        <v>6233</v>
      </c>
      <c r="C17" t="s">
        <v>6656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10850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  <c r="W17" s="5"/>
      <c r="X17" s="5"/>
      <c r="Y17" s="5"/>
      <c r="Z17" s="5"/>
    </row>
    <row r="18" spans="1:27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7">
      <c r="A19" t="s">
        <v>6251</v>
      </c>
      <c r="B19" t="s">
        <v>6251</v>
      </c>
      <c r="C19" t="s">
        <v>18803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6254</v>
      </c>
      <c r="U19" t="s">
        <v>4559</v>
      </c>
      <c r="V19" s="5" t="s">
        <v>6255</v>
      </c>
      <c r="W19" s="5"/>
      <c r="X19" s="5"/>
      <c r="Y19" s="5"/>
      <c r="Z19" s="5"/>
    </row>
    <row r="20" spans="1:27">
      <c r="A20" t="s">
        <v>6250</v>
      </c>
      <c r="B20" t="s">
        <v>6250</v>
      </c>
      <c r="C20" t="s">
        <v>6657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6253</v>
      </c>
      <c r="M20" t="s">
        <v>25</v>
      </c>
      <c r="N20" t="s">
        <v>6252</v>
      </c>
    </row>
    <row r="21" spans="1:27" ht="15.75">
      <c r="A21" t="s">
        <v>18804</v>
      </c>
      <c r="B21" t="s">
        <v>18804</v>
      </c>
      <c r="C21" t="s">
        <v>6264</v>
      </c>
      <c r="D21" t="s">
        <v>6265</v>
      </c>
      <c r="E21" t="s">
        <v>6266</v>
      </c>
      <c r="F21" t="s">
        <v>2655</v>
      </c>
      <c r="G21" t="s">
        <v>6267</v>
      </c>
      <c r="H21" t="s">
        <v>4377</v>
      </c>
      <c r="I21" t="s">
        <v>6544</v>
      </c>
      <c r="J21" t="s">
        <v>6268</v>
      </c>
      <c r="K21" t="s">
        <v>6265</v>
      </c>
      <c r="L21" t="s">
        <v>18804</v>
      </c>
      <c r="M21" t="s">
        <v>25</v>
      </c>
      <c r="N21" t="s">
        <v>6270</v>
      </c>
      <c r="S21" t="s">
        <v>6265</v>
      </c>
      <c r="T21" t="s">
        <v>18804</v>
      </c>
      <c r="U21" t="s">
        <v>4559</v>
      </c>
      <c r="V21" s="10" t="s">
        <v>6269</v>
      </c>
      <c r="W21" s="10"/>
      <c r="X21" s="10"/>
      <c r="Y21" s="10"/>
      <c r="Z21" s="10"/>
    </row>
    <row r="22" spans="1:27">
      <c r="A22" t="s">
        <v>6322</v>
      </c>
      <c r="B22" t="s">
        <v>6322</v>
      </c>
      <c r="C22" t="s">
        <v>18805</v>
      </c>
      <c r="D22" t="s">
        <v>6320</v>
      </c>
      <c r="E22" t="s">
        <v>6321</v>
      </c>
      <c r="F22" t="s">
        <v>2655</v>
      </c>
      <c r="G22" t="s">
        <v>6409</v>
      </c>
      <c r="H22" t="s">
        <v>4377</v>
      </c>
      <c r="I22" t="s">
        <v>6543</v>
      </c>
      <c r="J22" t="s">
        <v>6323</v>
      </c>
      <c r="K22" t="s">
        <v>6324</v>
      </c>
      <c r="L22" t="s">
        <v>6322</v>
      </c>
      <c r="M22" t="s">
        <v>25</v>
      </c>
      <c r="N22" t="s">
        <v>6325</v>
      </c>
      <c r="S22" t="s">
        <v>6320</v>
      </c>
      <c r="T22" s="12" t="s">
        <v>6319</v>
      </c>
      <c r="U22" t="s">
        <v>4559</v>
      </c>
      <c r="V22" s="5" t="s">
        <v>6318</v>
      </c>
      <c r="W22" s="5"/>
      <c r="X22" s="5"/>
      <c r="Y22" s="5"/>
      <c r="Z22" s="5"/>
    </row>
    <row r="23" spans="1:27">
      <c r="A23" t="s">
        <v>6326</v>
      </c>
      <c r="B23" t="s">
        <v>6326</v>
      </c>
      <c r="C23" t="s">
        <v>6327</v>
      </c>
      <c r="D23" t="s">
        <v>4517</v>
      </c>
      <c r="E23" t="s">
        <v>6236</v>
      </c>
      <c r="F23" t="s">
        <v>2655</v>
      </c>
      <c r="G23" s="13" t="s">
        <v>6326</v>
      </c>
      <c r="H23" t="s">
        <v>4377</v>
      </c>
      <c r="I23" t="s">
        <v>4793</v>
      </c>
      <c r="J23" t="s">
        <v>6329</v>
      </c>
      <c r="K23" t="s">
        <v>4517</v>
      </c>
      <c r="L23" t="s">
        <v>6326</v>
      </c>
      <c r="M23" t="s">
        <v>25</v>
      </c>
      <c r="N23" t="s">
        <v>6328</v>
      </c>
      <c r="S23" t="s">
        <v>4517</v>
      </c>
      <c r="T23" s="5" t="s">
        <v>6326</v>
      </c>
      <c r="U23" t="s">
        <v>4559</v>
      </c>
      <c r="V23" s="5" t="s">
        <v>6330</v>
      </c>
      <c r="W23" s="5"/>
      <c r="X23" s="5"/>
      <c r="Y23" s="5"/>
      <c r="Z23" s="5"/>
    </row>
    <row r="24" spans="1:27">
      <c r="A24" t="s">
        <v>6339</v>
      </c>
      <c r="B24" t="s">
        <v>6339</v>
      </c>
      <c r="C24" t="s">
        <v>8094</v>
      </c>
      <c r="D24" t="s">
        <v>21</v>
      </c>
      <c r="E24" t="s">
        <v>6236</v>
      </c>
      <c r="F24" t="s">
        <v>2655</v>
      </c>
      <c r="G24" t="s">
        <v>6333</v>
      </c>
      <c r="H24" t="s">
        <v>4377</v>
      </c>
      <c r="I24" t="s">
        <v>4793</v>
      </c>
      <c r="J24" t="s">
        <v>6337</v>
      </c>
      <c r="K24" t="s">
        <v>6338</v>
      </c>
      <c r="L24" t="s">
        <v>6339</v>
      </c>
      <c r="M24" t="s">
        <v>25</v>
      </c>
      <c r="N24" t="s">
        <v>8092</v>
      </c>
      <c r="S24" t="s">
        <v>6338</v>
      </c>
      <c r="T24" s="5" t="s">
        <v>6339</v>
      </c>
      <c r="U24" t="s">
        <v>4559</v>
      </c>
      <c r="V24" s="5" t="s">
        <v>6340</v>
      </c>
      <c r="W24" s="5"/>
      <c r="X24" s="5"/>
      <c r="Y24" s="5"/>
      <c r="Z24" s="5"/>
    </row>
    <row r="25" spans="1:27">
      <c r="A25" t="s">
        <v>6334</v>
      </c>
      <c r="B25" t="s">
        <v>6334</v>
      </c>
      <c r="C25" t="s">
        <v>6335</v>
      </c>
      <c r="D25" t="s">
        <v>21</v>
      </c>
      <c r="E25" t="s">
        <v>6236</v>
      </c>
      <c r="F25" t="s">
        <v>2655</v>
      </c>
      <c r="G25" t="s">
        <v>6333</v>
      </c>
      <c r="H25" t="s">
        <v>4377</v>
      </c>
      <c r="I25" t="s">
        <v>4793</v>
      </c>
      <c r="J25" t="s">
        <v>8093</v>
      </c>
      <c r="K25" t="s">
        <v>6336</v>
      </c>
      <c r="L25" t="s">
        <v>6334</v>
      </c>
      <c r="M25" t="s">
        <v>25</v>
      </c>
      <c r="N25" t="s">
        <v>8095</v>
      </c>
      <c r="S25" t="s">
        <v>8091</v>
      </c>
      <c r="T25" s="5" t="s">
        <v>6334</v>
      </c>
      <c r="U25" t="s">
        <v>4559</v>
      </c>
      <c r="V25" s="31" t="s">
        <v>8090</v>
      </c>
      <c r="W25" s="31"/>
      <c r="X25" s="31"/>
      <c r="Y25" s="31"/>
      <c r="Z25" s="31"/>
    </row>
    <row r="26" spans="1:27">
      <c r="A26" t="s">
        <v>6580</v>
      </c>
      <c r="B26" t="s">
        <v>6580</v>
      </c>
      <c r="C26" t="s">
        <v>6581</v>
      </c>
      <c r="D26" t="s">
        <v>4526</v>
      </c>
      <c r="E26" t="s">
        <v>6236</v>
      </c>
      <c r="F26" t="s">
        <v>2655</v>
      </c>
      <c r="G26" t="s">
        <v>6582</v>
      </c>
      <c r="H26" t="s">
        <v>4377</v>
      </c>
      <c r="I26" t="s">
        <v>4794</v>
      </c>
      <c r="J26" t="s">
        <v>6583</v>
      </c>
      <c r="S26" t="s">
        <v>4526</v>
      </c>
      <c r="T26" t="s">
        <v>6584</v>
      </c>
      <c r="U26" t="s">
        <v>4559</v>
      </c>
      <c r="V26" t="s">
        <v>6585</v>
      </c>
      <c r="AA26" t="s">
        <v>4727</v>
      </c>
    </row>
    <row r="27" spans="1:27">
      <c r="A27" t="s">
        <v>6622</v>
      </c>
      <c r="C27" t="s">
        <v>6623</v>
      </c>
      <c r="D27" t="s">
        <v>6624</v>
      </c>
      <c r="E27" t="s">
        <v>4372</v>
      </c>
      <c r="F27" t="s">
        <v>2655</v>
      </c>
      <c r="G27" t="s">
        <v>6625</v>
      </c>
      <c r="H27" t="s">
        <v>4376</v>
      </c>
      <c r="I27" t="s">
        <v>4798</v>
      </c>
      <c r="J27" t="s">
        <v>6626</v>
      </c>
      <c r="K27" t="s">
        <v>6627</v>
      </c>
      <c r="L27" t="s">
        <v>6622</v>
      </c>
      <c r="M27" t="s">
        <v>25</v>
      </c>
      <c r="N27" t="s">
        <v>6628</v>
      </c>
      <c r="S27" t="s">
        <v>6629</v>
      </c>
      <c r="T27" t="s">
        <v>6630</v>
      </c>
      <c r="U27" t="s">
        <v>4559</v>
      </c>
      <c r="V27" t="s">
        <v>6631</v>
      </c>
    </row>
    <row r="28" spans="1:27" ht="15.75">
      <c r="A28" t="s">
        <v>6707</v>
      </c>
      <c r="B28" t="s">
        <v>6707</v>
      </c>
      <c r="C28" t="s">
        <v>18806</v>
      </c>
      <c r="D28" t="s">
        <v>6708</v>
      </c>
      <c r="E28" t="s">
        <v>6709</v>
      </c>
      <c r="F28" t="s">
        <v>2655</v>
      </c>
      <c r="G28" t="s">
        <v>6707</v>
      </c>
      <c r="H28" t="s">
        <v>6243</v>
      </c>
      <c r="I28" t="s">
        <v>6710</v>
      </c>
      <c r="J28" s="26" t="s">
        <v>6711</v>
      </c>
      <c r="K28" t="s">
        <v>6713</v>
      </c>
      <c r="L28" t="s">
        <v>6712</v>
      </c>
      <c r="M28" t="s">
        <v>25</v>
      </c>
      <c r="N28" t="s">
        <v>6714</v>
      </c>
      <c r="T28" s="10"/>
      <c r="V28" s="10"/>
      <c r="W28" s="10"/>
      <c r="X28" s="10"/>
      <c r="Y28" s="10"/>
      <c r="Z28" s="10"/>
    </row>
    <row r="29" spans="1:27" ht="15.75">
      <c r="A29" t="s">
        <v>6715</v>
      </c>
      <c r="B29" t="s">
        <v>6715</v>
      </c>
      <c r="C29" t="s">
        <v>6725</v>
      </c>
      <c r="D29" t="s">
        <v>4517</v>
      </c>
      <c r="E29" t="s">
        <v>6726</v>
      </c>
      <c r="F29" t="s">
        <v>2655</v>
      </c>
      <c r="G29" t="s">
        <v>6715</v>
      </c>
      <c r="H29" t="s">
        <v>6243</v>
      </c>
      <c r="I29" t="s">
        <v>6727</v>
      </c>
      <c r="J29" s="26" t="s">
        <v>6728</v>
      </c>
      <c r="K29" t="s">
        <v>4517</v>
      </c>
      <c r="L29" t="s">
        <v>6730</v>
      </c>
      <c r="M29" t="s">
        <v>25</v>
      </c>
      <c r="N29" t="s">
        <v>6729</v>
      </c>
      <c r="S29" t="s">
        <v>4517</v>
      </c>
      <c r="T29" t="s">
        <v>6730</v>
      </c>
      <c r="U29" t="s">
        <v>4559</v>
      </c>
      <c r="V29" s="10" t="s">
        <v>6731</v>
      </c>
      <c r="W29" s="10"/>
      <c r="X29" s="10"/>
      <c r="Y29" s="10"/>
      <c r="Z29" s="10"/>
    </row>
    <row r="30" spans="1:27">
      <c r="A30" t="s">
        <v>6741</v>
      </c>
      <c r="B30" t="s">
        <v>6741</v>
      </c>
      <c r="C30" t="s">
        <v>6742</v>
      </c>
      <c r="D30" t="s">
        <v>6743</v>
      </c>
      <c r="E30" t="s">
        <v>6744</v>
      </c>
      <c r="F30" t="s">
        <v>2655</v>
      </c>
      <c r="G30" t="s">
        <v>6741</v>
      </c>
      <c r="H30" t="s">
        <v>6243</v>
      </c>
      <c r="I30" t="s">
        <v>6745</v>
      </c>
      <c r="J30" s="26" t="s">
        <v>6746</v>
      </c>
      <c r="K30" t="s">
        <v>6713</v>
      </c>
    </row>
    <row r="31" spans="1:27" ht="15.75">
      <c r="A31" t="s">
        <v>6747</v>
      </c>
      <c r="B31" t="s">
        <v>6747</v>
      </c>
      <c r="C31" t="s">
        <v>6748</v>
      </c>
      <c r="D31" t="s">
        <v>4517</v>
      </c>
      <c r="E31" t="s">
        <v>6749</v>
      </c>
      <c r="F31" t="s">
        <v>2655</v>
      </c>
      <c r="G31" s="13" t="s">
        <v>6747</v>
      </c>
      <c r="H31" t="s">
        <v>6243</v>
      </c>
      <c r="I31" t="s">
        <v>6750</v>
      </c>
      <c r="J31" t="s">
        <v>6751</v>
      </c>
      <c r="K31" t="s">
        <v>4517</v>
      </c>
      <c r="L31" t="s">
        <v>6753</v>
      </c>
      <c r="M31" t="s">
        <v>25</v>
      </c>
      <c r="N31" t="s">
        <v>6752</v>
      </c>
      <c r="S31" t="s">
        <v>4517</v>
      </c>
      <c r="T31" s="10" t="s">
        <v>6753</v>
      </c>
      <c r="U31" t="s">
        <v>4559</v>
      </c>
      <c r="V31" s="10" t="s">
        <v>6754</v>
      </c>
      <c r="W31" s="10"/>
      <c r="X31" s="10"/>
      <c r="Y31" s="10"/>
      <c r="Z31" s="10"/>
    </row>
    <row r="32" spans="1:27">
      <c r="A32" t="s">
        <v>6774</v>
      </c>
      <c r="B32" t="s">
        <v>6774</v>
      </c>
      <c r="C32" t="s">
        <v>18807</v>
      </c>
      <c r="D32" t="s">
        <v>4517</v>
      </c>
      <c r="E32" t="s">
        <v>6775</v>
      </c>
      <c r="F32" t="s">
        <v>2655</v>
      </c>
      <c r="G32" t="s">
        <v>6774</v>
      </c>
      <c r="H32" t="s">
        <v>4376</v>
      </c>
      <c r="I32" t="s">
        <v>13859</v>
      </c>
      <c r="J32" t="s">
        <v>6779</v>
      </c>
      <c r="K32" t="s">
        <v>4517</v>
      </c>
      <c r="L32" t="s">
        <v>6776</v>
      </c>
      <c r="M32" t="s">
        <v>25</v>
      </c>
      <c r="N32" t="s">
        <v>6776</v>
      </c>
      <c r="S32" t="s">
        <v>4517</v>
      </c>
      <c r="T32" s="5" t="s">
        <v>6776</v>
      </c>
      <c r="U32" t="s">
        <v>4559</v>
      </c>
      <c r="V32" s="5" t="s">
        <v>6777</v>
      </c>
      <c r="W32" s="5"/>
      <c r="X32" s="5"/>
      <c r="Y32" s="5"/>
      <c r="Z32" s="5"/>
    </row>
    <row r="33" spans="1:27">
      <c r="A33" t="s">
        <v>6785</v>
      </c>
      <c r="B33" t="s">
        <v>6785</v>
      </c>
      <c r="C33" t="s">
        <v>18808</v>
      </c>
      <c r="D33" t="s">
        <v>4517</v>
      </c>
      <c r="E33" t="s">
        <v>6236</v>
      </c>
      <c r="F33" t="s">
        <v>2655</v>
      </c>
      <c r="G33" t="s">
        <v>6780</v>
      </c>
      <c r="H33" t="s">
        <v>4376</v>
      </c>
      <c r="I33" t="s">
        <v>4789</v>
      </c>
      <c r="J33" t="s">
        <v>6781</v>
      </c>
      <c r="K33" t="s">
        <v>4517</v>
      </c>
      <c r="L33" t="s">
        <v>6783</v>
      </c>
      <c r="M33" t="s">
        <v>25</v>
      </c>
      <c r="N33" t="s">
        <v>6782</v>
      </c>
      <c r="S33" t="s">
        <v>4517</v>
      </c>
      <c r="T33" t="s">
        <v>6783</v>
      </c>
      <c r="U33" t="s">
        <v>4559</v>
      </c>
      <c r="V33" s="5" t="s">
        <v>6784</v>
      </c>
      <c r="W33" s="5"/>
      <c r="X33" s="5"/>
      <c r="Y33" s="5"/>
      <c r="Z33" s="5"/>
    </row>
    <row r="34" spans="1:27">
      <c r="A34" t="s">
        <v>6959</v>
      </c>
      <c r="B34" t="s">
        <v>6959</v>
      </c>
      <c r="C34" t="s">
        <v>18809</v>
      </c>
      <c r="D34" t="s">
        <v>4517</v>
      </c>
      <c r="E34" t="s">
        <v>6960</v>
      </c>
      <c r="F34" t="s">
        <v>2655</v>
      </c>
      <c r="G34" t="s">
        <v>6961</v>
      </c>
      <c r="H34" t="s">
        <v>4376</v>
      </c>
      <c r="I34" t="s">
        <v>6962</v>
      </c>
      <c r="J34" s="26" t="s">
        <v>6963</v>
      </c>
      <c r="K34" t="s">
        <v>4517</v>
      </c>
      <c r="L34" t="s">
        <v>6959</v>
      </c>
      <c r="M34" t="s">
        <v>25</v>
      </c>
      <c r="N34" t="s">
        <v>6964</v>
      </c>
    </row>
    <row r="35" spans="1:27" ht="15.75">
      <c r="A35" t="s">
        <v>18810</v>
      </c>
      <c r="B35" t="s">
        <v>18810</v>
      </c>
      <c r="C35" t="s">
        <v>7002</v>
      </c>
      <c r="D35" t="s">
        <v>7000</v>
      </c>
      <c r="E35" t="s">
        <v>4553</v>
      </c>
      <c r="F35" t="s">
        <v>7005</v>
      </c>
      <c r="G35" t="s">
        <v>11110</v>
      </c>
      <c r="H35" t="s">
        <v>4376</v>
      </c>
      <c r="I35" t="s">
        <v>4799</v>
      </c>
      <c r="J35" s="26" t="s">
        <v>7001</v>
      </c>
      <c r="K35" t="s">
        <v>7000</v>
      </c>
      <c r="L35" t="s">
        <v>18810</v>
      </c>
      <c r="M35" t="s">
        <v>25</v>
      </c>
      <c r="N35" t="s">
        <v>6999</v>
      </c>
      <c r="S35" t="s">
        <v>7004</v>
      </c>
      <c r="T35" s="10" t="s">
        <v>18811</v>
      </c>
      <c r="U35" t="s">
        <v>4559</v>
      </c>
      <c r="V35" s="10" t="s">
        <v>7003</v>
      </c>
      <c r="W35" s="10"/>
      <c r="X35" s="10"/>
      <c r="Y35" s="10"/>
      <c r="Z35" s="10"/>
    </row>
    <row r="36" spans="1:27">
      <c r="A36" t="s">
        <v>7820</v>
      </c>
      <c r="B36" t="s">
        <v>7820</v>
      </c>
      <c r="C36" t="s">
        <v>18812</v>
      </c>
      <c r="D36" t="s">
        <v>7821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7822</v>
      </c>
      <c r="S36" t="s">
        <v>7821</v>
      </c>
      <c r="T36" t="s">
        <v>7820</v>
      </c>
      <c r="U36" t="s">
        <v>4559</v>
      </c>
      <c r="V36" t="s">
        <v>7823</v>
      </c>
      <c r="AA36" t="s">
        <v>4727</v>
      </c>
    </row>
    <row r="37" spans="1:27">
      <c r="A37" t="s">
        <v>7932</v>
      </c>
      <c r="B37" t="s">
        <v>7932</v>
      </c>
      <c r="C37" t="s">
        <v>7931</v>
      </c>
      <c r="D37" t="s">
        <v>7933</v>
      </c>
      <c r="E37" t="s">
        <v>7934</v>
      </c>
      <c r="F37" t="s">
        <v>2655</v>
      </c>
      <c r="G37" t="s">
        <v>7937</v>
      </c>
      <c r="J37" t="s">
        <v>7951</v>
      </c>
      <c r="K37" t="s">
        <v>18813</v>
      </c>
      <c r="L37" t="s">
        <v>7957</v>
      </c>
      <c r="M37" t="s">
        <v>25</v>
      </c>
      <c r="N37" t="s">
        <v>7965</v>
      </c>
      <c r="O37" t="s">
        <v>18813</v>
      </c>
      <c r="P37" t="s">
        <v>7955</v>
      </c>
      <c r="Q37" t="s">
        <v>25</v>
      </c>
      <c r="R37" t="s">
        <v>7956</v>
      </c>
    </row>
    <row r="38" spans="1:27">
      <c r="A38" t="s">
        <v>7935</v>
      </c>
      <c r="B38" t="s">
        <v>7935</v>
      </c>
      <c r="C38" t="s">
        <v>7931</v>
      </c>
      <c r="D38" t="s">
        <v>7933</v>
      </c>
      <c r="E38" t="s">
        <v>7936</v>
      </c>
      <c r="F38" t="s">
        <v>2655</v>
      </c>
      <c r="G38" t="s">
        <v>7938</v>
      </c>
      <c r="J38" t="s">
        <v>7951</v>
      </c>
      <c r="K38" t="s">
        <v>18813</v>
      </c>
      <c r="L38" t="s">
        <v>7953</v>
      </c>
      <c r="M38" t="s">
        <v>25</v>
      </c>
      <c r="N38" t="s">
        <v>7954</v>
      </c>
      <c r="O38" t="s">
        <v>18813</v>
      </c>
      <c r="P38" t="s">
        <v>7958</v>
      </c>
      <c r="Q38" t="s">
        <v>25</v>
      </c>
      <c r="R38" t="s">
        <v>7966</v>
      </c>
    </row>
    <row r="39" spans="1:27">
      <c r="A39" t="s">
        <v>7948</v>
      </c>
      <c r="B39" t="s">
        <v>7948</v>
      </c>
      <c r="C39" t="s">
        <v>7950</v>
      </c>
      <c r="D39" t="s">
        <v>7933</v>
      </c>
      <c r="E39" t="s">
        <v>7949</v>
      </c>
      <c r="F39" t="s">
        <v>2655</v>
      </c>
      <c r="G39" t="s">
        <v>7948</v>
      </c>
      <c r="H39" t="s">
        <v>7963</v>
      </c>
      <c r="I39" t="s">
        <v>7964</v>
      </c>
      <c r="J39" t="s">
        <v>7952</v>
      </c>
      <c r="K39" t="s">
        <v>18813</v>
      </c>
      <c r="L39" t="s">
        <v>7959</v>
      </c>
      <c r="M39" t="s">
        <v>25</v>
      </c>
      <c r="N39" t="s">
        <v>7960</v>
      </c>
      <c r="O39" t="s">
        <v>18813</v>
      </c>
      <c r="P39" t="s">
        <v>7961</v>
      </c>
      <c r="Q39" t="s">
        <v>25</v>
      </c>
      <c r="R39" t="s">
        <v>7962</v>
      </c>
      <c r="S39" t="s">
        <v>7933</v>
      </c>
      <c r="T39" t="s">
        <v>7959</v>
      </c>
      <c r="U39" t="s">
        <v>4559</v>
      </c>
      <c r="V39" t="s">
        <v>13595</v>
      </c>
    </row>
    <row r="40" spans="1:27">
      <c r="A40" t="s">
        <v>13826</v>
      </c>
      <c r="B40" t="s">
        <v>13826</v>
      </c>
      <c r="C40" t="s">
        <v>18814</v>
      </c>
      <c r="D40" t="s">
        <v>4517</v>
      </c>
      <c r="E40" t="s">
        <v>13828</v>
      </c>
      <c r="F40" t="s">
        <v>2655</v>
      </c>
      <c r="G40" t="s">
        <v>13830</v>
      </c>
      <c r="H40" t="s">
        <v>6736</v>
      </c>
      <c r="I40" t="s">
        <v>13857</v>
      </c>
      <c r="J40" t="s">
        <v>13832</v>
      </c>
      <c r="K40" t="s">
        <v>4517</v>
      </c>
      <c r="L40" t="s">
        <v>13826</v>
      </c>
      <c r="M40" t="s">
        <v>25</v>
      </c>
      <c r="N40" t="s">
        <v>13833</v>
      </c>
      <c r="S40" t="s">
        <v>6661</v>
      </c>
      <c r="T40" t="s">
        <v>13826</v>
      </c>
      <c r="U40" t="s">
        <v>4559</v>
      </c>
      <c r="V40" t="s">
        <v>13835</v>
      </c>
      <c r="AA40" t="s">
        <v>4727</v>
      </c>
    </row>
    <row r="41" spans="1:27">
      <c r="A41" t="s">
        <v>13827</v>
      </c>
      <c r="B41" t="s">
        <v>13827</v>
      </c>
      <c r="C41" t="s">
        <v>18815</v>
      </c>
      <c r="D41" t="s">
        <v>4517</v>
      </c>
      <c r="E41" t="s">
        <v>13829</v>
      </c>
      <c r="F41" t="s">
        <v>2655</v>
      </c>
      <c r="G41" t="s">
        <v>13831</v>
      </c>
      <c r="H41" t="s">
        <v>4376</v>
      </c>
      <c r="I41" t="s">
        <v>13858</v>
      </c>
      <c r="J41" t="s">
        <v>13832</v>
      </c>
      <c r="K41" t="s">
        <v>4517</v>
      </c>
      <c r="L41" t="s">
        <v>13827</v>
      </c>
      <c r="M41" t="s">
        <v>25</v>
      </c>
      <c r="N41" t="s">
        <v>13834</v>
      </c>
      <c r="S41" t="s">
        <v>6661</v>
      </c>
      <c r="T41" t="s">
        <v>13827</v>
      </c>
      <c r="U41" t="s">
        <v>4559</v>
      </c>
      <c r="V41" t="s">
        <v>13836</v>
      </c>
      <c r="AA41" t="s">
        <v>4727</v>
      </c>
    </row>
    <row r="42" spans="1:27">
      <c r="A42" t="s">
        <v>8471</v>
      </c>
      <c r="B42" t="s">
        <v>8471</v>
      </c>
      <c r="C42" t="s">
        <v>8472</v>
      </c>
      <c r="D42" t="s">
        <v>4517</v>
      </c>
      <c r="E42" s="34" t="s">
        <v>6775</v>
      </c>
      <c r="F42" t="s">
        <v>2655</v>
      </c>
      <c r="G42" t="s">
        <v>8473</v>
      </c>
      <c r="H42" t="s">
        <v>4376</v>
      </c>
      <c r="I42" t="s">
        <v>13858</v>
      </c>
      <c r="J42" t="s">
        <v>8474</v>
      </c>
      <c r="K42" t="s">
        <v>4517</v>
      </c>
      <c r="L42" t="s">
        <v>8471</v>
      </c>
      <c r="M42" t="s">
        <v>25</v>
      </c>
      <c r="N42" t="s">
        <v>8475</v>
      </c>
    </row>
    <row r="43" spans="1:27">
      <c r="A43" t="s">
        <v>8476</v>
      </c>
      <c r="B43" t="s">
        <v>8476</v>
      </c>
      <c r="C43" t="s">
        <v>8477</v>
      </c>
      <c r="D43" t="s">
        <v>8478</v>
      </c>
      <c r="F43" t="s">
        <v>2655</v>
      </c>
      <c r="G43" t="s">
        <v>8479</v>
      </c>
      <c r="H43" t="s">
        <v>7963</v>
      </c>
      <c r="I43" t="s">
        <v>8480</v>
      </c>
      <c r="J43" t="s">
        <v>8481</v>
      </c>
      <c r="K43" t="s">
        <v>8478</v>
      </c>
      <c r="L43" t="s">
        <v>8476</v>
      </c>
      <c r="M43" t="s">
        <v>25</v>
      </c>
      <c r="N43" t="s">
        <v>8482</v>
      </c>
    </row>
    <row r="44" spans="1:27">
      <c r="A44" t="s">
        <v>8483</v>
      </c>
      <c r="B44" t="s">
        <v>8483</v>
      </c>
      <c r="C44" t="s">
        <v>18816</v>
      </c>
      <c r="D44" t="s">
        <v>6713</v>
      </c>
      <c r="E44" t="s">
        <v>6749</v>
      </c>
      <c r="F44" t="s">
        <v>2655</v>
      </c>
      <c r="G44" t="s">
        <v>8484</v>
      </c>
      <c r="H44" t="s">
        <v>6243</v>
      </c>
      <c r="I44" t="s">
        <v>8485</v>
      </c>
      <c r="J44" t="s">
        <v>8486</v>
      </c>
      <c r="K44" t="s">
        <v>6713</v>
      </c>
      <c r="L44" t="s">
        <v>8483</v>
      </c>
      <c r="M44" t="s">
        <v>25</v>
      </c>
      <c r="N44" t="s">
        <v>8487</v>
      </c>
    </row>
    <row r="45" spans="1:27">
      <c r="A45" t="s">
        <v>8488</v>
      </c>
      <c r="B45" t="s">
        <v>8488</v>
      </c>
      <c r="C45" t="s">
        <v>8489</v>
      </c>
      <c r="D45" t="s">
        <v>6624</v>
      </c>
      <c r="E45" t="s">
        <v>6236</v>
      </c>
      <c r="F45" t="s">
        <v>2655</v>
      </c>
      <c r="G45" t="s">
        <v>8490</v>
      </c>
      <c r="H45" t="s">
        <v>4377</v>
      </c>
      <c r="I45" t="s">
        <v>4793</v>
      </c>
      <c r="J45" t="s">
        <v>8491</v>
      </c>
      <c r="K45" t="s">
        <v>6624</v>
      </c>
      <c r="L45" t="s">
        <v>8488</v>
      </c>
      <c r="M45" t="s">
        <v>25</v>
      </c>
      <c r="N45" t="s">
        <v>8492</v>
      </c>
    </row>
    <row r="46" spans="1:27">
      <c r="A46" t="s">
        <v>8503</v>
      </c>
      <c r="B46" t="s">
        <v>8503</v>
      </c>
      <c r="C46" t="s">
        <v>8505</v>
      </c>
      <c r="D46" t="s">
        <v>6624</v>
      </c>
      <c r="E46" t="s">
        <v>4553</v>
      </c>
      <c r="F46" t="s">
        <v>2655</v>
      </c>
      <c r="G46" t="s">
        <v>14046</v>
      </c>
      <c r="H46" t="s">
        <v>4376</v>
      </c>
      <c r="I46" t="s">
        <v>4799</v>
      </c>
      <c r="J46" t="s">
        <v>8502</v>
      </c>
      <c r="K46" t="s">
        <v>6624</v>
      </c>
      <c r="L46" t="s">
        <v>8503</v>
      </c>
      <c r="M46" t="s">
        <v>25</v>
      </c>
      <c r="N46" t="s">
        <v>8504</v>
      </c>
    </row>
    <row r="47" spans="1:27">
      <c r="A47" t="s">
        <v>8507</v>
      </c>
      <c r="B47" t="s">
        <v>8507</v>
      </c>
      <c r="C47" t="s">
        <v>8511</v>
      </c>
      <c r="D47" t="s">
        <v>6624</v>
      </c>
      <c r="E47" t="s">
        <v>8509</v>
      </c>
      <c r="F47" t="s">
        <v>2655</v>
      </c>
      <c r="G47" t="s">
        <v>14046</v>
      </c>
      <c r="H47" t="s">
        <v>4376</v>
      </c>
      <c r="I47" t="s">
        <v>8510</v>
      </c>
      <c r="J47" t="s">
        <v>8506</v>
      </c>
      <c r="K47" t="s">
        <v>6624</v>
      </c>
      <c r="L47" t="s">
        <v>8507</v>
      </c>
      <c r="M47" t="s">
        <v>25</v>
      </c>
      <c r="N47" t="s">
        <v>8508</v>
      </c>
    </row>
    <row r="48" spans="1:27">
      <c r="A48" t="s">
        <v>10673</v>
      </c>
      <c r="B48" t="s">
        <v>10673</v>
      </c>
      <c r="C48" t="s">
        <v>18817</v>
      </c>
      <c r="D48" t="s">
        <v>10664</v>
      </c>
      <c r="E48" t="s">
        <v>10672</v>
      </c>
      <c r="F48" t="s">
        <v>10665</v>
      </c>
      <c r="G48" t="s">
        <v>10683</v>
      </c>
      <c r="H48" t="s">
        <v>10688</v>
      </c>
      <c r="I48" t="s">
        <v>10742</v>
      </c>
      <c r="J48" t="s">
        <v>10690</v>
      </c>
      <c r="K48" t="s">
        <v>7928</v>
      </c>
      <c r="L48" t="s">
        <v>10697</v>
      </c>
      <c r="M48" t="s">
        <v>25</v>
      </c>
      <c r="N48" t="s">
        <v>10698</v>
      </c>
      <c r="S48" t="s">
        <v>7928</v>
      </c>
      <c r="T48" t="s">
        <v>10697</v>
      </c>
      <c r="U48" t="s">
        <v>4559</v>
      </c>
      <c r="V48" t="s">
        <v>10731</v>
      </c>
    </row>
    <row r="49" spans="1:22">
      <c r="A49" t="s">
        <v>10674</v>
      </c>
      <c r="B49" t="s">
        <v>10674</v>
      </c>
      <c r="C49" t="s">
        <v>18818</v>
      </c>
      <c r="D49" t="s">
        <v>10664</v>
      </c>
      <c r="E49" t="s">
        <v>10672</v>
      </c>
      <c r="F49" t="s">
        <v>10665</v>
      </c>
      <c r="G49" t="s">
        <v>10683</v>
      </c>
      <c r="H49" t="s">
        <v>10688</v>
      </c>
      <c r="I49" t="s">
        <v>10742</v>
      </c>
      <c r="J49" t="s">
        <v>10691</v>
      </c>
      <c r="K49" t="s">
        <v>7928</v>
      </c>
      <c r="L49" t="s">
        <v>10701</v>
      </c>
      <c r="M49" t="s">
        <v>25</v>
      </c>
      <c r="N49" t="s">
        <v>10702</v>
      </c>
      <c r="O49" t="s">
        <v>7928</v>
      </c>
      <c r="P49" t="s">
        <v>10703</v>
      </c>
      <c r="Q49" t="s">
        <v>25</v>
      </c>
      <c r="R49" t="s">
        <v>10704</v>
      </c>
      <c r="S49" t="s">
        <v>7928</v>
      </c>
      <c r="T49" t="s">
        <v>10701</v>
      </c>
      <c r="U49" t="s">
        <v>4559</v>
      </c>
      <c r="V49" t="s">
        <v>10732</v>
      </c>
    </row>
    <row r="50" spans="1:22">
      <c r="A50" t="s">
        <v>10675</v>
      </c>
      <c r="B50" t="s">
        <v>10675</v>
      </c>
      <c r="C50" t="s">
        <v>18819</v>
      </c>
      <c r="D50" t="s">
        <v>10664</v>
      </c>
      <c r="E50" t="s">
        <v>10672</v>
      </c>
      <c r="F50" t="s">
        <v>10665</v>
      </c>
      <c r="G50" t="s">
        <v>10683</v>
      </c>
      <c r="H50" t="s">
        <v>10688</v>
      </c>
      <c r="I50" t="s">
        <v>10742</v>
      </c>
      <c r="J50" t="s">
        <v>10692</v>
      </c>
      <c r="K50" t="s">
        <v>7928</v>
      </c>
      <c r="L50" t="s">
        <v>10705</v>
      </c>
      <c r="M50" t="s">
        <v>25</v>
      </c>
      <c r="N50" t="s">
        <v>10706</v>
      </c>
      <c r="O50" t="s">
        <v>7928</v>
      </c>
      <c r="P50" t="s">
        <v>10707</v>
      </c>
      <c r="Q50" t="s">
        <v>25</v>
      </c>
      <c r="R50" t="s">
        <v>10708</v>
      </c>
      <c r="S50" t="s">
        <v>7928</v>
      </c>
      <c r="T50" t="s">
        <v>10705</v>
      </c>
      <c r="U50" t="s">
        <v>4559</v>
      </c>
      <c r="V50" t="s">
        <v>10733</v>
      </c>
    </row>
    <row r="51" spans="1:22">
      <c r="A51" t="s">
        <v>10676</v>
      </c>
      <c r="B51" t="s">
        <v>10676</v>
      </c>
      <c r="C51" t="s">
        <v>18820</v>
      </c>
      <c r="D51" t="s">
        <v>10664</v>
      </c>
      <c r="E51" t="s">
        <v>6709</v>
      </c>
      <c r="F51" t="s">
        <v>10665</v>
      </c>
      <c r="G51" t="s">
        <v>10684</v>
      </c>
      <c r="H51" t="s">
        <v>6243</v>
      </c>
      <c r="I51" t="s">
        <v>10741</v>
      </c>
      <c r="J51" t="s">
        <v>10690</v>
      </c>
      <c r="K51" t="s">
        <v>7928</v>
      </c>
    </row>
    <row r="52" spans="1:22">
      <c r="A52" t="s">
        <v>10677</v>
      </c>
      <c r="B52" t="s">
        <v>10677</v>
      </c>
      <c r="C52" t="s">
        <v>18821</v>
      </c>
      <c r="D52" t="s">
        <v>10664</v>
      </c>
      <c r="E52" t="s">
        <v>6709</v>
      </c>
      <c r="F52" t="s">
        <v>10665</v>
      </c>
      <c r="G52" t="s">
        <v>10684</v>
      </c>
      <c r="H52" t="s">
        <v>6243</v>
      </c>
      <c r="I52" t="s">
        <v>10741</v>
      </c>
      <c r="J52" t="s">
        <v>10691</v>
      </c>
      <c r="K52" t="s">
        <v>7928</v>
      </c>
    </row>
    <row r="53" spans="1:22">
      <c r="A53" t="s">
        <v>10678</v>
      </c>
      <c r="B53" t="s">
        <v>10678</v>
      </c>
      <c r="C53" t="s">
        <v>18822</v>
      </c>
      <c r="D53" t="s">
        <v>10664</v>
      </c>
      <c r="E53" t="s">
        <v>6709</v>
      </c>
      <c r="F53" t="s">
        <v>10665</v>
      </c>
      <c r="G53" t="s">
        <v>10684</v>
      </c>
      <c r="H53" t="s">
        <v>6243</v>
      </c>
      <c r="I53" t="s">
        <v>10741</v>
      </c>
      <c r="J53" t="s">
        <v>10692</v>
      </c>
      <c r="K53" t="s">
        <v>7928</v>
      </c>
      <c r="L53" t="s">
        <v>10709</v>
      </c>
      <c r="M53" t="s">
        <v>25</v>
      </c>
      <c r="N53" t="s">
        <v>10710</v>
      </c>
      <c r="O53" t="s">
        <v>7928</v>
      </c>
      <c r="P53" t="s">
        <v>10711</v>
      </c>
      <c r="Q53" t="s">
        <v>25</v>
      </c>
      <c r="R53" t="s">
        <v>10712</v>
      </c>
      <c r="S53" t="s">
        <v>7928</v>
      </c>
      <c r="T53" t="s">
        <v>10709</v>
      </c>
      <c r="U53" t="s">
        <v>4559</v>
      </c>
      <c r="V53" t="s">
        <v>10734</v>
      </c>
    </row>
    <row r="54" spans="1:22">
      <c r="A54" t="s">
        <v>10668</v>
      </c>
      <c r="B54" t="s">
        <v>10668</v>
      </c>
      <c r="C54" t="s">
        <v>18823</v>
      </c>
      <c r="D54" t="s">
        <v>10664</v>
      </c>
      <c r="E54" t="s">
        <v>7934</v>
      </c>
      <c r="F54" t="s">
        <v>10665</v>
      </c>
      <c r="G54" t="s">
        <v>10685</v>
      </c>
      <c r="H54" t="s">
        <v>10688</v>
      </c>
      <c r="I54" t="s">
        <v>10744</v>
      </c>
      <c r="J54" t="s">
        <v>10693</v>
      </c>
      <c r="K54" t="s">
        <v>7928</v>
      </c>
      <c r="L54" t="s">
        <v>10713</v>
      </c>
      <c r="M54" t="s">
        <v>25</v>
      </c>
      <c r="N54" t="s">
        <v>10714</v>
      </c>
      <c r="S54" t="s">
        <v>7928</v>
      </c>
      <c r="T54" t="s">
        <v>10713</v>
      </c>
      <c r="U54" t="s">
        <v>4559</v>
      </c>
      <c r="V54" t="s">
        <v>10735</v>
      </c>
    </row>
    <row r="55" spans="1:22">
      <c r="A55" t="s">
        <v>10667</v>
      </c>
      <c r="B55" t="s">
        <v>10667</v>
      </c>
      <c r="C55" t="s">
        <v>18824</v>
      </c>
      <c r="D55" t="s">
        <v>10664</v>
      </c>
      <c r="E55" t="s">
        <v>7934</v>
      </c>
      <c r="F55" t="s">
        <v>10665</v>
      </c>
      <c r="G55" t="s">
        <v>10685</v>
      </c>
      <c r="H55" t="s">
        <v>10688</v>
      </c>
      <c r="I55" t="s">
        <v>10744</v>
      </c>
      <c r="J55" t="s">
        <v>10694</v>
      </c>
      <c r="K55" t="s">
        <v>7928</v>
      </c>
      <c r="L55" t="s">
        <v>10715</v>
      </c>
      <c r="M55" t="s">
        <v>25</v>
      </c>
      <c r="N55" t="s">
        <v>10716</v>
      </c>
      <c r="O55" t="s">
        <v>7928</v>
      </c>
      <c r="P55" t="s">
        <v>10699</v>
      </c>
      <c r="Q55" t="s">
        <v>25</v>
      </c>
      <c r="R55" t="s">
        <v>10700</v>
      </c>
      <c r="S55" t="s">
        <v>7928</v>
      </c>
      <c r="T55" t="s">
        <v>10715</v>
      </c>
      <c r="U55" t="s">
        <v>4559</v>
      </c>
      <c r="V55" t="s">
        <v>10736</v>
      </c>
    </row>
    <row r="56" spans="1:22">
      <c r="A56" t="s">
        <v>10663</v>
      </c>
      <c r="B56" t="s">
        <v>10663</v>
      </c>
      <c r="C56" t="s">
        <v>18825</v>
      </c>
      <c r="D56" t="s">
        <v>10664</v>
      </c>
      <c r="E56" t="s">
        <v>7934</v>
      </c>
      <c r="F56" t="s">
        <v>10665</v>
      </c>
      <c r="G56" t="s">
        <v>10685</v>
      </c>
      <c r="H56" t="s">
        <v>10688</v>
      </c>
      <c r="I56" t="s">
        <v>10744</v>
      </c>
      <c r="J56" t="s">
        <v>10666</v>
      </c>
      <c r="K56" t="s">
        <v>7928</v>
      </c>
      <c r="L56" t="s">
        <v>10717</v>
      </c>
      <c r="M56" t="s">
        <v>25</v>
      </c>
      <c r="N56" t="s">
        <v>10718</v>
      </c>
      <c r="O56" t="s">
        <v>7928</v>
      </c>
      <c r="P56" t="s">
        <v>10719</v>
      </c>
      <c r="Q56" t="s">
        <v>25</v>
      </c>
      <c r="R56" t="s">
        <v>10720</v>
      </c>
      <c r="S56" t="s">
        <v>7928</v>
      </c>
      <c r="T56" t="s">
        <v>10717</v>
      </c>
      <c r="U56" t="s">
        <v>4559</v>
      </c>
      <c r="V56" t="s">
        <v>10737</v>
      </c>
    </row>
    <row r="57" spans="1:22">
      <c r="A57" t="s">
        <v>10679</v>
      </c>
      <c r="B57" t="s">
        <v>10679</v>
      </c>
      <c r="C57" t="s">
        <v>18826</v>
      </c>
      <c r="D57" t="s">
        <v>10664</v>
      </c>
      <c r="E57" t="s">
        <v>10682</v>
      </c>
      <c r="F57" t="s">
        <v>10665</v>
      </c>
      <c r="G57" t="s">
        <v>10686</v>
      </c>
      <c r="H57" t="s">
        <v>10689</v>
      </c>
      <c r="I57" t="s">
        <v>10743</v>
      </c>
      <c r="J57" t="s">
        <v>10693</v>
      </c>
      <c r="K57" t="s">
        <v>7928</v>
      </c>
    </row>
    <row r="58" spans="1:22">
      <c r="A58" t="s">
        <v>10680</v>
      </c>
      <c r="B58" t="s">
        <v>10680</v>
      </c>
      <c r="C58" t="s">
        <v>18827</v>
      </c>
      <c r="D58" t="s">
        <v>10664</v>
      </c>
      <c r="E58" t="s">
        <v>10682</v>
      </c>
      <c r="F58" t="s">
        <v>10665</v>
      </c>
      <c r="G58" t="s">
        <v>10686</v>
      </c>
      <c r="H58" t="s">
        <v>10689</v>
      </c>
      <c r="I58" t="s">
        <v>10743</v>
      </c>
      <c r="J58" t="s">
        <v>10694</v>
      </c>
      <c r="K58" t="s">
        <v>7928</v>
      </c>
    </row>
    <row r="59" spans="1:22">
      <c r="A59" t="s">
        <v>10681</v>
      </c>
      <c r="B59" t="s">
        <v>10681</v>
      </c>
      <c r="C59" t="s">
        <v>18828</v>
      </c>
      <c r="D59" t="s">
        <v>10664</v>
      </c>
      <c r="E59" t="s">
        <v>10682</v>
      </c>
      <c r="F59" t="s">
        <v>10665</v>
      </c>
      <c r="G59" t="s">
        <v>10686</v>
      </c>
      <c r="H59" t="s">
        <v>10689</v>
      </c>
      <c r="I59" t="s">
        <v>10743</v>
      </c>
      <c r="J59" t="s">
        <v>10666</v>
      </c>
      <c r="K59" t="s">
        <v>7928</v>
      </c>
      <c r="L59" t="s">
        <v>10721</v>
      </c>
      <c r="M59" t="s">
        <v>25</v>
      </c>
      <c r="N59" t="s">
        <v>10722</v>
      </c>
      <c r="O59" t="s">
        <v>7928</v>
      </c>
      <c r="P59" t="s">
        <v>10730</v>
      </c>
      <c r="Q59" t="s">
        <v>25</v>
      </c>
      <c r="R59" t="s">
        <v>10723</v>
      </c>
      <c r="S59" t="s">
        <v>7928</v>
      </c>
      <c r="T59" t="s">
        <v>10730</v>
      </c>
      <c r="U59" t="s">
        <v>4559</v>
      </c>
      <c r="V59" t="s">
        <v>10738</v>
      </c>
    </row>
    <row r="60" spans="1:22">
      <c r="A60" t="s">
        <v>10670</v>
      </c>
      <c r="B60" t="s">
        <v>10670</v>
      </c>
      <c r="C60" t="s">
        <v>18829</v>
      </c>
      <c r="D60" t="s">
        <v>10664</v>
      </c>
      <c r="E60" t="s">
        <v>10669</v>
      </c>
      <c r="F60" t="s">
        <v>10665</v>
      </c>
      <c r="G60" t="s">
        <v>10687</v>
      </c>
      <c r="H60" t="s">
        <v>10688</v>
      </c>
      <c r="I60" t="s">
        <v>10745</v>
      </c>
      <c r="J60" t="s">
        <v>10695</v>
      </c>
      <c r="K60" t="s">
        <v>7928</v>
      </c>
      <c r="L60" t="s">
        <v>10724</v>
      </c>
      <c r="M60" t="s">
        <v>25</v>
      </c>
      <c r="N60" t="s">
        <v>10725</v>
      </c>
      <c r="S60" t="s">
        <v>7928</v>
      </c>
      <c r="T60" t="s">
        <v>10724</v>
      </c>
      <c r="U60" t="s">
        <v>4559</v>
      </c>
      <c r="V60" t="s">
        <v>10739</v>
      </c>
    </row>
    <row r="61" spans="1:22">
      <c r="A61" t="s">
        <v>10671</v>
      </c>
      <c r="B61" t="s">
        <v>10671</v>
      </c>
      <c r="C61" t="s">
        <v>18830</v>
      </c>
      <c r="D61" t="s">
        <v>10664</v>
      </c>
      <c r="E61" t="s">
        <v>10669</v>
      </c>
      <c r="F61" t="s">
        <v>10665</v>
      </c>
      <c r="G61" t="s">
        <v>10687</v>
      </c>
      <c r="H61" t="s">
        <v>10688</v>
      </c>
      <c r="I61" t="s">
        <v>10745</v>
      </c>
      <c r="J61" t="s">
        <v>10696</v>
      </c>
      <c r="K61" t="s">
        <v>4517</v>
      </c>
      <c r="L61" t="s">
        <v>10726</v>
      </c>
      <c r="M61" t="s">
        <v>25</v>
      </c>
      <c r="N61" t="s">
        <v>10727</v>
      </c>
      <c r="O61" t="s">
        <v>7928</v>
      </c>
      <c r="P61" t="s">
        <v>10728</v>
      </c>
      <c r="Q61" t="s">
        <v>25</v>
      </c>
      <c r="R61" t="s">
        <v>10729</v>
      </c>
      <c r="S61" t="s">
        <v>7928</v>
      </c>
      <c r="T61" t="s">
        <v>10728</v>
      </c>
      <c r="U61" t="s">
        <v>4559</v>
      </c>
      <c r="V61" t="s">
        <v>10740</v>
      </c>
    </row>
    <row r="62" spans="1:22">
      <c r="A62" t="s">
        <v>10771</v>
      </c>
      <c r="B62" t="s">
        <v>10771</v>
      </c>
      <c r="C62" t="s">
        <v>18831</v>
      </c>
      <c r="D62" t="s">
        <v>4517</v>
      </c>
      <c r="E62" t="s">
        <v>10777</v>
      </c>
      <c r="F62" t="s">
        <v>2655</v>
      </c>
      <c r="G62" t="s">
        <v>10771</v>
      </c>
      <c r="H62" t="s">
        <v>6243</v>
      </c>
      <c r="I62" t="s">
        <v>10853</v>
      </c>
      <c r="J62" t="s">
        <v>10779</v>
      </c>
      <c r="K62" t="s">
        <v>4517</v>
      </c>
      <c r="L62" t="s">
        <v>12058</v>
      </c>
      <c r="M62" t="s">
        <v>25</v>
      </c>
      <c r="N62" t="s">
        <v>12059</v>
      </c>
      <c r="O62" t="s">
        <v>4517</v>
      </c>
      <c r="P62" t="s">
        <v>12060</v>
      </c>
      <c r="Q62" t="s">
        <v>25</v>
      </c>
      <c r="R62" t="s">
        <v>12061</v>
      </c>
      <c r="S62" t="s">
        <v>4517</v>
      </c>
      <c r="T62" t="s">
        <v>12058</v>
      </c>
      <c r="U62" t="s">
        <v>4559</v>
      </c>
      <c r="V62" t="s">
        <v>12464</v>
      </c>
    </row>
    <row r="63" spans="1:22">
      <c r="A63" t="s">
        <v>10772</v>
      </c>
      <c r="B63" t="s">
        <v>10772</v>
      </c>
      <c r="C63" t="s">
        <v>18831</v>
      </c>
      <c r="D63" t="s">
        <v>4517</v>
      </c>
      <c r="E63" t="s">
        <v>10778</v>
      </c>
      <c r="F63" t="s">
        <v>2655</v>
      </c>
      <c r="G63" t="s">
        <v>10772</v>
      </c>
      <c r="H63" t="s">
        <v>4377</v>
      </c>
      <c r="I63" t="s">
        <v>10854</v>
      </c>
      <c r="J63" t="s">
        <v>10779</v>
      </c>
      <c r="K63" t="s">
        <v>4517</v>
      </c>
      <c r="L63" t="s">
        <v>12062</v>
      </c>
      <c r="M63" t="s">
        <v>25</v>
      </c>
      <c r="N63" t="s">
        <v>12063</v>
      </c>
      <c r="O63" t="s">
        <v>4517</v>
      </c>
      <c r="P63" t="s">
        <v>12064</v>
      </c>
      <c r="Q63" t="s">
        <v>25</v>
      </c>
      <c r="R63" t="s">
        <v>12065</v>
      </c>
      <c r="S63" t="s">
        <v>4517</v>
      </c>
      <c r="T63" t="s">
        <v>12062</v>
      </c>
      <c r="U63" t="s">
        <v>4559</v>
      </c>
      <c r="V63" t="s">
        <v>12465</v>
      </c>
    </row>
    <row r="64" spans="1:22">
      <c r="A64" t="s">
        <v>10773</v>
      </c>
      <c r="B64" t="s">
        <v>10773</v>
      </c>
      <c r="C64" t="s">
        <v>18832</v>
      </c>
      <c r="D64" t="s">
        <v>4517</v>
      </c>
      <c r="E64" t="s">
        <v>10777</v>
      </c>
      <c r="F64" t="s">
        <v>2655</v>
      </c>
      <c r="G64" t="s">
        <v>10773</v>
      </c>
      <c r="H64" t="s">
        <v>6243</v>
      </c>
      <c r="I64" t="s">
        <v>10853</v>
      </c>
      <c r="J64" t="s">
        <v>10780</v>
      </c>
      <c r="K64" t="s">
        <v>4517</v>
      </c>
      <c r="L64" t="s">
        <v>12066</v>
      </c>
      <c r="M64" t="s">
        <v>25</v>
      </c>
      <c r="N64" t="s">
        <v>12067</v>
      </c>
      <c r="O64" t="s">
        <v>4517</v>
      </c>
      <c r="P64" t="s">
        <v>12068</v>
      </c>
      <c r="Q64" t="s">
        <v>25</v>
      </c>
      <c r="R64" t="s">
        <v>12069</v>
      </c>
      <c r="S64" t="s">
        <v>4517</v>
      </c>
      <c r="T64" t="s">
        <v>12066</v>
      </c>
      <c r="U64" t="s">
        <v>4559</v>
      </c>
      <c r="V64" t="s">
        <v>12466</v>
      </c>
    </row>
    <row r="65" spans="1:22">
      <c r="A65" t="s">
        <v>10774</v>
      </c>
      <c r="B65" t="s">
        <v>10774</v>
      </c>
      <c r="C65" t="s">
        <v>18832</v>
      </c>
      <c r="D65" t="s">
        <v>4517</v>
      </c>
      <c r="E65" t="s">
        <v>10778</v>
      </c>
      <c r="F65" t="s">
        <v>2655</v>
      </c>
      <c r="G65" t="s">
        <v>10774</v>
      </c>
      <c r="H65" t="s">
        <v>4377</v>
      </c>
      <c r="I65" t="s">
        <v>10854</v>
      </c>
      <c r="J65" t="s">
        <v>10780</v>
      </c>
      <c r="K65" t="s">
        <v>4517</v>
      </c>
      <c r="L65" t="s">
        <v>12070</v>
      </c>
      <c r="M65" t="s">
        <v>25</v>
      </c>
      <c r="N65" t="s">
        <v>12071</v>
      </c>
      <c r="O65" t="s">
        <v>4517</v>
      </c>
      <c r="P65" t="s">
        <v>12072</v>
      </c>
      <c r="Q65" t="s">
        <v>25</v>
      </c>
      <c r="R65" t="s">
        <v>12073</v>
      </c>
      <c r="S65" t="s">
        <v>4517</v>
      </c>
      <c r="T65" t="s">
        <v>12070</v>
      </c>
      <c r="U65" t="s">
        <v>4559</v>
      </c>
      <c r="V65" t="s">
        <v>12467</v>
      </c>
    </row>
    <row r="66" spans="1:22">
      <c r="A66" t="s">
        <v>10775</v>
      </c>
      <c r="B66" t="s">
        <v>10775</v>
      </c>
      <c r="C66" t="s">
        <v>18833</v>
      </c>
      <c r="D66" t="s">
        <v>4517</v>
      </c>
      <c r="E66" t="s">
        <v>10777</v>
      </c>
      <c r="F66" t="s">
        <v>2655</v>
      </c>
      <c r="G66" t="s">
        <v>10775</v>
      </c>
      <c r="H66" t="s">
        <v>6243</v>
      </c>
      <c r="I66" t="s">
        <v>10853</v>
      </c>
      <c r="J66" t="s">
        <v>10781</v>
      </c>
      <c r="K66" t="s">
        <v>4517</v>
      </c>
      <c r="L66" t="s">
        <v>12074</v>
      </c>
      <c r="M66" t="s">
        <v>25</v>
      </c>
      <c r="N66" t="s">
        <v>12075</v>
      </c>
      <c r="O66" t="s">
        <v>4517</v>
      </c>
      <c r="P66" t="s">
        <v>12076</v>
      </c>
      <c r="Q66" t="s">
        <v>25</v>
      </c>
      <c r="R66" t="s">
        <v>12077</v>
      </c>
      <c r="S66" t="s">
        <v>4517</v>
      </c>
      <c r="T66" t="s">
        <v>12074</v>
      </c>
      <c r="U66" t="s">
        <v>4559</v>
      </c>
      <c r="V66" t="s">
        <v>12468</v>
      </c>
    </row>
    <row r="67" spans="1:22">
      <c r="A67" t="s">
        <v>10776</v>
      </c>
      <c r="B67" t="s">
        <v>10776</v>
      </c>
      <c r="C67" t="s">
        <v>18833</v>
      </c>
      <c r="D67" t="s">
        <v>4517</v>
      </c>
      <c r="E67" t="s">
        <v>10778</v>
      </c>
      <c r="F67" t="s">
        <v>2655</v>
      </c>
      <c r="G67" t="s">
        <v>10776</v>
      </c>
      <c r="H67" t="s">
        <v>4377</v>
      </c>
      <c r="I67" t="s">
        <v>10854</v>
      </c>
      <c r="J67" t="s">
        <v>10781</v>
      </c>
      <c r="K67" t="s">
        <v>4517</v>
      </c>
      <c r="L67" t="s">
        <v>12078</v>
      </c>
      <c r="M67" t="s">
        <v>25</v>
      </c>
      <c r="N67" t="s">
        <v>12079</v>
      </c>
      <c r="O67" t="s">
        <v>4517</v>
      </c>
      <c r="P67" t="s">
        <v>12080</v>
      </c>
      <c r="Q67" t="s">
        <v>25</v>
      </c>
      <c r="R67" t="s">
        <v>12081</v>
      </c>
      <c r="S67" t="s">
        <v>4517</v>
      </c>
      <c r="T67" t="s">
        <v>12078</v>
      </c>
      <c r="U67" t="s">
        <v>4559</v>
      </c>
      <c r="V67" t="s">
        <v>12469</v>
      </c>
    </row>
    <row r="68" spans="1:22">
      <c r="A68" t="s">
        <v>10782</v>
      </c>
      <c r="B68" t="s">
        <v>10782</v>
      </c>
      <c r="C68" t="s">
        <v>10786</v>
      </c>
      <c r="D68" t="s">
        <v>6732</v>
      </c>
      <c r="E68" t="s">
        <v>2656</v>
      </c>
      <c r="F68" t="s">
        <v>2655</v>
      </c>
      <c r="G68" t="s">
        <v>10791</v>
      </c>
      <c r="H68" t="s">
        <v>4376</v>
      </c>
      <c r="I68" t="s">
        <v>4789</v>
      </c>
      <c r="J68" t="s">
        <v>10794</v>
      </c>
      <c r="K68" t="s">
        <v>6732</v>
      </c>
      <c r="L68" t="s">
        <v>10799</v>
      </c>
      <c r="M68" t="s">
        <v>25</v>
      </c>
      <c r="N68" t="s">
        <v>10800</v>
      </c>
      <c r="O68" t="s">
        <v>6732</v>
      </c>
      <c r="P68" t="s">
        <v>10801</v>
      </c>
      <c r="Q68" t="s">
        <v>25</v>
      </c>
      <c r="R68" t="s">
        <v>10802</v>
      </c>
      <c r="S68" t="s">
        <v>6732</v>
      </c>
      <c r="T68" t="s">
        <v>10782</v>
      </c>
      <c r="U68" t="s">
        <v>4559</v>
      </c>
      <c r="V68" t="s">
        <v>10824</v>
      </c>
    </row>
    <row r="69" spans="1:22">
      <c r="A69" t="s">
        <v>10783</v>
      </c>
      <c r="B69" t="s">
        <v>10783</v>
      </c>
      <c r="C69" t="s">
        <v>10787</v>
      </c>
      <c r="D69" t="s">
        <v>6732</v>
      </c>
      <c r="E69" t="s">
        <v>2656</v>
      </c>
      <c r="F69" t="s">
        <v>2655</v>
      </c>
      <c r="G69" t="s">
        <v>10791</v>
      </c>
      <c r="H69" t="s">
        <v>4376</v>
      </c>
      <c r="I69" t="s">
        <v>4789</v>
      </c>
      <c r="J69" t="s">
        <v>10794</v>
      </c>
      <c r="K69" t="s">
        <v>6732</v>
      </c>
      <c r="L69" t="s">
        <v>10820</v>
      </c>
      <c r="M69" t="s">
        <v>25</v>
      </c>
      <c r="N69" t="s">
        <v>10821</v>
      </c>
      <c r="O69" t="s">
        <v>6732</v>
      </c>
      <c r="P69" t="s">
        <v>10822</v>
      </c>
      <c r="Q69" t="s">
        <v>25</v>
      </c>
      <c r="R69" t="s">
        <v>10823</v>
      </c>
      <c r="S69" t="s">
        <v>6732</v>
      </c>
      <c r="T69" t="s">
        <v>10783</v>
      </c>
      <c r="U69" t="s">
        <v>4559</v>
      </c>
      <c r="V69" t="s">
        <v>10825</v>
      </c>
    </row>
    <row r="70" spans="1:22">
      <c r="A70" t="s">
        <v>10784</v>
      </c>
      <c r="B70" t="s">
        <v>10784</v>
      </c>
      <c r="C70" t="s">
        <v>10788</v>
      </c>
      <c r="D70" t="s">
        <v>6732</v>
      </c>
      <c r="E70" t="s">
        <v>4553</v>
      </c>
      <c r="F70" t="s">
        <v>2655</v>
      </c>
      <c r="G70" t="s">
        <v>10792</v>
      </c>
      <c r="H70" t="s">
        <v>4376</v>
      </c>
      <c r="I70" t="s">
        <v>8877</v>
      </c>
      <c r="J70" t="s">
        <v>10794</v>
      </c>
      <c r="K70" t="s">
        <v>6732</v>
      </c>
      <c r="L70" t="s">
        <v>10795</v>
      </c>
      <c r="M70" t="s">
        <v>25</v>
      </c>
      <c r="N70" t="s">
        <v>10796</v>
      </c>
      <c r="S70" t="s">
        <v>6732</v>
      </c>
      <c r="T70" t="s">
        <v>10784</v>
      </c>
      <c r="U70" t="s">
        <v>4559</v>
      </c>
      <c r="V70" t="s">
        <v>10826</v>
      </c>
    </row>
    <row r="71" spans="1:22">
      <c r="A71" t="s">
        <v>10785</v>
      </c>
      <c r="B71" t="s">
        <v>10785</v>
      </c>
      <c r="C71" t="s">
        <v>10789</v>
      </c>
      <c r="D71" t="s">
        <v>6732</v>
      </c>
      <c r="E71" t="s">
        <v>10790</v>
      </c>
      <c r="F71" t="s">
        <v>2655</v>
      </c>
      <c r="G71" t="s">
        <v>10793</v>
      </c>
      <c r="H71" t="s">
        <v>6736</v>
      </c>
      <c r="I71" t="s">
        <v>10803</v>
      </c>
      <c r="J71" t="s">
        <v>10794</v>
      </c>
      <c r="K71" t="s">
        <v>6732</v>
      </c>
      <c r="L71" t="s">
        <v>10797</v>
      </c>
      <c r="M71" t="s">
        <v>25</v>
      </c>
      <c r="N71" t="s">
        <v>10798</v>
      </c>
      <c r="S71" t="s">
        <v>6732</v>
      </c>
      <c r="T71" t="s">
        <v>10785</v>
      </c>
      <c r="U71" t="s">
        <v>4559</v>
      </c>
      <c r="V71" t="s">
        <v>10827</v>
      </c>
    </row>
    <row r="72" spans="1:22">
      <c r="A72" t="s">
        <v>10844</v>
      </c>
      <c r="B72" t="s">
        <v>10844</v>
      </c>
      <c r="C72" t="s">
        <v>10845</v>
      </c>
      <c r="D72" t="s">
        <v>6218</v>
      </c>
      <c r="E72" t="s">
        <v>10851</v>
      </c>
      <c r="F72" t="s">
        <v>2655</v>
      </c>
      <c r="G72" t="s">
        <v>10844</v>
      </c>
      <c r="H72" t="s">
        <v>4377</v>
      </c>
      <c r="I72" t="s">
        <v>10850</v>
      </c>
      <c r="J72" t="s">
        <v>10846</v>
      </c>
      <c r="K72" t="s">
        <v>6218</v>
      </c>
      <c r="L72" t="s">
        <v>10847</v>
      </c>
      <c r="M72" t="s">
        <v>25</v>
      </c>
      <c r="N72" t="s">
        <v>10848</v>
      </c>
      <c r="S72" t="s">
        <v>6218</v>
      </c>
      <c r="T72" t="s">
        <v>10847</v>
      </c>
      <c r="U72" t="s">
        <v>4559</v>
      </c>
      <c r="V72" t="s">
        <v>10849</v>
      </c>
    </row>
    <row r="73" spans="1:22">
      <c r="A73" t="s">
        <v>10945</v>
      </c>
      <c r="B73" t="s">
        <v>10945</v>
      </c>
      <c r="C73" t="s">
        <v>18834</v>
      </c>
      <c r="D73" t="s">
        <v>4517</v>
      </c>
      <c r="F73" t="s">
        <v>2655</v>
      </c>
      <c r="G73" t="s">
        <v>10945</v>
      </c>
      <c r="H73" t="s">
        <v>6243</v>
      </c>
      <c r="I73" t="s">
        <v>10946</v>
      </c>
      <c r="J73" t="s">
        <v>10947</v>
      </c>
      <c r="K73" t="s">
        <v>4517</v>
      </c>
      <c r="L73" t="s">
        <v>10951</v>
      </c>
      <c r="M73" t="s">
        <v>25</v>
      </c>
      <c r="N73" t="s">
        <v>10952</v>
      </c>
      <c r="S73" t="s">
        <v>4517</v>
      </c>
      <c r="T73" t="s">
        <v>10951</v>
      </c>
      <c r="U73" t="s">
        <v>4559</v>
      </c>
      <c r="V73" t="s">
        <v>10955</v>
      </c>
    </row>
    <row r="74" spans="1:22">
      <c r="A74" t="s">
        <v>10948</v>
      </c>
      <c r="B74" t="s">
        <v>10948</v>
      </c>
      <c r="C74" t="s">
        <v>18835</v>
      </c>
      <c r="D74" t="s">
        <v>4517</v>
      </c>
      <c r="F74" t="s">
        <v>2655</v>
      </c>
      <c r="G74" t="s">
        <v>10948</v>
      </c>
      <c r="H74" t="s">
        <v>6243</v>
      </c>
      <c r="I74" t="s">
        <v>10949</v>
      </c>
      <c r="J74" t="s">
        <v>10950</v>
      </c>
      <c r="K74" t="s">
        <v>4517</v>
      </c>
      <c r="L74" t="s">
        <v>10953</v>
      </c>
      <c r="M74" t="s">
        <v>25</v>
      </c>
      <c r="N74" t="s">
        <v>10954</v>
      </c>
      <c r="S74" t="s">
        <v>4517</v>
      </c>
      <c r="T74" t="s">
        <v>10953</v>
      </c>
      <c r="U74" t="s">
        <v>4559</v>
      </c>
      <c r="V74" t="s">
        <v>10956</v>
      </c>
    </row>
    <row r="75" spans="1:22">
      <c r="A75" t="s">
        <v>13959</v>
      </c>
      <c r="B75" t="s">
        <v>13959</v>
      </c>
      <c r="C75" t="s">
        <v>13960</v>
      </c>
      <c r="D75" t="s">
        <v>4517</v>
      </c>
      <c r="E75" t="s">
        <v>4435</v>
      </c>
      <c r="F75" t="s">
        <v>2655</v>
      </c>
      <c r="G75" t="s">
        <v>13959</v>
      </c>
      <c r="H75" t="s">
        <v>4377</v>
      </c>
      <c r="I75" t="s">
        <v>11997</v>
      </c>
      <c r="J75" t="s">
        <v>14658</v>
      </c>
      <c r="K75" t="s">
        <v>4517</v>
      </c>
      <c r="L75" t="s">
        <v>13961</v>
      </c>
      <c r="M75" t="s">
        <v>25</v>
      </c>
      <c r="N75" t="s">
        <v>13962</v>
      </c>
      <c r="O75" t="s">
        <v>4517</v>
      </c>
      <c r="P75" t="s">
        <v>13963</v>
      </c>
      <c r="Q75" t="s">
        <v>25</v>
      </c>
      <c r="R75" t="s">
        <v>13964</v>
      </c>
      <c r="S75" t="s">
        <v>6661</v>
      </c>
      <c r="T75" t="s">
        <v>13961</v>
      </c>
      <c r="U75" t="s">
        <v>4559</v>
      </c>
      <c r="V75" t="s">
        <v>13965</v>
      </c>
    </row>
    <row r="76" spans="1:22">
      <c r="A76" t="s">
        <v>10962</v>
      </c>
      <c r="B76" t="s">
        <v>10957</v>
      </c>
      <c r="C76" t="s">
        <v>18836</v>
      </c>
      <c r="D76" t="s">
        <v>6624</v>
      </c>
      <c r="E76" t="s">
        <v>10972</v>
      </c>
      <c r="F76" t="s">
        <v>2655</v>
      </c>
      <c r="G76" t="s">
        <v>10973</v>
      </c>
      <c r="H76" t="s">
        <v>4377</v>
      </c>
      <c r="I76" t="s">
        <v>4794</v>
      </c>
      <c r="J76" t="s">
        <v>10975</v>
      </c>
      <c r="K76" t="s">
        <v>6624</v>
      </c>
      <c r="L76" t="s">
        <v>10976</v>
      </c>
      <c r="M76" t="s">
        <v>25</v>
      </c>
      <c r="N76" t="s">
        <v>10977</v>
      </c>
      <c r="O76" t="s">
        <v>6624</v>
      </c>
      <c r="P76" t="s">
        <v>10978</v>
      </c>
      <c r="Q76" t="s">
        <v>25</v>
      </c>
      <c r="R76" t="s">
        <v>10979</v>
      </c>
      <c r="S76" t="s">
        <v>10982</v>
      </c>
      <c r="T76" t="s">
        <v>10978</v>
      </c>
      <c r="U76" t="s">
        <v>4559</v>
      </c>
      <c r="V76" t="s">
        <v>10983</v>
      </c>
    </row>
    <row r="77" spans="1:22">
      <c r="A77" t="s">
        <v>10963</v>
      </c>
      <c r="B77" t="s">
        <v>10958</v>
      </c>
      <c r="C77" t="s">
        <v>18837</v>
      </c>
      <c r="D77" t="s">
        <v>6624</v>
      </c>
      <c r="E77" t="s">
        <v>10972</v>
      </c>
      <c r="F77" t="s">
        <v>2655</v>
      </c>
      <c r="G77" t="s">
        <v>10973</v>
      </c>
      <c r="H77" t="s">
        <v>4377</v>
      </c>
      <c r="I77" t="s">
        <v>4794</v>
      </c>
      <c r="J77" t="s">
        <v>10975</v>
      </c>
      <c r="K77" t="s">
        <v>6624</v>
      </c>
      <c r="L77" t="s">
        <v>10985</v>
      </c>
      <c r="M77" t="s">
        <v>25</v>
      </c>
      <c r="N77" t="s">
        <v>10986</v>
      </c>
      <c r="O77" t="s">
        <v>6624</v>
      </c>
      <c r="P77" t="s">
        <v>10987</v>
      </c>
      <c r="Q77" t="s">
        <v>25</v>
      </c>
      <c r="R77" t="s">
        <v>10988</v>
      </c>
      <c r="S77" t="s">
        <v>10982</v>
      </c>
      <c r="T77" t="s">
        <v>10985</v>
      </c>
      <c r="U77" t="s">
        <v>4559</v>
      </c>
      <c r="V77" t="s">
        <v>10989</v>
      </c>
    </row>
    <row r="78" spans="1:22">
      <c r="A78" t="s">
        <v>10964</v>
      </c>
      <c r="B78" t="s">
        <v>10959</v>
      </c>
      <c r="C78" t="s">
        <v>18838</v>
      </c>
      <c r="D78" t="s">
        <v>6624</v>
      </c>
      <c r="E78" t="s">
        <v>10972</v>
      </c>
      <c r="F78" t="s">
        <v>2655</v>
      </c>
      <c r="G78" t="s">
        <v>10973</v>
      </c>
      <c r="H78" t="s">
        <v>4377</v>
      </c>
      <c r="I78" t="s">
        <v>4794</v>
      </c>
      <c r="J78" t="s">
        <v>10975</v>
      </c>
      <c r="K78" t="s">
        <v>6624</v>
      </c>
      <c r="L78" t="s">
        <v>10993</v>
      </c>
      <c r="M78" t="s">
        <v>25</v>
      </c>
      <c r="N78" t="s">
        <v>10994</v>
      </c>
      <c r="O78" t="s">
        <v>6624</v>
      </c>
      <c r="P78" t="s">
        <v>10995</v>
      </c>
      <c r="Q78" t="s">
        <v>25</v>
      </c>
      <c r="R78" t="s">
        <v>10996</v>
      </c>
      <c r="S78" t="s">
        <v>10982</v>
      </c>
      <c r="T78" t="s">
        <v>10995</v>
      </c>
      <c r="U78" t="s">
        <v>4559</v>
      </c>
      <c r="V78" t="s">
        <v>10997</v>
      </c>
    </row>
    <row r="79" spans="1:22">
      <c r="A79" t="s">
        <v>10965</v>
      </c>
      <c r="B79" t="s">
        <v>10960</v>
      </c>
      <c r="C79" t="s">
        <v>18839</v>
      </c>
      <c r="D79" t="s">
        <v>6624</v>
      </c>
      <c r="E79" t="s">
        <v>10972</v>
      </c>
      <c r="F79" t="s">
        <v>2655</v>
      </c>
      <c r="G79" t="s">
        <v>10973</v>
      </c>
      <c r="H79" t="s">
        <v>4377</v>
      </c>
      <c r="I79" t="s">
        <v>4794</v>
      </c>
      <c r="J79" t="s">
        <v>10975</v>
      </c>
      <c r="K79" t="s">
        <v>6624</v>
      </c>
      <c r="L79" t="s">
        <v>11007</v>
      </c>
      <c r="M79" t="s">
        <v>25</v>
      </c>
      <c r="N79" t="s">
        <v>11011</v>
      </c>
      <c r="O79" t="s">
        <v>6624</v>
      </c>
      <c r="P79" t="s">
        <v>11012</v>
      </c>
      <c r="Q79" t="s">
        <v>25</v>
      </c>
      <c r="R79" t="s">
        <v>11013</v>
      </c>
      <c r="S79" t="s">
        <v>10982</v>
      </c>
      <c r="T79" t="s">
        <v>11007</v>
      </c>
      <c r="U79" t="s">
        <v>4559</v>
      </c>
      <c r="V79" t="s">
        <v>11008</v>
      </c>
    </row>
    <row r="80" spans="1:22">
      <c r="A80" t="s">
        <v>10966</v>
      </c>
      <c r="B80" t="s">
        <v>10961</v>
      </c>
      <c r="C80" t="s">
        <v>18840</v>
      </c>
      <c r="D80" t="s">
        <v>6624</v>
      </c>
      <c r="E80" t="s">
        <v>10972</v>
      </c>
      <c r="F80" t="s">
        <v>2655</v>
      </c>
      <c r="G80" t="s">
        <v>10973</v>
      </c>
      <c r="H80" t="s">
        <v>4377</v>
      </c>
      <c r="I80" t="s">
        <v>4794</v>
      </c>
      <c r="J80" t="s">
        <v>10975</v>
      </c>
      <c r="K80" t="s">
        <v>6624</v>
      </c>
      <c r="L80" t="s">
        <v>11009</v>
      </c>
      <c r="M80" t="s">
        <v>25</v>
      </c>
      <c r="N80" t="s">
        <v>11014</v>
      </c>
      <c r="O80" t="s">
        <v>6624</v>
      </c>
      <c r="P80" t="s">
        <v>11015</v>
      </c>
      <c r="Q80" t="s">
        <v>25</v>
      </c>
      <c r="R80" t="s">
        <v>11016</v>
      </c>
      <c r="S80" t="s">
        <v>10982</v>
      </c>
      <c r="T80" t="s">
        <v>11009</v>
      </c>
      <c r="U80" t="s">
        <v>4559</v>
      </c>
      <c r="V80" t="s">
        <v>11010</v>
      </c>
    </row>
    <row r="81" spans="1:22">
      <c r="A81" t="s">
        <v>10967</v>
      </c>
      <c r="B81" t="s">
        <v>10957</v>
      </c>
      <c r="C81" t="s">
        <v>18841</v>
      </c>
      <c r="D81" t="s">
        <v>6624</v>
      </c>
      <c r="E81" t="s">
        <v>8075</v>
      </c>
      <c r="F81" t="s">
        <v>2655</v>
      </c>
      <c r="G81" t="s">
        <v>10974</v>
      </c>
      <c r="H81" t="s">
        <v>7963</v>
      </c>
      <c r="I81" t="s">
        <v>11032</v>
      </c>
      <c r="J81" t="s">
        <v>10975</v>
      </c>
      <c r="K81" t="s">
        <v>6624</v>
      </c>
      <c r="L81" t="s">
        <v>10980</v>
      </c>
      <c r="M81" t="s">
        <v>25</v>
      </c>
      <c r="N81" t="s">
        <v>10981</v>
      </c>
      <c r="S81" t="s">
        <v>10982</v>
      </c>
      <c r="T81" t="s">
        <v>10980</v>
      </c>
      <c r="U81" t="s">
        <v>4559</v>
      </c>
      <c r="V81" t="s">
        <v>10984</v>
      </c>
    </row>
    <row r="82" spans="1:22">
      <c r="A82" t="s">
        <v>10968</v>
      </c>
      <c r="B82" t="s">
        <v>10958</v>
      </c>
      <c r="C82" t="s">
        <v>18842</v>
      </c>
      <c r="D82" t="s">
        <v>6624</v>
      </c>
      <c r="E82" t="s">
        <v>8075</v>
      </c>
      <c r="F82" t="s">
        <v>2655</v>
      </c>
      <c r="G82" t="s">
        <v>10974</v>
      </c>
      <c r="H82" t="s">
        <v>7963</v>
      </c>
      <c r="I82" t="s">
        <v>11032</v>
      </c>
      <c r="J82" t="s">
        <v>10975</v>
      </c>
      <c r="K82" t="s">
        <v>6624</v>
      </c>
      <c r="L82" t="s">
        <v>10990</v>
      </c>
      <c r="M82" t="s">
        <v>25</v>
      </c>
      <c r="N82" t="s">
        <v>10992</v>
      </c>
      <c r="S82" t="s">
        <v>10982</v>
      </c>
      <c r="T82" t="s">
        <v>10990</v>
      </c>
      <c r="U82" t="s">
        <v>4559</v>
      </c>
      <c r="V82" t="s">
        <v>10991</v>
      </c>
    </row>
    <row r="83" spans="1:22">
      <c r="A83" t="s">
        <v>10969</v>
      </c>
      <c r="B83" t="s">
        <v>10959</v>
      </c>
      <c r="C83" t="s">
        <v>18843</v>
      </c>
      <c r="D83" t="s">
        <v>6624</v>
      </c>
      <c r="E83" t="s">
        <v>8075</v>
      </c>
      <c r="F83" t="s">
        <v>2655</v>
      </c>
      <c r="G83" t="s">
        <v>10974</v>
      </c>
      <c r="H83" t="s">
        <v>7963</v>
      </c>
      <c r="I83" t="s">
        <v>11032</v>
      </c>
      <c r="J83" t="s">
        <v>10975</v>
      </c>
      <c r="K83" t="s">
        <v>6624</v>
      </c>
      <c r="L83" t="s">
        <v>10998</v>
      </c>
      <c r="M83" t="s">
        <v>25</v>
      </c>
      <c r="N83" t="s">
        <v>10999</v>
      </c>
      <c r="S83" t="s">
        <v>10982</v>
      </c>
      <c r="T83" t="s">
        <v>10998</v>
      </c>
      <c r="U83" t="s">
        <v>4559</v>
      </c>
      <c r="V83" t="s">
        <v>11000</v>
      </c>
    </row>
    <row r="84" spans="1:22">
      <c r="A84" t="s">
        <v>10970</v>
      </c>
      <c r="B84" t="s">
        <v>10960</v>
      </c>
      <c r="C84" t="s">
        <v>18844</v>
      </c>
      <c r="D84" t="s">
        <v>6624</v>
      </c>
      <c r="E84" t="s">
        <v>8075</v>
      </c>
      <c r="F84" t="s">
        <v>2655</v>
      </c>
      <c r="G84" t="s">
        <v>10974</v>
      </c>
      <c r="H84" t="s">
        <v>7963</v>
      </c>
      <c r="I84" t="s">
        <v>11032</v>
      </c>
      <c r="J84" t="s">
        <v>10975</v>
      </c>
      <c r="K84" t="s">
        <v>6624</v>
      </c>
      <c r="L84" t="s">
        <v>11001</v>
      </c>
      <c r="M84" t="s">
        <v>25</v>
      </c>
      <c r="N84" t="s">
        <v>11005</v>
      </c>
      <c r="S84" t="s">
        <v>10982</v>
      </c>
      <c r="T84" t="s">
        <v>11001</v>
      </c>
      <c r="U84" t="s">
        <v>4559</v>
      </c>
      <c r="V84" t="s">
        <v>11002</v>
      </c>
    </row>
    <row r="85" spans="1:22">
      <c r="A85" t="s">
        <v>10971</v>
      </c>
      <c r="B85" t="s">
        <v>10961</v>
      </c>
      <c r="C85" t="s">
        <v>18845</v>
      </c>
      <c r="D85" t="s">
        <v>6624</v>
      </c>
      <c r="E85" t="s">
        <v>8075</v>
      </c>
      <c r="F85" t="s">
        <v>2655</v>
      </c>
      <c r="G85" t="s">
        <v>10974</v>
      </c>
      <c r="H85" t="s">
        <v>7963</v>
      </c>
      <c r="I85" t="s">
        <v>11032</v>
      </c>
      <c r="J85" t="s">
        <v>10975</v>
      </c>
      <c r="K85" t="s">
        <v>6624</v>
      </c>
      <c r="L85" t="s">
        <v>11003</v>
      </c>
      <c r="M85" t="s">
        <v>25</v>
      </c>
      <c r="N85" t="s">
        <v>11006</v>
      </c>
      <c r="S85" t="s">
        <v>10982</v>
      </c>
      <c r="T85" t="s">
        <v>11003</v>
      </c>
      <c r="U85" t="s">
        <v>4559</v>
      </c>
      <c r="V85" t="s">
        <v>11004</v>
      </c>
    </row>
    <row r="86" spans="1:22">
      <c r="A86" t="s">
        <v>11096</v>
      </c>
      <c r="B86" t="s">
        <v>11022</v>
      </c>
      <c r="C86" t="s">
        <v>18846</v>
      </c>
      <c r="D86" t="s">
        <v>4517</v>
      </c>
      <c r="E86" t="s">
        <v>4553</v>
      </c>
      <c r="F86" t="s">
        <v>7005</v>
      </c>
      <c r="G86" t="s">
        <v>11094</v>
      </c>
      <c r="H86" t="s">
        <v>4376</v>
      </c>
      <c r="I86" t="s">
        <v>8877</v>
      </c>
      <c r="J86" t="s">
        <v>11031</v>
      </c>
      <c r="K86" t="s">
        <v>4517</v>
      </c>
      <c r="L86" t="s">
        <v>11017</v>
      </c>
      <c r="M86" t="s">
        <v>25</v>
      </c>
      <c r="N86" t="s">
        <v>11033</v>
      </c>
      <c r="O86" t="s">
        <v>4517</v>
      </c>
      <c r="P86" t="s">
        <v>11018</v>
      </c>
      <c r="Q86" t="s">
        <v>25</v>
      </c>
      <c r="R86" t="s">
        <v>11034</v>
      </c>
      <c r="S86" t="s">
        <v>4517</v>
      </c>
      <c r="T86" t="s">
        <v>11017</v>
      </c>
      <c r="U86" t="s">
        <v>4559</v>
      </c>
      <c r="V86" t="s">
        <v>11044</v>
      </c>
    </row>
    <row r="87" spans="1:22">
      <c r="A87" t="s">
        <v>11105</v>
      </c>
      <c r="B87" t="s">
        <v>11021</v>
      </c>
      <c r="C87" t="s">
        <v>18846</v>
      </c>
      <c r="D87" t="s">
        <v>4517</v>
      </c>
      <c r="E87" t="s">
        <v>11029</v>
      </c>
      <c r="F87" t="s">
        <v>7005</v>
      </c>
      <c r="G87" t="s">
        <v>11095</v>
      </c>
      <c r="H87" t="s">
        <v>4376</v>
      </c>
      <c r="I87" t="s">
        <v>8510</v>
      </c>
      <c r="J87" t="s">
        <v>11031</v>
      </c>
      <c r="K87" t="s">
        <v>4517</v>
      </c>
      <c r="L87" t="s">
        <v>11035</v>
      </c>
      <c r="M87" t="s">
        <v>25</v>
      </c>
      <c r="N87" t="s">
        <v>11037</v>
      </c>
      <c r="O87" t="s">
        <v>4517</v>
      </c>
      <c r="P87" t="s">
        <v>11019</v>
      </c>
      <c r="Q87" t="s">
        <v>25</v>
      </c>
      <c r="R87" t="s">
        <v>11038</v>
      </c>
      <c r="S87" t="s">
        <v>4517</v>
      </c>
      <c r="T87" t="s">
        <v>11035</v>
      </c>
      <c r="U87" t="s">
        <v>4559</v>
      </c>
      <c r="V87" t="s">
        <v>11045</v>
      </c>
    </row>
    <row r="88" spans="1:22">
      <c r="A88" t="s">
        <v>11100</v>
      </c>
      <c r="B88" t="s">
        <v>11023</v>
      </c>
      <c r="C88" t="s">
        <v>18847</v>
      </c>
      <c r="D88" t="s">
        <v>4517</v>
      </c>
      <c r="E88" t="s">
        <v>6332</v>
      </c>
      <c r="F88" t="s">
        <v>7005</v>
      </c>
      <c r="G88" t="s">
        <v>11097</v>
      </c>
      <c r="H88" t="s">
        <v>4377</v>
      </c>
      <c r="I88" t="s">
        <v>11030</v>
      </c>
      <c r="J88" t="s">
        <v>11031</v>
      </c>
      <c r="K88" t="s">
        <v>4517</v>
      </c>
      <c r="L88" t="s">
        <v>11020</v>
      </c>
      <c r="M88" t="s">
        <v>25</v>
      </c>
      <c r="N88" t="s">
        <v>11039</v>
      </c>
      <c r="O88" t="s">
        <v>4517</v>
      </c>
      <c r="P88" t="s">
        <v>11036</v>
      </c>
      <c r="Q88" t="s">
        <v>25</v>
      </c>
      <c r="R88" t="s">
        <v>11040</v>
      </c>
      <c r="S88" t="s">
        <v>4517</v>
      </c>
      <c r="T88" t="s">
        <v>11020</v>
      </c>
      <c r="U88" t="s">
        <v>4559</v>
      </c>
      <c r="V88" t="s">
        <v>11046</v>
      </c>
    </row>
    <row r="89" spans="1:22">
      <c r="A89" t="s">
        <v>11101</v>
      </c>
      <c r="B89" t="s">
        <v>11027</v>
      </c>
      <c r="C89" t="s">
        <v>18847</v>
      </c>
      <c r="D89" t="s">
        <v>4517</v>
      </c>
      <c r="E89" t="s">
        <v>6236</v>
      </c>
      <c r="F89" t="s">
        <v>7005</v>
      </c>
      <c r="G89" t="s">
        <v>11097</v>
      </c>
      <c r="H89" t="s">
        <v>4377</v>
      </c>
      <c r="I89" t="s">
        <v>4794</v>
      </c>
      <c r="J89" t="s">
        <v>11031</v>
      </c>
      <c r="K89" t="s">
        <v>4517</v>
      </c>
      <c r="L89" t="s">
        <v>11026</v>
      </c>
      <c r="M89" t="s">
        <v>25</v>
      </c>
      <c r="N89" t="s">
        <v>11041</v>
      </c>
      <c r="S89" t="s">
        <v>4517</v>
      </c>
      <c r="T89" t="s">
        <v>11026</v>
      </c>
      <c r="U89" t="s">
        <v>4559</v>
      </c>
      <c r="V89" t="s">
        <v>11047</v>
      </c>
    </row>
    <row r="90" spans="1:22">
      <c r="A90" t="s">
        <v>11102</v>
      </c>
      <c r="B90" t="s">
        <v>11024</v>
      </c>
      <c r="C90" t="s">
        <v>18847</v>
      </c>
      <c r="D90" t="s">
        <v>4517</v>
      </c>
      <c r="E90" t="s">
        <v>11028</v>
      </c>
      <c r="F90" t="s">
        <v>7005</v>
      </c>
      <c r="G90" t="s">
        <v>11098</v>
      </c>
      <c r="H90" t="s">
        <v>4377</v>
      </c>
      <c r="I90" t="s">
        <v>11025</v>
      </c>
      <c r="J90" t="s">
        <v>11031</v>
      </c>
      <c r="K90" t="s">
        <v>4517</v>
      </c>
      <c r="L90" t="s">
        <v>11042</v>
      </c>
      <c r="M90" t="s">
        <v>25</v>
      </c>
      <c r="N90" t="s">
        <v>11043</v>
      </c>
      <c r="S90" t="s">
        <v>4517</v>
      </c>
      <c r="T90" t="s">
        <v>11042</v>
      </c>
      <c r="U90" t="s">
        <v>4559</v>
      </c>
      <c r="V90" t="s">
        <v>11048</v>
      </c>
    </row>
    <row r="91" spans="1:22">
      <c r="A91" t="s">
        <v>11103</v>
      </c>
      <c r="B91" t="s">
        <v>11049</v>
      </c>
      <c r="C91" t="s">
        <v>18848</v>
      </c>
      <c r="D91" t="s">
        <v>4517</v>
      </c>
      <c r="E91" t="s">
        <v>4553</v>
      </c>
      <c r="F91" t="s">
        <v>7005</v>
      </c>
      <c r="G91" t="s">
        <v>11095</v>
      </c>
      <c r="H91" t="s">
        <v>4376</v>
      </c>
      <c r="I91" t="s">
        <v>8877</v>
      </c>
      <c r="J91" t="s">
        <v>11063</v>
      </c>
      <c r="K91" t="s">
        <v>4517</v>
      </c>
      <c r="L91" t="s">
        <v>11055</v>
      </c>
      <c r="M91" t="s">
        <v>25</v>
      </c>
      <c r="N91" t="s">
        <v>11066</v>
      </c>
      <c r="O91" t="s">
        <v>4517</v>
      </c>
      <c r="P91" t="s">
        <v>11068</v>
      </c>
      <c r="Q91" t="s">
        <v>25</v>
      </c>
      <c r="R91" t="s">
        <v>11067</v>
      </c>
      <c r="S91" t="s">
        <v>4517</v>
      </c>
      <c r="T91" t="s">
        <v>11055</v>
      </c>
      <c r="U91" t="s">
        <v>4559</v>
      </c>
      <c r="V91" t="s">
        <v>11079</v>
      </c>
    </row>
    <row r="92" spans="1:22">
      <c r="A92" t="s">
        <v>11104</v>
      </c>
      <c r="B92" t="s">
        <v>11050</v>
      </c>
      <c r="C92" t="s">
        <v>18848</v>
      </c>
      <c r="D92" t="s">
        <v>4517</v>
      </c>
      <c r="E92" t="s">
        <v>11029</v>
      </c>
      <c r="F92" t="s">
        <v>7005</v>
      </c>
      <c r="G92" t="s">
        <v>11095</v>
      </c>
      <c r="H92" t="s">
        <v>4376</v>
      </c>
      <c r="I92" t="s">
        <v>8510</v>
      </c>
      <c r="J92" t="s">
        <v>11063</v>
      </c>
      <c r="K92" t="s">
        <v>4517</v>
      </c>
      <c r="L92" t="s">
        <v>11056</v>
      </c>
      <c r="M92" t="s">
        <v>25</v>
      </c>
      <c r="N92" t="s">
        <v>11069</v>
      </c>
      <c r="S92" t="s">
        <v>4517</v>
      </c>
      <c r="T92" t="s">
        <v>11056</v>
      </c>
      <c r="U92" t="s">
        <v>4559</v>
      </c>
      <c r="V92" t="s">
        <v>11078</v>
      </c>
    </row>
    <row r="93" spans="1:22">
      <c r="A93" t="s">
        <v>11106</v>
      </c>
      <c r="B93" t="s">
        <v>11051</v>
      </c>
      <c r="C93" t="s">
        <v>18848</v>
      </c>
      <c r="D93" t="s">
        <v>4517</v>
      </c>
      <c r="E93" t="s">
        <v>11061</v>
      </c>
      <c r="F93" t="s">
        <v>7005</v>
      </c>
      <c r="G93" t="s">
        <v>11095</v>
      </c>
      <c r="H93" t="s">
        <v>4376</v>
      </c>
      <c r="I93" t="s">
        <v>11064</v>
      </c>
      <c r="J93" t="s">
        <v>11063</v>
      </c>
      <c r="K93" t="s">
        <v>4517</v>
      </c>
      <c r="L93" t="s">
        <v>11057</v>
      </c>
      <c r="M93" t="s">
        <v>25</v>
      </c>
      <c r="N93" t="s">
        <v>11070</v>
      </c>
      <c r="S93" t="s">
        <v>4517</v>
      </c>
      <c r="T93" t="s">
        <v>11057</v>
      </c>
      <c r="U93" t="s">
        <v>4559</v>
      </c>
      <c r="V93" t="s">
        <v>11077</v>
      </c>
    </row>
    <row r="94" spans="1:22">
      <c r="A94" t="s">
        <v>11107</v>
      </c>
      <c r="B94" t="s">
        <v>11052</v>
      </c>
      <c r="C94" t="s">
        <v>18849</v>
      </c>
      <c r="D94" t="s">
        <v>4517</v>
      </c>
      <c r="E94" t="s">
        <v>6332</v>
      </c>
      <c r="F94" t="s">
        <v>7005</v>
      </c>
      <c r="G94" t="s">
        <v>11097</v>
      </c>
      <c r="H94" t="s">
        <v>4377</v>
      </c>
      <c r="I94" t="s">
        <v>11030</v>
      </c>
      <c r="J94" t="s">
        <v>11063</v>
      </c>
      <c r="K94" t="s">
        <v>4517</v>
      </c>
      <c r="L94" t="s">
        <v>11058</v>
      </c>
      <c r="M94" t="s">
        <v>25</v>
      </c>
      <c r="N94" t="s">
        <v>11071</v>
      </c>
      <c r="S94" t="s">
        <v>4517</v>
      </c>
      <c r="T94" t="s">
        <v>11058</v>
      </c>
      <c r="U94" t="s">
        <v>4559</v>
      </c>
      <c r="V94" t="s">
        <v>11076</v>
      </c>
    </row>
    <row r="95" spans="1:22">
      <c r="A95" t="s">
        <v>11108</v>
      </c>
      <c r="B95" t="s">
        <v>11053</v>
      </c>
      <c r="C95" t="s">
        <v>18849</v>
      </c>
      <c r="D95" t="s">
        <v>4517</v>
      </c>
      <c r="E95" t="s">
        <v>11062</v>
      </c>
      <c r="F95" t="s">
        <v>7005</v>
      </c>
      <c r="G95" t="s">
        <v>11097</v>
      </c>
      <c r="H95" t="s">
        <v>6243</v>
      </c>
      <c r="I95" t="s">
        <v>11065</v>
      </c>
      <c r="J95" t="s">
        <v>11063</v>
      </c>
      <c r="K95" t="s">
        <v>4517</v>
      </c>
      <c r="L95" t="s">
        <v>11059</v>
      </c>
      <c r="M95" t="s">
        <v>25</v>
      </c>
      <c r="N95" t="s">
        <v>11072</v>
      </c>
      <c r="S95" t="s">
        <v>4517</v>
      </c>
      <c r="T95" t="s">
        <v>11059</v>
      </c>
      <c r="U95" t="s">
        <v>4559</v>
      </c>
      <c r="V95" t="s">
        <v>11075</v>
      </c>
    </row>
    <row r="96" spans="1:22">
      <c r="A96" t="s">
        <v>11109</v>
      </c>
      <c r="B96" t="s">
        <v>11054</v>
      </c>
      <c r="C96" t="s">
        <v>18850</v>
      </c>
      <c r="D96" t="s">
        <v>4517</v>
      </c>
      <c r="E96" t="s">
        <v>11028</v>
      </c>
      <c r="F96" t="s">
        <v>7005</v>
      </c>
      <c r="G96" t="s">
        <v>11099</v>
      </c>
      <c r="H96" t="s">
        <v>4377</v>
      </c>
      <c r="I96" t="s">
        <v>11025</v>
      </c>
      <c r="J96" t="s">
        <v>11063</v>
      </c>
      <c r="K96" t="s">
        <v>4517</v>
      </c>
      <c r="L96" t="s">
        <v>11060</v>
      </c>
      <c r="M96" t="s">
        <v>25</v>
      </c>
      <c r="N96" t="s">
        <v>11073</v>
      </c>
      <c r="S96" t="s">
        <v>4517</v>
      </c>
      <c r="T96" t="s">
        <v>11060</v>
      </c>
      <c r="U96" t="s">
        <v>4559</v>
      </c>
      <c r="V96" t="s">
        <v>11074</v>
      </c>
    </row>
    <row r="97" spans="1:22">
      <c r="A97" t="s">
        <v>11118</v>
      </c>
      <c r="B97" t="s">
        <v>11118</v>
      </c>
      <c r="C97" t="s">
        <v>18851</v>
      </c>
      <c r="D97" t="s">
        <v>4517</v>
      </c>
      <c r="E97" t="s">
        <v>11124</v>
      </c>
      <c r="F97" t="s">
        <v>2655</v>
      </c>
      <c r="G97" t="s">
        <v>11119</v>
      </c>
      <c r="H97" t="s">
        <v>4377</v>
      </c>
      <c r="I97" t="s">
        <v>10850</v>
      </c>
      <c r="J97" t="s">
        <v>11125</v>
      </c>
      <c r="K97" t="s">
        <v>4517</v>
      </c>
      <c r="L97" t="s">
        <v>11126</v>
      </c>
      <c r="M97" t="s">
        <v>25</v>
      </c>
      <c r="N97" t="s">
        <v>11123</v>
      </c>
      <c r="S97" t="s">
        <v>4517</v>
      </c>
      <c r="T97" t="s">
        <v>11126</v>
      </c>
      <c r="U97" t="s">
        <v>4559</v>
      </c>
      <c r="V97" t="s">
        <v>11133</v>
      </c>
    </row>
    <row r="98" spans="1:22">
      <c r="A98" t="s">
        <v>11120</v>
      </c>
      <c r="B98" t="s">
        <v>11120</v>
      </c>
      <c r="C98" t="s">
        <v>18852</v>
      </c>
      <c r="D98" t="s">
        <v>4517</v>
      </c>
      <c r="E98" t="s">
        <v>11124</v>
      </c>
      <c r="F98" t="s">
        <v>2655</v>
      </c>
      <c r="G98" t="s">
        <v>11119</v>
      </c>
      <c r="H98" t="s">
        <v>4377</v>
      </c>
      <c r="I98" t="s">
        <v>10850</v>
      </c>
      <c r="J98" t="s">
        <v>11125</v>
      </c>
      <c r="K98" t="s">
        <v>4517</v>
      </c>
      <c r="L98" t="s">
        <v>11128</v>
      </c>
      <c r="M98" t="s">
        <v>25</v>
      </c>
      <c r="N98" t="s">
        <v>11127</v>
      </c>
      <c r="S98" t="s">
        <v>4517</v>
      </c>
      <c r="T98" t="s">
        <v>11128</v>
      </c>
      <c r="U98" t="s">
        <v>4559</v>
      </c>
      <c r="V98" t="s">
        <v>11134</v>
      </c>
    </row>
    <row r="99" spans="1:22">
      <c r="A99" t="s">
        <v>11121</v>
      </c>
      <c r="B99" t="s">
        <v>11121</v>
      </c>
      <c r="C99" t="s">
        <v>18853</v>
      </c>
      <c r="D99" t="s">
        <v>4517</v>
      </c>
      <c r="E99" t="s">
        <v>11124</v>
      </c>
      <c r="F99" t="s">
        <v>2655</v>
      </c>
      <c r="G99" t="s">
        <v>11119</v>
      </c>
      <c r="H99" t="s">
        <v>4377</v>
      </c>
      <c r="I99" t="s">
        <v>10850</v>
      </c>
      <c r="J99" t="s">
        <v>11125</v>
      </c>
      <c r="K99" t="s">
        <v>4517</v>
      </c>
      <c r="L99" t="s">
        <v>11132</v>
      </c>
      <c r="M99" t="s">
        <v>25</v>
      </c>
      <c r="N99" t="s">
        <v>11131</v>
      </c>
      <c r="S99" t="s">
        <v>4517</v>
      </c>
      <c r="T99" t="s">
        <v>11132</v>
      </c>
      <c r="U99" t="s">
        <v>4559</v>
      </c>
      <c r="V99" t="s">
        <v>11135</v>
      </c>
    </row>
    <row r="100" spans="1:22">
      <c r="A100" t="s">
        <v>11122</v>
      </c>
      <c r="B100" t="s">
        <v>11122</v>
      </c>
      <c r="C100" t="s">
        <v>18854</v>
      </c>
      <c r="D100" t="s">
        <v>4517</v>
      </c>
      <c r="E100" t="s">
        <v>11124</v>
      </c>
      <c r="F100" t="s">
        <v>2655</v>
      </c>
      <c r="G100" t="s">
        <v>11119</v>
      </c>
      <c r="H100" t="s">
        <v>4377</v>
      </c>
      <c r="I100" t="s">
        <v>10850</v>
      </c>
      <c r="J100" t="s">
        <v>11125</v>
      </c>
      <c r="K100" t="s">
        <v>4517</v>
      </c>
      <c r="L100" t="s">
        <v>11130</v>
      </c>
      <c r="M100" t="s">
        <v>25</v>
      </c>
      <c r="N100" t="s">
        <v>11129</v>
      </c>
      <c r="S100" t="s">
        <v>4517</v>
      </c>
      <c r="T100" t="s">
        <v>11130</v>
      </c>
      <c r="U100" t="s">
        <v>4559</v>
      </c>
      <c r="V100" t="s">
        <v>11136</v>
      </c>
    </row>
    <row r="101" spans="1:22">
      <c r="A101" t="s">
        <v>11187</v>
      </c>
      <c r="B101" t="s">
        <v>11187</v>
      </c>
      <c r="C101" t="s">
        <v>18855</v>
      </c>
      <c r="D101" t="s">
        <v>4517</v>
      </c>
      <c r="E101" t="s">
        <v>4372</v>
      </c>
      <c r="F101" t="s">
        <v>2655</v>
      </c>
      <c r="G101" t="s">
        <v>11188</v>
      </c>
      <c r="H101" t="s">
        <v>4376</v>
      </c>
      <c r="I101" t="s">
        <v>4789</v>
      </c>
      <c r="J101" t="s">
        <v>11184</v>
      </c>
      <c r="K101" t="s">
        <v>4517</v>
      </c>
      <c r="L101" t="s">
        <v>11185</v>
      </c>
      <c r="M101" t="s">
        <v>25</v>
      </c>
      <c r="N101" t="s">
        <v>11189</v>
      </c>
      <c r="S101" t="s">
        <v>4517</v>
      </c>
      <c r="T101" t="s">
        <v>11185</v>
      </c>
      <c r="U101" t="s">
        <v>4559</v>
      </c>
      <c r="V101" t="s">
        <v>11191</v>
      </c>
    </row>
    <row r="102" spans="1:22">
      <c r="A102" t="s">
        <v>11188</v>
      </c>
      <c r="B102" t="s">
        <v>11188</v>
      </c>
      <c r="C102" t="s">
        <v>18855</v>
      </c>
      <c r="D102" t="s">
        <v>4517</v>
      </c>
      <c r="E102" t="s">
        <v>4372</v>
      </c>
      <c r="F102" t="s">
        <v>2655</v>
      </c>
      <c r="G102" t="s">
        <v>11188</v>
      </c>
      <c r="H102" t="s">
        <v>4376</v>
      </c>
      <c r="I102" t="s">
        <v>4789</v>
      </c>
      <c r="J102" t="s">
        <v>11184</v>
      </c>
      <c r="K102" t="s">
        <v>4517</v>
      </c>
      <c r="L102" t="s">
        <v>11186</v>
      </c>
      <c r="M102" t="s">
        <v>25</v>
      </c>
      <c r="N102" t="s">
        <v>11190</v>
      </c>
      <c r="S102" t="s">
        <v>4517</v>
      </c>
      <c r="T102" t="s">
        <v>11186</v>
      </c>
      <c r="U102" t="s">
        <v>4559</v>
      </c>
      <c r="V102" t="s">
        <v>11192</v>
      </c>
    </row>
    <row r="103" spans="1:22">
      <c r="A103" t="s">
        <v>11979</v>
      </c>
      <c r="B103" t="s">
        <v>11979</v>
      </c>
      <c r="C103" t="s">
        <v>12024</v>
      </c>
      <c r="D103" t="s">
        <v>12028</v>
      </c>
      <c r="E103" t="s">
        <v>12030</v>
      </c>
      <c r="F103" t="s">
        <v>2655</v>
      </c>
      <c r="G103" t="s">
        <v>11991</v>
      </c>
      <c r="H103" t="s">
        <v>4377</v>
      </c>
      <c r="I103" t="s">
        <v>6544</v>
      </c>
      <c r="J103" t="s">
        <v>11995</v>
      </c>
      <c r="K103" t="s">
        <v>6265</v>
      </c>
      <c r="L103" t="s">
        <v>18856</v>
      </c>
      <c r="M103" t="s">
        <v>25</v>
      </c>
      <c r="N103" t="s">
        <v>11999</v>
      </c>
    </row>
    <row r="104" spans="1:22">
      <c r="A104" t="s">
        <v>11980</v>
      </c>
      <c r="B104" t="s">
        <v>11980</v>
      </c>
      <c r="C104" t="s">
        <v>12024</v>
      </c>
      <c r="D104" t="s">
        <v>12028</v>
      </c>
      <c r="E104" t="s">
        <v>12031</v>
      </c>
      <c r="F104" t="s">
        <v>2655</v>
      </c>
      <c r="G104" t="s">
        <v>11991</v>
      </c>
      <c r="H104" t="s">
        <v>4377</v>
      </c>
      <c r="I104" t="s">
        <v>11998</v>
      </c>
      <c r="J104" t="s">
        <v>11995</v>
      </c>
      <c r="K104" t="s">
        <v>6265</v>
      </c>
      <c r="L104" t="s">
        <v>18857</v>
      </c>
      <c r="M104" t="s">
        <v>25</v>
      </c>
      <c r="N104" t="s">
        <v>12003</v>
      </c>
      <c r="O104" t="s">
        <v>4517</v>
      </c>
      <c r="P104" t="s">
        <v>12004</v>
      </c>
      <c r="Q104" t="s">
        <v>25</v>
      </c>
      <c r="R104" t="s">
        <v>12005</v>
      </c>
      <c r="S104" t="s">
        <v>13430</v>
      </c>
      <c r="T104" t="s">
        <v>18857</v>
      </c>
      <c r="U104" t="s">
        <v>4559</v>
      </c>
      <c r="V104" t="s">
        <v>13437</v>
      </c>
    </row>
    <row r="105" spans="1:22">
      <c r="A105" t="s">
        <v>11981</v>
      </c>
      <c r="B105" t="s">
        <v>11981</v>
      </c>
      <c r="C105" t="s">
        <v>12024</v>
      </c>
      <c r="D105" t="s">
        <v>12028</v>
      </c>
      <c r="E105" t="s">
        <v>12032</v>
      </c>
      <c r="F105" t="s">
        <v>2655</v>
      </c>
      <c r="G105" t="s">
        <v>11991</v>
      </c>
      <c r="H105" t="s">
        <v>4377</v>
      </c>
      <c r="I105" t="s">
        <v>11997</v>
      </c>
      <c r="J105" t="s">
        <v>11995</v>
      </c>
      <c r="K105" t="s">
        <v>6265</v>
      </c>
      <c r="L105" t="s">
        <v>18858</v>
      </c>
      <c r="M105" t="s">
        <v>25</v>
      </c>
      <c r="N105" t="s">
        <v>12007</v>
      </c>
      <c r="O105" t="s">
        <v>4517</v>
      </c>
      <c r="P105" t="s">
        <v>12008</v>
      </c>
      <c r="Q105" t="s">
        <v>25</v>
      </c>
      <c r="R105" t="s">
        <v>12009</v>
      </c>
      <c r="S105" t="s">
        <v>13430</v>
      </c>
      <c r="T105" t="s">
        <v>18858</v>
      </c>
      <c r="U105" t="s">
        <v>4559</v>
      </c>
      <c r="V105" t="s">
        <v>13438</v>
      </c>
    </row>
    <row r="106" spans="1:22">
      <c r="A106" t="s">
        <v>11982</v>
      </c>
      <c r="B106" t="s">
        <v>11982</v>
      </c>
      <c r="C106" t="s">
        <v>12024</v>
      </c>
      <c r="D106" t="s">
        <v>12028</v>
      </c>
      <c r="E106" t="s">
        <v>12033</v>
      </c>
      <c r="F106" t="s">
        <v>2655</v>
      </c>
      <c r="G106" t="s">
        <v>11992</v>
      </c>
      <c r="H106" t="s">
        <v>4377</v>
      </c>
      <c r="I106" t="s">
        <v>10854</v>
      </c>
      <c r="J106" t="s">
        <v>11995</v>
      </c>
    </row>
    <row r="107" spans="1:22">
      <c r="A107" t="s">
        <v>11984</v>
      </c>
      <c r="B107" t="s">
        <v>11984</v>
      </c>
      <c r="C107" t="s">
        <v>12024</v>
      </c>
      <c r="D107" t="s">
        <v>12028</v>
      </c>
      <c r="E107" t="s">
        <v>12035</v>
      </c>
      <c r="F107" t="s">
        <v>2655</v>
      </c>
      <c r="G107" t="s">
        <v>11993</v>
      </c>
      <c r="H107" t="s">
        <v>6243</v>
      </c>
      <c r="I107" t="s">
        <v>11994</v>
      </c>
      <c r="J107" t="s">
        <v>11995</v>
      </c>
      <c r="K107" t="s">
        <v>6265</v>
      </c>
      <c r="L107" t="s">
        <v>18859</v>
      </c>
      <c r="M107" t="s">
        <v>25</v>
      </c>
      <c r="N107" t="s">
        <v>12036</v>
      </c>
      <c r="S107" t="s">
        <v>13430</v>
      </c>
      <c r="T107" t="s">
        <v>18859</v>
      </c>
      <c r="U107" t="s">
        <v>4559</v>
      </c>
      <c r="V107" t="s">
        <v>13439</v>
      </c>
    </row>
    <row r="108" spans="1:22">
      <c r="A108" t="s">
        <v>11983</v>
      </c>
      <c r="B108" t="s">
        <v>11983</v>
      </c>
      <c r="C108" t="s">
        <v>12024</v>
      </c>
      <c r="D108" t="s">
        <v>12028</v>
      </c>
      <c r="E108" t="s">
        <v>12034</v>
      </c>
      <c r="F108" t="s">
        <v>2655</v>
      </c>
      <c r="G108" t="s">
        <v>11993</v>
      </c>
      <c r="H108" t="s">
        <v>6243</v>
      </c>
      <c r="I108" t="s">
        <v>11996</v>
      </c>
      <c r="J108" t="s">
        <v>11995</v>
      </c>
    </row>
    <row r="109" spans="1:22">
      <c r="A109" t="s">
        <v>11985</v>
      </c>
      <c r="B109" t="s">
        <v>11985</v>
      </c>
      <c r="C109" t="s">
        <v>12025</v>
      </c>
      <c r="D109" t="s">
        <v>12028</v>
      </c>
      <c r="E109" t="s">
        <v>12030</v>
      </c>
      <c r="F109" t="s">
        <v>2655</v>
      </c>
      <c r="G109" t="s">
        <v>11991</v>
      </c>
      <c r="H109" t="s">
        <v>4377</v>
      </c>
      <c r="I109" t="s">
        <v>6544</v>
      </c>
      <c r="J109" t="s">
        <v>11995</v>
      </c>
      <c r="K109" t="s">
        <v>6265</v>
      </c>
      <c r="L109" t="s">
        <v>18860</v>
      </c>
      <c r="M109" t="s">
        <v>25</v>
      </c>
      <c r="N109" t="s">
        <v>12000</v>
      </c>
      <c r="O109" t="s">
        <v>4517</v>
      </c>
      <c r="P109" t="s">
        <v>12001</v>
      </c>
      <c r="Q109" t="s">
        <v>25</v>
      </c>
      <c r="R109" t="s">
        <v>12002</v>
      </c>
      <c r="S109" t="s">
        <v>13430</v>
      </c>
      <c r="T109" t="s">
        <v>18860</v>
      </c>
      <c r="U109" t="s">
        <v>4559</v>
      </c>
      <c r="V109" t="s">
        <v>13432</v>
      </c>
    </row>
    <row r="110" spans="1:22">
      <c r="A110" t="s">
        <v>11986</v>
      </c>
      <c r="B110" t="s">
        <v>11986</v>
      </c>
      <c r="C110" t="s">
        <v>12025</v>
      </c>
      <c r="D110" t="s">
        <v>12028</v>
      </c>
      <c r="E110" t="s">
        <v>12031</v>
      </c>
      <c r="F110" t="s">
        <v>2655</v>
      </c>
      <c r="G110" t="s">
        <v>11991</v>
      </c>
      <c r="H110" t="s">
        <v>4377</v>
      </c>
      <c r="I110" t="s">
        <v>11998</v>
      </c>
      <c r="J110" t="s">
        <v>11995</v>
      </c>
      <c r="K110" t="s">
        <v>6265</v>
      </c>
      <c r="L110" t="s">
        <v>18861</v>
      </c>
      <c r="M110" t="s">
        <v>25</v>
      </c>
      <c r="N110" t="s">
        <v>12006</v>
      </c>
      <c r="S110" t="s">
        <v>13430</v>
      </c>
      <c r="T110" t="s">
        <v>18861</v>
      </c>
      <c r="U110" t="s">
        <v>4559</v>
      </c>
      <c r="V110" t="s">
        <v>13433</v>
      </c>
    </row>
    <row r="111" spans="1:22">
      <c r="A111" t="s">
        <v>11987</v>
      </c>
      <c r="B111" t="s">
        <v>11987</v>
      </c>
      <c r="C111" t="s">
        <v>12025</v>
      </c>
      <c r="D111" t="s">
        <v>12028</v>
      </c>
      <c r="E111" t="s">
        <v>12032</v>
      </c>
      <c r="F111" t="s">
        <v>2655</v>
      </c>
      <c r="G111" t="s">
        <v>11991</v>
      </c>
      <c r="H111" t="s">
        <v>4377</v>
      </c>
      <c r="I111" t="s">
        <v>11997</v>
      </c>
      <c r="J111" t="s">
        <v>11995</v>
      </c>
      <c r="K111" t="s">
        <v>6265</v>
      </c>
      <c r="L111" t="s">
        <v>18862</v>
      </c>
      <c r="M111" t="s">
        <v>25</v>
      </c>
      <c r="N111" t="s">
        <v>12010</v>
      </c>
      <c r="S111" t="s">
        <v>13430</v>
      </c>
      <c r="T111" t="s">
        <v>18862</v>
      </c>
      <c r="U111" t="s">
        <v>4559</v>
      </c>
      <c r="V111" t="s">
        <v>13431</v>
      </c>
    </row>
    <row r="112" spans="1:22">
      <c r="A112" t="s">
        <v>11988</v>
      </c>
      <c r="B112" t="s">
        <v>11988</v>
      </c>
      <c r="C112" t="s">
        <v>12025</v>
      </c>
      <c r="D112" t="s">
        <v>12028</v>
      </c>
      <c r="E112" t="s">
        <v>12033</v>
      </c>
      <c r="F112" t="s">
        <v>2655</v>
      </c>
      <c r="G112" t="s">
        <v>11992</v>
      </c>
      <c r="H112" t="s">
        <v>4377</v>
      </c>
      <c r="I112" t="s">
        <v>10854</v>
      </c>
      <c r="J112" t="s">
        <v>11995</v>
      </c>
    </row>
    <row r="113" spans="1:22">
      <c r="A113" t="s">
        <v>11989</v>
      </c>
      <c r="B113" t="s">
        <v>11989</v>
      </c>
      <c r="C113" t="s">
        <v>12025</v>
      </c>
      <c r="D113" t="s">
        <v>12028</v>
      </c>
      <c r="E113" t="s">
        <v>12035</v>
      </c>
      <c r="F113" t="s">
        <v>2655</v>
      </c>
      <c r="G113" t="s">
        <v>11993</v>
      </c>
      <c r="H113" t="s">
        <v>6243</v>
      </c>
      <c r="I113" t="s">
        <v>11994</v>
      </c>
      <c r="J113" t="s">
        <v>11995</v>
      </c>
      <c r="K113" t="s">
        <v>6265</v>
      </c>
      <c r="L113" t="s">
        <v>18863</v>
      </c>
      <c r="M113" t="s">
        <v>25</v>
      </c>
      <c r="N113" t="s">
        <v>12037</v>
      </c>
      <c r="O113" t="s">
        <v>4517</v>
      </c>
      <c r="P113" t="s">
        <v>12038</v>
      </c>
      <c r="Q113" t="s">
        <v>25</v>
      </c>
      <c r="R113" t="s">
        <v>12039</v>
      </c>
      <c r="S113" t="s">
        <v>13430</v>
      </c>
      <c r="T113" t="s">
        <v>18863</v>
      </c>
      <c r="U113" t="s">
        <v>4559</v>
      </c>
      <c r="V113" t="s">
        <v>13434</v>
      </c>
    </row>
    <row r="114" spans="1:22">
      <c r="A114" t="s">
        <v>11990</v>
      </c>
      <c r="B114" t="s">
        <v>11990</v>
      </c>
      <c r="C114" t="s">
        <v>12025</v>
      </c>
      <c r="D114" t="s">
        <v>12028</v>
      </c>
      <c r="E114" t="s">
        <v>12034</v>
      </c>
      <c r="F114" t="s">
        <v>2655</v>
      </c>
      <c r="G114" t="s">
        <v>11993</v>
      </c>
      <c r="H114" t="s">
        <v>6243</v>
      </c>
      <c r="I114" t="s">
        <v>11996</v>
      </c>
      <c r="J114" t="s">
        <v>11995</v>
      </c>
      <c r="K114" t="s">
        <v>6265</v>
      </c>
      <c r="L114" t="s">
        <v>18864</v>
      </c>
      <c r="M114" t="s">
        <v>25</v>
      </c>
      <c r="N114" t="s">
        <v>12040</v>
      </c>
      <c r="O114" t="s">
        <v>4517</v>
      </c>
      <c r="P114" t="s">
        <v>12041</v>
      </c>
      <c r="Q114" t="s">
        <v>25</v>
      </c>
      <c r="R114" t="s">
        <v>12042</v>
      </c>
      <c r="S114" t="s">
        <v>13430</v>
      </c>
      <c r="T114" t="s">
        <v>18864</v>
      </c>
      <c r="U114" t="s">
        <v>4559</v>
      </c>
      <c r="V114" t="s">
        <v>13435</v>
      </c>
    </row>
    <row r="115" spans="1:22">
      <c r="A115" t="s">
        <v>12011</v>
      </c>
      <c r="B115" t="s">
        <v>12013</v>
      </c>
      <c r="C115" t="s">
        <v>12026</v>
      </c>
      <c r="D115" t="s">
        <v>12029</v>
      </c>
      <c r="E115" t="s">
        <v>12032</v>
      </c>
      <c r="F115" t="s">
        <v>2655</v>
      </c>
      <c r="G115" t="s">
        <v>11991</v>
      </c>
      <c r="H115" t="s">
        <v>4377</v>
      </c>
      <c r="I115" t="s">
        <v>11997</v>
      </c>
      <c r="J115" t="s">
        <v>12015</v>
      </c>
      <c r="K115" t="s">
        <v>6265</v>
      </c>
      <c r="L115" t="s">
        <v>12020</v>
      </c>
      <c r="M115" t="s">
        <v>25</v>
      </c>
      <c r="N115" t="s">
        <v>12021</v>
      </c>
    </row>
    <row r="116" spans="1:22">
      <c r="A116" t="s">
        <v>12016</v>
      </c>
      <c r="B116" t="s">
        <v>12018</v>
      </c>
      <c r="C116" t="s">
        <v>12026</v>
      </c>
      <c r="D116" t="s">
        <v>12029</v>
      </c>
      <c r="E116" t="s">
        <v>12034</v>
      </c>
      <c r="F116" t="s">
        <v>2655</v>
      </c>
      <c r="G116" t="s">
        <v>11993</v>
      </c>
      <c r="H116" t="s">
        <v>6243</v>
      </c>
      <c r="I116" t="s">
        <v>11996</v>
      </c>
      <c r="J116" t="s">
        <v>12015</v>
      </c>
      <c r="K116" t="s">
        <v>6265</v>
      </c>
      <c r="L116" t="s">
        <v>18865</v>
      </c>
      <c r="M116" t="s">
        <v>25</v>
      </c>
      <c r="N116" t="s">
        <v>12043</v>
      </c>
    </row>
    <row r="117" spans="1:22">
      <c r="A117" t="s">
        <v>12012</v>
      </c>
      <c r="B117" t="s">
        <v>12014</v>
      </c>
      <c r="C117" t="s">
        <v>12027</v>
      </c>
      <c r="D117" t="s">
        <v>12029</v>
      </c>
      <c r="E117" t="s">
        <v>12032</v>
      </c>
      <c r="F117" t="s">
        <v>2655</v>
      </c>
      <c r="G117" t="s">
        <v>11991</v>
      </c>
      <c r="H117" t="s">
        <v>4377</v>
      </c>
      <c r="I117" t="s">
        <v>11997</v>
      </c>
      <c r="J117" t="s">
        <v>12015</v>
      </c>
      <c r="K117" t="s">
        <v>6265</v>
      </c>
      <c r="L117" t="s">
        <v>12022</v>
      </c>
      <c r="M117" t="s">
        <v>25</v>
      </c>
      <c r="N117" t="s">
        <v>12023</v>
      </c>
      <c r="S117" t="s">
        <v>13430</v>
      </c>
      <c r="T117" t="s">
        <v>12022</v>
      </c>
      <c r="U117" t="s">
        <v>4559</v>
      </c>
      <c r="V117" t="s">
        <v>13436</v>
      </c>
    </row>
    <row r="118" spans="1:22">
      <c r="A118" t="s">
        <v>12017</v>
      </c>
      <c r="B118" t="s">
        <v>12019</v>
      </c>
      <c r="C118" t="s">
        <v>12027</v>
      </c>
      <c r="D118" t="s">
        <v>12029</v>
      </c>
      <c r="E118" t="s">
        <v>12034</v>
      </c>
      <c r="F118" t="s">
        <v>7005</v>
      </c>
      <c r="G118" t="s">
        <v>11993</v>
      </c>
      <c r="H118" t="s">
        <v>6243</v>
      </c>
      <c r="I118" t="s">
        <v>11996</v>
      </c>
      <c r="J118" t="s">
        <v>12015</v>
      </c>
      <c r="K118" t="s">
        <v>6265</v>
      </c>
      <c r="L118" t="s">
        <v>12044</v>
      </c>
      <c r="M118" t="s">
        <v>25</v>
      </c>
      <c r="N118" t="s">
        <v>12045</v>
      </c>
    </row>
    <row r="119" spans="1:22">
      <c r="A119" t="s">
        <v>16641</v>
      </c>
      <c r="B119" t="s">
        <v>16641</v>
      </c>
      <c r="C119" t="s">
        <v>16646</v>
      </c>
      <c r="D119" t="s">
        <v>4517</v>
      </c>
      <c r="E119" t="s">
        <v>12032</v>
      </c>
      <c r="F119" t="s">
        <v>2655</v>
      </c>
      <c r="G119" t="s">
        <v>11991</v>
      </c>
      <c r="H119" t="s">
        <v>4377</v>
      </c>
      <c r="I119" t="s">
        <v>11997</v>
      </c>
      <c r="J119" t="s">
        <v>16642</v>
      </c>
      <c r="K119" t="s">
        <v>4517</v>
      </c>
      <c r="L119" t="s">
        <v>16643</v>
      </c>
      <c r="M119" t="s">
        <v>25</v>
      </c>
      <c r="N119" t="s">
        <v>16644</v>
      </c>
      <c r="S119" t="s">
        <v>6661</v>
      </c>
      <c r="T119" t="s">
        <v>16643</v>
      </c>
      <c r="U119" t="s">
        <v>4559</v>
      </c>
      <c r="V119" t="s">
        <v>16645</v>
      </c>
    </row>
    <row r="120" spans="1:22">
      <c r="A120" t="s">
        <v>12418</v>
      </c>
      <c r="B120" t="s">
        <v>12418</v>
      </c>
      <c r="C120" t="s">
        <v>18866</v>
      </c>
      <c r="D120" t="s">
        <v>4517</v>
      </c>
      <c r="E120" t="s">
        <v>10972</v>
      </c>
      <c r="F120" t="s">
        <v>7005</v>
      </c>
      <c r="G120" t="s">
        <v>12425</v>
      </c>
      <c r="H120" t="s">
        <v>4377</v>
      </c>
      <c r="I120" t="s">
        <v>4794</v>
      </c>
      <c r="J120" t="s">
        <v>12428</v>
      </c>
      <c r="K120" t="s">
        <v>4517</v>
      </c>
      <c r="L120" t="s">
        <v>12429</v>
      </c>
      <c r="M120" t="s">
        <v>25</v>
      </c>
      <c r="N120" t="s">
        <v>12430</v>
      </c>
      <c r="O120" t="s">
        <v>4517</v>
      </c>
      <c r="P120" t="s">
        <v>12431</v>
      </c>
      <c r="Q120" t="s">
        <v>25</v>
      </c>
      <c r="R120" t="s">
        <v>12432</v>
      </c>
      <c r="S120" t="s">
        <v>4517</v>
      </c>
      <c r="T120" t="s">
        <v>12429</v>
      </c>
      <c r="U120" t="s">
        <v>4559</v>
      </c>
      <c r="V120" t="s">
        <v>12433</v>
      </c>
    </row>
    <row r="121" spans="1:22">
      <c r="A121" t="s">
        <v>12419</v>
      </c>
      <c r="B121" t="s">
        <v>12419</v>
      </c>
      <c r="C121" t="s">
        <v>18866</v>
      </c>
      <c r="D121" t="s">
        <v>4517</v>
      </c>
      <c r="E121" t="s">
        <v>4553</v>
      </c>
      <c r="F121" t="s">
        <v>7005</v>
      </c>
      <c r="G121" t="s">
        <v>11094</v>
      </c>
      <c r="H121" t="s">
        <v>4376</v>
      </c>
      <c r="I121" t="s">
        <v>8877</v>
      </c>
      <c r="J121" t="s">
        <v>12428</v>
      </c>
      <c r="K121" t="s">
        <v>4517</v>
      </c>
      <c r="L121" t="s">
        <v>12434</v>
      </c>
      <c r="M121" t="s">
        <v>25</v>
      </c>
      <c r="N121" t="s">
        <v>12435</v>
      </c>
      <c r="O121" t="s">
        <v>4517</v>
      </c>
      <c r="P121" t="s">
        <v>12436</v>
      </c>
      <c r="Q121" t="s">
        <v>25</v>
      </c>
      <c r="R121" t="s">
        <v>12437</v>
      </c>
      <c r="S121" t="s">
        <v>4517</v>
      </c>
      <c r="T121" t="s">
        <v>12434</v>
      </c>
      <c r="U121" t="s">
        <v>4559</v>
      </c>
      <c r="V121" t="s">
        <v>12438</v>
      </c>
    </row>
    <row r="122" spans="1:22">
      <c r="A122" t="s">
        <v>12422</v>
      </c>
      <c r="B122" t="s">
        <v>12422</v>
      </c>
      <c r="C122" t="s">
        <v>18866</v>
      </c>
      <c r="D122" t="s">
        <v>4517</v>
      </c>
      <c r="E122" t="s">
        <v>6332</v>
      </c>
      <c r="F122" t="s">
        <v>7005</v>
      </c>
      <c r="G122" t="s">
        <v>12425</v>
      </c>
      <c r="H122" t="s">
        <v>4377</v>
      </c>
      <c r="I122" t="s">
        <v>11030</v>
      </c>
      <c r="J122" t="s">
        <v>12428</v>
      </c>
      <c r="K122" t="s">
        <v>4517</v>
      </c>
      <c r="L122" t="s">
        <v>12439</v>
      </c>
      <c r="M122" t="s">
        <v>25</v>
      </c>
      <c r="N122" t="s">
        <v>12440</v>
      </c>
      <c r="O122" t="s">
        <v>4517</v>
      </c>
      <c r="P122" t="s">
        <v>12441</v>
      </c>
      <c r="Q122" t="s">
        <v>25</v>
      </c>
      <c r="R122" t="s">
        <v>12442</v>
      </c>
      <c r="S122" t="s">
        <v>4517</v>
      </c>
      <c r="T122" t="s">
        <v>12439</v>
      </c>
      <c r="U122" t="s">
        <v>4559</v>
      </c>
      <c r="V122" t="s">
        <v>12443</v>
      </c>
    </row>
    <row r="123" spans="1:22">
      <c r="A123" t="s">
        <v>12420</v>
      </c>
      <c r="B123" t="s">
        <v>12420</v>
      </c>
      <c r="C123" t="s">
        <v>18867</v>
      </c>
      <c r="D123" t="s">
        <v>4517</v>
      </c>
      <c r="E123" t="s">
        <v>10972</v>
      </c>
      <c r="F123" t="s">
        <v>7005</v>
      </c>
      <c r="G123" t="s">
        <v>11097</v>
      </c>
      <c r="H123" t="s">
        <v>4377</v>
      </c>
      <c r="I123" t="s">
        <v>4794</v>
      </c>
      <c r="J123" t="s">
        <v>12428</v>
      </c>
      <c r="K123" t="s">
        <v>4517</v>
      </c>
      <c r="L123" t="s">
        <v>12444</v>
      </c>
      <c r="M123" t="s">
        <v>25</v>
      </c>
      <c r="N123" t="s">
        <v>12445</v>
      </c>
      <c r="O123" t="s">
        <v>4517</v>
      </c>
      <c r="P123" t="s">
        <v>12446</v>
      </c>
      <c r="Q123" t="s">
        <v>25</v>
      </c>
      <c r="R123" t="s">
        <v>12447</v>
      </c>
      <c r="S123" t="s">
        <v>4517</v>
      </c>
      <c r="T123" t="s">
        <v>12444</v>
      </c>
      <c r="U123" t="s">
        <v>4559</v>
      </c>
      <c r="V123" t="s">
        <v>12448</v>
      </c>
    </row>
    <row r="124" spans="1:22">
      <c r="A124" t="s">
        <v>12423</v>
      </c>
      <c r="B124" t="s">
        <v>12423</v>
      </c>
      <c r="C124" t="s">
        <v>18867</v>
      </c>
      <c r="D124" t="s">
        <v>4517</v>
      </c>
      <c r="E124" t="s">
        <v>6332</v>
      </c>
      <c r="F124" t="s">
        <v>7005</v>
      </c>
      <c r="G124" t="s">
        <v>11097</v>
      </c>
      <c r="H124" t="s">
        <v>4377</v>
      </c>
      <c r="I124" t="s">
        <v>11030</v>
      </c>
      <c r="J124" t="s">
        <v>12428</v>
      </c>
      <c r="K124" t="s">
        <v>4517</v>
      </c>
      <c r="L124" t="s">
        <v>12449</v>
      </c>
      <c r="M124" t="s">
        <v>25</v>
      </c>
      <c r="N124" t="s">
        <v>12450</v>
      </c>
      <c r="O124" t="s">
        <v>4517</v>
      </c>
      <c r="P124" t="s">
        <v>12451</v>
      </c>
      <c r="Q124" t="s">
        <v>25</v>
      </c>
      <c r="R124" t="s">
        <v>12452</v>
      </c>
      <c r="S124" t="s">
        <v>4517</v>
      </c>
      <c r="T124" t="s">
        <v>12449</v>
      </c>
      <c r="U124" t="s">
        <v>4559</v>
      </c>
      <c r="V124" t="s">
        <v>12453</v>
      </c>
    </row>
    <row r="125" spans="1:22">
      <c r="A125" t="s">
        <v>12421</v>
      </c>
      <c r="B125" t="s">
        <v>12421</v>
      </c>
      <c r="C125" t="s">
        <v>18868</v>
      </c>
      <c r="D125" t="s">
        <v>4517</v>
      </c>
      <c r="E125" t="s">
        <v>12426</v>
      </c>
      <c r="F125" t="s">
        <v>7005</v>
      </c>
      <c r="G125" t="s">
        <v>11098</v>
      </c>
      <c r="H125" t="s">
        <v>4377</v>
      </c>
      <c r="I125" t="s">
        <v>12427</v>
      </c>
      <c r="J125" t="s">
        <v>12428</v>
      </c>
      <c r="K125" t="s">
        <v>4517</v>
      </c>
      <c r="L125" t="s">
        <v>12454</v>
      </c>
      <c r="M125" t="s">
        <v>25</v>
      </c>
      <c r="N125" t="s">
        <v>12455</v>
      </c>
      <c r="O125" t="s">
        <v>4517</v>
      </c>
      <c r="P125" t="s">
        <v>12456</v>
      </c>
      <c r="Q125" t="s">
        <v>25</v>
      </c>
      <c r="R125" t="s">
        <v>12457</v>
      </c>
      <c r="S125" t="s">
        <v>4517</v>
      </c>
      <c r="T125" t="s">
        <v>12454</v>
      </c>
      <c r="U125" t="s">
        <v>4559</v>
      </c>
      <c r="V125" t="s">
        <v>12458</v>
      </c>
    </row>
    <row r="126" spans="1:22">
      <c r="A126" t="s">
        <v>12424</v>
      </c>
      <c r="B126" t="s">
        <v>12424</v>
      </c>
      <c r="C126" t="s">
        <v>18868</v>
      </c>
      <c r="D126" t="s">
        <v>4517</v>
      </c>
      <c r="E126" t="s">
        <v>11028</v>
      </c>
      <c r="F126" t="s">
        <v>7005</v>
      </c>
      <c r="G126" t="s">
        <v>11098</v>
      </c>
      <c r="H126" t="s">
        <v>4377</v>
      </c>
      <c r="I126" t="s">
        <v>11025</v>
      </c>
      <c r="J126" t="s">
        <v>12428</v>
      </c>
      <c r="K126" t="s">
        <v>4517</v>
      </c>
      <c r="L126" t="s">
        <v>12459</v>
      </c>
      <c r="M126" t="s">
        <v>25</v>
      </c>
      <c r="N126" t="s">
        <v>12460</v>
      </c>
      <c r="O126" t="s">
        <v>4517</v>
      </c>
      <c r="P126" t="s">
        <v>12461</v>
      </c>
      <c r="Q126" t="s">
        <v>25</v>
      </c>
      <c r="R126" t="s">
        <v>12462</v>
      </c>
      <c r="S126" t="s">
        <v>4517</v>
      </c>
      <c r="T126" t="s">
        <v>12459</v>
      </c>
      <c r="U126" t="s">
        <v>4559</v>
      </c>
      <c r="V126" t="s">
        <v>12463</v>
      </c>
    </row>
    <row r="127" spans="1:22">
      <c r="A127" t="s">
        <v>12953</v>
      </c>
      <c r="B127" t="s">
        <v>12953</v>
      </c>
      <c r="C127" t="s">
        <v>12955</v>
      </c>
      <c r="D127" t="s">
        <v>6246</v>
      </c>
      <c r="E127" t="s">
        <v>12946</v>
      </c>
      <c r="F127" t="s">
        <v>2655</v>
      </c>
      <c r="G127" t="s">
        <v>12947</v>
      </c>
      <c r="H127" t="s">
        <v>4377</v>
      </c>
      <c r="I127" t="s">
        <v>4793</v>
      </c>
      <c r="J127" t="s">
        <v>12943</v>
      </c>
      <c r="K127" t="s">
        <v>6246</v>
      </c>
      <c r="L127" t="s">
        <v>12951</v>
      </c>
      <c r="M127" t="s">
        <v>25</v>
      </c>
      <c r="N127" t="s">
        <v>12957</v>
      </c>
      <c r="O127" t="s">
        <v>6246</v>
      </c>
      <c r="P127" t="s">
        <v>12953</v>
      </c>
      <c r="Q127" t="s">
        <v>25</v>
      </c>
      <c r="R127" t="s">
        <v>12949</v>
      </c>
      <c r="S127" t="s">
        <v>6246</v>
      </c>
      <c r="T127" t="s">
        <v>12953</v>
      </c>
      <c r="U127" t="s">
        <v>4559</v>
      </c>
      <c r="V127" t="s">
        <v>12959</v>
      </c>
    </row>
    <row r="128" spans="1:22">
      <c r="A128" t="s">
        <v>12954</v>
      </c>
      <c r="B128" t="s">
        <v>12954</v>
      </c>
      <c r="C128" t="s">
        <v>12955</v>
      </c>
      <c r="D128" t="s">
        <v>6246</v>
      </c>
      <c r="E128" t="s">
        <v>6236</v>
      </c>
      <c r="F128" t="s">
        <v>2655</v>
      </c>
      <c r="G128" t="s">
        <v>12947</v>
      </c>
      <c r="H128" t="s">
        <v>4377</v>
      </c>
      <c r="I128" t="s">
        <v>4793</v>
      </c>
      <c r="J128" t="s">
        <v>12943</v>
      </c>
      <c r="K128" t="s">
        <v>6246</v>
      </c>
      <c r="L128" t="s">
        <v>12952</v>
      </c>
      <c r="M128" t="s">
        <v>25</v>
      </c>
      <c r="N128" t="s">
        <v>12958</v>
      </c>
      <c r="O128" t="s">
        <v>6246</v>
      </c>
      <c r="P128" t="s">
        <v>12954</v>
      </c>
      <c r="Q128" t="s">
        <v>25</v>
      </c>
      <c r="R128" t="s">
        <v>12950</v>
      </c>
      <c r="S128" t="s">
        <v>6246</v>
      </c>
      <c r="T128" t="s">
        <v>12952</v>
      </c>
      <c r="U128" t="s">
        <v>4559</v>
      </c>
      <c r="V128" t="s">
        <v>12960</v>
      </c>
    </row>
    <row r="129" spans="1:27">
      <c r="A129" t="s">
        <v>12945</v>
      </c>
      <c r="B129" t="s">
        <v>12945</v>
      </c>
      <c r="C129" t="s">
        <v>12956</v>
      </c>
      <c r="D129" t="s">
        <v>6246</v>
      </c>
      <c r="E129" t="s">
        <v>6236</v>
      </c>
      <c r="F129" t="s">
        <v>2655</v>
      </c>
      <c r="G129" t="s">
        <v>12947</v>
      </c>
      <c r="H129" s="11" t="s">
        <v>12948</v>
      </c>
      <c r="I129" s="11"/>
      <c r="J129" t="s">
        <v>12943</v>
      </c>
      <c r="K129" t="s">
        <v>6246</v>
      </c>
      <c r="L129" t="s">
        <v>12945</v>
      </c>
      <c r="M129" t="s">
        <v>25</v>
      </c>
      <c r="N129" t="s">
        <v>12944</v>
      </c>
    </row>
    <row r="130" spans="1:27">
      <c r="A130" t="s">
        <v>12961</v>
      </c>
      <c r="B130" t="s">
        <v>12961</v>
      </c>
      <c r="C130" t="s">
        <v>18869</v>
      </c>
      <c r="D130" t="s">
        <v>6265</v>
      </c>
      <c r="E130" t="s">
        <v>12962</v>
      </c>
      <c r="F130" t="s">
        <v>2655</v>
      </c>
      <c r="G130" t="s">
        <v>12985</v>
      </c>
      <c r="H130" t="s">
        <v>6243</v>
      </c>
      <c r="I130" t="s">
        <v>12986</v>
      </c>
      <c r="J130" t="s">
        <v>12963</v>
      </c>
      <c r="K130" t="s">
        <v>6265</v>
      </c>
      <c r="L130" t="s">
        <v>18870</v>
      </c>
      <c r="M130" t="s">
        <v>25</v>
      </c>
      <c r="N130" t="s">
        <v>12964</v>
      </c>
      <c r="S130" t="s">
        <v>6265</v>
      </c>
      <c r="T130" t="s">
        <v>18870</v>
      </c>
      <c r="U130" t="s">
        <v>4559</v>
      </c>
      <c r="V130" t="s">
        <v>12965</v>
      </c>
    </row>
    <row r="131" spans="1:27">
      <c r="A131" t="s">
        <v>13248</v>
      </c>
      <c r="B131" t="s">
        <v>13248</v>
      </c>
      <c r="C131" t="s">
        <v>13252</v>
      </c>
      <c r="D131" t="s">
        <v>10664</v>
      </c>
      <c r="E131" t="s">
        <v>10778</v>
      </c>
      <c r="F131" t="s">
        <v>10665</v>
      </c>
      <c r="G131" t="s">
        <v>13249</v>
      </c>
      <c r="H131" t="s">
        <v>4377</v>
      </c>
      <c r="I131" t="s">
        <v>10854</v>
      </c>
      <c r="J131" t="s">
        <v>13250</v>
      </c>
      <c r="K131" t="s">
        <v>7928</v>
      </c>
      <c r="L131" t="s">
        <v>13291</v>
      </c>
      <c r="M131" t="s">
        <v>25</v>
      </c>
      <c r="N131" t="s">
        <v>13251</v>
      </c>
      <c r="S131" t="s">
        <v>7928</v>
      </c>
      <c r="T131" t="s">
        <v>13253</v>
      </c>
      <c r="U131" t="s">
        <v>4559</v>
      </c>
      <c r="V131" t="s">
        <v>13254</v>
      </c>
    </row>
    <row r="132" spans="1:27">
      <c r="A132" t="s">
        <v>13288</v>
      </c>
      <c r="B132" t="s">
        <v>13288</v>
      </c>
      <c r="C132" t="s">
        <v>13252</v>
      </c>
      <c r="D132" t="s">
        <v>10664</v>
      </c>
      <c r="E132" t="s">
        <v>10778</v>
      </c>
      <c r="F132" t="s">
        <v>10665</v>
      </c>
      <c r="G132" t="s">
        <v>13249</v>
      </c>
      <c r="H132" t="s">
        <v>4377</v>
      </c>
      <c r="I132" t="s">
        <v>10854</v>
      </c>
      <c r="J132" t="s">
        <v>13289</v>
      </c>
      <c r="K132" t="s">
        <v>7928</v>
      </c>
      <c r="L132" t="s">
        <v>13290</v>
      </c>
      <c r="M132" t="s">
        <v>25</v>
      </c>
      <c r="N132" t="s">
        <v>13292</v>
      </c>
      <c r="S132" t="s">
        <v>7928</v>
      </c>
      <c r="T132" t="s">
        <v>13293</v>
      </c>
      <c r="U132" t="s">
        <v>4559</v>
      </c>
      <c r="V132" t="s">
        <v>13294</v>
      </c>
    </row>
    <row r="133" spans="1:27">
      <c r="A133" t="s">
        <v>13255</v>
      </c>
      <c r="B133" t="s">
        <v>13255</v>
      </c>
      <c r="C133" t="s">
        <v>18871</v>
      </c>
      <c r="D133" t="s">
        <v>4517</v>
      </c>
      <c r="E133" t="s">
        <v>13258</v>
      </c>
      <c r="F133" t="s">
        <v>2655</v>
      </c>
      <c r="G133" t="s">
        <v>13255</v>
      </c>
      <c r="H133" t="s">
        <v>6243</v>
      </c>
      <c r="I133" t="s">
        <v>13260</v>
      </c>
      <c r="J133" t="s">
        <v>13259</v>
      </c>
      <c r="K133" t="s">
        <v>4517</v>
      </c>
      <c r="L133" t="s">
        <v>13256</v>
      </c>
      <c r="M133" t="s">
        <v>25</v>
      </c>
      <c r="N133" t="s">
        <v>13257</v>
      </c>
      <c r="S133" t="s">
        <v>4517</v>
      </c>
      <c r="T133" t="s">
        <v>13256</v>
      </c>
      <c r="U133" t="s">
        <v>4559</v>
      </c>
      <c r="V133" t="s">
        <v>13440</v>
      </c>
    </row>
    <row r="134" spans="1:27" ht="16.5">
      <c r="A134" t="s">
        <v>13441</v>
      </c>
      <c r="B134" t="s">
        <v>13441</v>
      </c>
      <c r="C134" t="s">
        <v>18872</v>
      </c>
      <c r="D134" t="s">
        <v>13442</v>
      </c>
      <c r="E134" t="s">
        <v>6236</v>
      </c>
      <c r="F134" t="s">
        <v>2655</v>
      </c>
      <c r="G134" t="s">
        <v>13443</v>
      </c>
      <c r="H134" t="s">
        <v>4377</v>
      </c>
      <c r="I134" t="s">
        <v>4794</v>
      </c>
      <c r="J134" t="s">
        <v>13444</v>
      </c>
      <c r="K134" t="s">
        <v>13442</v>
      </c>
      <c r="L134" t="s">
        <v>13441</v>
      </c>
      <c r="M134" t="s">
        <v>25</v>
      </c>
      <c r="N134" t="s">
        <v>13445</v>
      </c>
      <c r="S134" t="s">
        <v>13442</v>
      </c>
      <c r="T134" t="s">
        <v>13441</v>
      </c>
      <c r="U134" t="s">
        <v>4559</v>
      </c>
      <c r="V134" s="9" t="s">
        <v>13446</v>
      </c>
      <c r="W134" s="9"/>
      <c r="X134" s="9"/>
      <c r="Y134" s="9"/>
      <c r="Z134" s="9"/>
    </row>
    <row r="135" spans="1:27">
      <c r="A135" t="s">
        <v>13635</v>
      </c>
      <c r="B135" t="s">
        <v>13635</v>
      </c>
      <c r="C135" t="s">
        <v>18873</v>
      </c>
      <c r="D135" t="s">
        <v>10664</v>
      </c>
      <c r="E135" t="s">
        <v>7934</v>
      </c>
      <c r="F135" t="s">
        <v>10665</v>
      </c>
      <c r="G135" t="s">
        <v>13664</v>
      </c>
      <c r="H135" t="s">
        <v>10688</v>
      </c>
      <c r="I135" t="s">
        <v>10744</v>
      </c>
      <c r="J135" s="26" t="s">
        <v>13678</v>
      </c>
      <c r="S135" t="s">
        <v>7928</v>
      </c>
      <c r="T135" t="s">
        <v>13731</v>
      </c>
      <c r="U135" t="s">
        <v>4559</v>
      </c>
      <c r="V135" t="s">
        <v>13732</v>
      </c>
      <c r="AA135" t="s">
        <v>4727</v>
      </c>
    </row>
    <row r="136" spans="1:27">
      <c r="A136" t="s">
        <v>13636</v>
      </c>
      <c r="B136" t="s">
        <v>13636</v>
      </c>
      <c r="C136" t="s">
        <v>18874</v>
      </c>
      <c r="D136" t="s">
        <v>10664</v>
      </c>
      <c r="E136" t="s">
        <v>7934</v>
      </c>
      <c r="F136" t="s">
        <v>10665</v>
      </c>
      <c r="G136" t="s">
        <v>13664</v>
      </c>
      <c r="H136" t="s">
        <v>10688</v>
      </c>
      <c r="I136" t="s">
        <v>10744</v>
      </c>
      <c r="J136" s="26" t="s">
        <v>13679</v>
      </c>
      <c r="S136" t="s">
        <v>7928</v>
      </c>
      <c r="T136" t="s">
        <v>13733</v>
      </c>
      <c r="U136" t="s">
        <v>4559</v>
      </c>
      <c r="V136" t="s">
        <v>13734</v>
      </c>
      <c r="AA136" t="s">
        <v>4727</v>
      </c>
    </row>
    <row r="137" spans="1:27">
      <c r="A137" t="s">
        <v>13637</v>
      </c>
      <c r="B137" t="s">
        <v>13637</v>
      </c>
      <c r="C137" t="s">
        <v>18875</v>
      </c>
      <c r="D137" t="s">
        <v>10664</v>
      </c>
      <c r="E137" t="s">
        <v>7934</v>
      </c>
      <c r="F137" t="s">
        <v>10665</v>
      </c>
      <c r="G137" t="s">
        <v>13664</v>
      </c>
      <c r="H137" t="s">
        <v>10688</v>
      </c>
      <c r="I137" t="s">
        <v>10744</v>
      </c>
      <c r="J137" s="26" t="s">
        <v>13680</v>
      </c>
      <c r="K137" t="s">
        <v>7928</v>
      </c>
      <c r="L137" t="s">
        <v>13695</v>
      </c>
      <c r="M137" t="s">
        <v>25</v>
      </c>
      <c r="N137" t="s">
        <v>13696</v>
      </c>
      <c r="O137" t="s">
        <v>7928</v>
      </c>
      <c r="P137" t="s">
        <v>13697</v>
      </c>
      <c r="Q137" t="s">
        <v>25</v>
      </c>
      <c r="R137" t="s">
        <v>13698</v>
      </c>
      <c r="S137" t="s">
        <v>7928</v>
      </c>
      <c r="T137" t="s">
        <v>13695</v>
      </c>
      <c r="U137" t="s">
        <v>4559</v>
      </c>
      <c r="V137" t="s">
        <v>13735</v>
      </c>
      <c r="AA137" t="s">
        <v>4727</v>
      </c>
    </row>
    <row r="138" spans="1:27">
      <c r="A138" t="s">
        <v>13641</v>
      </c>
      <c r="B138" t="s">
        <v>13641</v>
      </c>
      <c r="C138" t="s">
        <v>18876</v>
      </c>
      <c r="D138" t="s">
        <v>10664</v>
      </c>
      <c r="E138" t="s">
        <v>10669</v>
      </c>
      <c r="F138" t="s">
        <v>10665</v>
      </c>
      <c r="G138" t="s">
        <v>13671</v>
      </c>
      <c r="H138" t="s">
        <v>10688</v>
      </c>
      <c r="I138" t="s">
        <v>10745</v>
      </c>
      <c r="J138" s="26" t="s">
        <v>13681</v>
      </c>
      <c r="K138" t="s">
        <v>7928</v>
      </c>
      <c r="L138" t="s">
        <v>13701</v>
      </c>
      <c r="M138" t="s">
        <v>25</v>
      </c>
      <c r="N138" t="s">
        <v>13702</v>
      </c>
      <c r="O138" t="s">
        <v>7928</v>
      </c>
      <c r="P138" t="s">
        <v>13703</v>
      </c>
      <c r="Q138" t="s">
        <v>25</v>
      </c>
      <c r="R138" t="s">
        <v>13704</v>
      </c>
      <c r="S138" t="s">
        <v>7928</v>
      </c>
      <c r="T138" t="s">
        <v>13701</v>
      </c>
      <c r="U138" t="s">
        <v>4559</v>
      </c>
      <c r="V138" t="s">
        <v>13736</v>
      </c>
      <c r="AA138" t="s">
        <v>4727</v>
      </c>
    </row>
    <row r="139" spans="1:27">
      <c r="A139" t="s">
        <v>13642</v>
      </c>
      <c r="B139" t="s">
        <v>13642</v>
      </c>
      <c r="C139" t="s">
        <v>18877</v>
      </c>
      <c r="D139" t="s">
        <v>10664</v>
      </c>
      <c r="E139" t="s">
        <v>10669</v>
      </c>
      <c r="F139" t="s">
        <v>10665</v>
      </c>
      <c r="G139" t="s">
        <v>13671</v>
      </c>
      <c r="H139" t="s">
        <v>10688</v>
      </c>
      <c r="I139" t="s">
        <v>10745</v>
      </c>
      <c r="J139" s="26" t="s">
        <v>13682</v>
      </c>
      <c r="K139" t="s">
        <v>7928</v>
      </c>
      <c r="L139" t="s">
        <v>13705</v>
      </c>
      <c r="M139" t="s">
        <v>25</v>
      </c>
      <c r="N139" t="s">
        <v>13706</v>
      </c>
      <c r="O139" t="s">
        <v>7928</v>
      </c>
      <c r="P139" t="s">
        <v>13707</v>
      </c>
      <c r="Q139" t="s">
        <v>25</v>
      </c>
      <c r="R139" t="s">
        <v>13708</v>
      </c>
      <c r="S139" t="s">
        <v>7928</v>
      </c>
      <c r="T139" t="s">
        <v>13705</v>
      </c>
      <c r="U139" t="s">
        <v>4559</v>
      </c>
      <c r="V139" t="s">
        <v>13737</v>
      </c>
      <c r="AA139" t="s">
        <v>4727</v>
      </c>
    </row>
    <row r="140" spans="1:27">
      <c r="A140" t="s">
        <v>13643</v>
      </c>
      <c r="B140" t="s">
        <v>13643</v>
      </c>
      <c r="C140" t="s">
        <v>18878</v>
      </c>
      <c r="D140" t="s">
        <v>10664</v>
      </c>
      <c r="E140" t="s">
        <v>10669</v>
      </c>
      <c r="F140" t="s">
        <v>10665</v>
      </c>
      <c r="G140" t="s">
        <v>13671</v>
      </c>
      <c r="H140" t="s">
        <v>10688</v>
      </c>
      <c r="I140" t="s">
        <v>10745</v>
      </c>
      <c r="J140" s="26" t="s">
        <v>13677</v>
      </c>
      <c r="K140" t="s">
        <v>7928</v>
      </c>
      <c r="L140" t="s">
        <v>13709</v>
      </c>
      <c r="M140" t="s">
        <v>25</v>
      </c>
      <c r="N140" t="s">
        <v>13710</v>
      </c>
      <c r="O140" t="s">
        <v>7928</v>
      </c>
      <c r="P140" t="s">
        <v>13711</v>
      </c>
      <c r="Q140" t="s">
        <v>25</v>
      </c>
      <c r="R140" t="s">
        <v>13712</v>
      </c>
      <c r="S140" t="s">
        <v>7928</v>
      </c>
      <c r="T140" t="s">
        <v>13709</v>
      </c>
      <c r="U140" t="s">
        <v>4559</v>
      </c>
      <c r="V140" t="s">
        <v>13738</v>
      </c>
      <c r="AA140" t="s">
        <v>4727</v>
      </c>
    </row>
    <row r="141" spans="1:27">
      <c r="A141" t="s">
        <v>13644</v>
      </c>
      <c r="B141" t="s">
        <v>13644</v>
      </c>
      <c r="C141" t="s">
        <v>18879</v>
      </c>
      <c r="D141" t="s">
        <v>10664</v>
      </c>
      <c r="E141" t="s">
        <v>13668</v>
      </c>
      <c r="F141" t="s">
        <v>10665</v>
      </c>
      <c r="G141" t="s">
        <v>13672</v>
      </c>
      <c r="H141" t="s">
        <v>10688</v>
      </c>
      <c r="I141" t="s">
        <v>13762</v>
      </c>
      <c r="J141" s="26" t="s">
        <v>13683</v>
      </c>
      <c r="S141" t="s">
        <v>7928</v>
      </c>
      <c r="T141" t="s">
        <v>13739</v>
      </c>
      <c r="U141" t="s">
        <v>4559</v>
      </c>
      <c r="V141" t="s">
        <v>13740</v>
      </c>
      <c r="AA141" t="s">
        <v>4727</v>
      </c>
    </row>
    <row r="142" spans="1:27">
      <c r="A142" t="s">
        <v>13645</v>
      </c>
      <c r="B142" t="s">
        <v>13645</v>
      </c>
      <c r="C142" t="s">
        <v>18880</v>
      </c>
      <c r="D142" t="s">
        <v>10664</v>
      </c>
      <c r="E142" t="s">
        <v>13668</v>
      </c>
      <c r="F142" t="s">
        <v>10665</v>
      </c>
      <c r="G142" t="s">
        <v>13672</v>
      </c>
      <c r="H142" t="s">
        <v>10688</v>
      </c>
      <c r="I142" t="s">
        <v>13762</v>
      </c>
      <c r="J142" s="26" t="s">
        <v>13684</v>
      </c>
      <c r="S142" t="s">
        <v>7928</v>
      </c>
      <c r="T142" t="s">
        <v>13741</v>
      </c>
      <c r="U142" t="s">
        <v>4559</v>
      </c>
      <c r="V142" t="s">
        <v>13742</v>
      </c>
      <c r="AA142" t="s">
        <v>4727</v>
      </c>
    </row>
    <row r="143" spans="1:27">
      <c r="A143" t="s">
        <v>13646</v>
      </c>
      <c r="B143" t="s">
        <v>13646</v>
      </c>
      <c r="C143" t="s">
        <v>18881</v>
      </c>
      <c r="D143" t="s">
        <v>10664</v>
      </c>
      <c r="E143" t="s">
        <v>13668</v>
      </c>
      <c r="F143" t="s">
        <v>10665</v>
      </c>
      <c r="G143" t="s">
        <v>13672</v>
      </c>
      <c r="H143" t="s">
        <v>10688</v>
      </c>
      <c r="I143" t="s">
        <v>13762</v>
      </c>
      <c r="J143" s="26" t="s">
        <v>13685</v>
      </c>
      <c r="K143" t="s">
        <v>7928</v>
      </c>
      <c r="L143" t="s">
        <v>13713</v>
      </c>
      <c r="M143" t="s">
        <v>25</v>
      </c>
      <c r="N143" t="s">
        <v>13714</v>
      </c>
      <c r="O143" t="s">
        <v>7928</v>
      </c>
      <c r="P143" t="s">
        <v>13715</v>
      </c>
      <c r="Q143" t="s">
        <v>25</v>
      </c>
      <c r="R143" t="s">
        <v>13716</v>
      </c>
      <c r="S143" t="s">
        <v>7928</v>
      </c>
      <c r="T143" t="s">
        <v>13713</v>
      </c>
      <c r="U143" t="s">
        <v>4559</v>
      </c>
      <c r="V143" t="s">
        <v>13743</v>
      </c>
      <c r="AA143" t="s">
        <v>4727</v>
      </c>
    </row>
    <row r="144" spans="1:27">
      <c r="A144" t="s">
        <v>13647</v>
      </c>
      <c r="B144" t="s">
        <v>13647</v>
      </c>
      <c r="C144" t="s">
        <v>18882</v>
      </c>
      <c r="D144" t="s">
        <v>10664</v>
      </c>
      <c r="E144" t="s">
        <v>13669</v>
      </c>
      <c r="F144" t="s">
        <v>10665</v>
      </c>
      <c r="G144" t="s">
        <v>13673</v>
      </c>
      <c r="H144" t="s">
        <v>10688</v>
      </c>
      <c r="I144" t="s">
        <v>13763</v>
      </c>
      <c r="J144" s="26" t="s">
        <v>13686</v>
      </c>
      <c r="K144" t="s">
        <v>7928</v>
      </c>
      <c r="L144" t="s">
        <v>13717</v>
      </c>
      <c r="M144" t="s">
        <v>25</v>
      </c>
      <c r="N144" t="s">
        <v>13718</v>
      </c>
      <c r="S144" t="s">
        <v>7928</v>
      </c>
      <c r="T144" t="s">
        <v>13717</v>
      </c>
      <c r="U144" t="s">
        <v>4559</v>
      </c>
      <c r="V144" t="s">
        <v>13744</v>
      </c>
      <c r="AA144" t="s">
        <v>4727</v>
      </c>
    </row>
    <row r="145" spans="1:27">
      <c r="A145" t="s">
        <v>13648</v>
      </c>
      <c r="B145" t="s">
        <v>13648</v>
      </c>
      <c r="C145" t="s">
        <v>18883</v>
      </c>
      <c r="D145" t="s">
        <v>10664</v>
      </c>
      <c r="E145" t="s">
        <v>13669</v>
      </c>
      <c r="F145" t="s">
        <v>10665</v>
      </c>
      <c r="G145" t="s">
        <v>13673</v>
      </c>
      <c r="H145" t="s">
        <v>10688</v>
      </c>
      <c r="I145" t="s">
        <v>13763</v>
      </c>
      <c r="J145" s="26" t="s">
        <v>13687</v>
      </c>
      <c r="S145" t="s">
        <v>7928</v>
      </c>
      <c r="T145" t="s">
        <v>13745</v>
      </c>
      <c r="U145" t="s">
        <v>4559</v>
      </c>
      <c r="V145" t="s">
        <v>13746</v>
      </c>
      <c r="AA145" t="s">
        <v>4727</v>
      </c>
    </row>
    <row r="146" spans="1:27">
      <c r="A146" t="s">
        <v>13649</v>
      </c>
      <c r="B146" t="s">
        <v>13649</v>
      </c>
      <c r="C146" t="s">
        <v>18884</v>
      </c>
      <c r="D146" t="s">
        <v>10664</v>
      </c>
      <c r="E146" t="s">
        <v>13669</v>
      </c>
      <c r="F146" t="s">
        <v>10665</v>
      </c>
      <c r="G146" t="s">
        <v>13673</v>
      </c>
      <c r="H146" t="s">
        <v>10688</v>
      </c>
      <c r="I146" t="s">
        <v>13763</v>
      </c>
      <c r="J146" s="26" t="s">
        <v>13688</v>
      </c>
      <c r="K146" t="s">
        <v>7928</v>
      </c>
      <c r="L146" t="s">
        <v>13719</v>
      </c>
      <c r="M146" t="s">
        <v>25</v>
      </c>
      <c r="N146" t="s">
        <v>13720</v>
      </c>
      <c r="O146" t="s">
        <v>7928</v>
      </c>
      <c r="P146" t="s">
        <v>13721</v>
      </c>
      <c r="Q146" t="s">
        <v>25</v>
      </c>
      <c r="R146" t="s">
        <v>13722</v>
      </c>
      <c r="S146" t="s">
        <v>7928</v>
      </c>
      <c r="T146" t="s">
        <v>13747</v>
      </c>
      <c r="U146" t="s">
        <v>4559</v>
      </c>
      <c r="V146" t="s">
        <v>13748</v>
      </c>
      <c r="AA146" t="s">
        <v>4727</v>
      </c>
    </row>
    <row r="147" spans="1:27">
      <c r="A147" t="s">
        <v>13650</v>
      </c>
      <c r="B147" t="s">
        <v>13650</v>
      </c>
      <c r="C147" t="s">
        <v>18885</v>
      </c>
      <c r="D147" t="s">
        <v>10664</v>
      </c>
      <c r="E147" t="s">
        <v>13670</v>
      </c>
      <c r="F147" t="s">
        <v>10665</v>
      </c>
      <c r="G147" t="s">
        <v>13674</v>
      </c>
      <c r="H147" t="s">
        <v>10688</v>
      </c>
      <c r="I147" t="s">
        <v>13764</v>
      </c>
      <c r="J147" s="26" t="s">
        <v>13689</v>
      </c>
      <c r="K147" t="s">
        <v>7928</v>
      </c>
      <c r="L147" t="s">
        <v>13725</v>
      </c>
      <c r="M147" t="s">
        <v>25</v>
      </c>
      <c r="N147" t="s">
        <v>13726</v>
      </c>
      <c r="S147" t="s">
        <v>7928</v>
      </c>
      <c r="T147" t="s">
        <v>13725</v>
      </c>
      <c r="U147" t="s">
        <v>4559</v>
      </c>
      <c r="V147" t="s">
        <v>13749</v>
      </c>
      <c r="AA147" t="s">
        <v>4727</v>
      </c>
    </row>
    <row r="148" spans="1:27">
      <c r="A148" t="s">
        <v>13651</v>
      </c>
      <c r="B148" t="s">
        <v>13651</v>
      </c>
      <c r="C148" t="s">
        <v>18886</v>
      </c>
      <c r="D148" t="s">
        <v>10664</v>
      </c>
      <c r="E148" t="s">
        <v>13670</v>
      </c>
      <c r="F148" t="s">
        <v>10665</v>
      </c>
      <c r="G148" t="s">
        <v>13674</v>
      </c>
      <c r="H148" t="s">
        <v>10688</v>
      </c>
      <c r="I148" t="s">
        <v>13764</v>
      </c>
      <c r="J148" s="26" t="s">
        <v>13690</v>
      </c>
      <c r="S148" t="s">
        <v>7928</v>
      </c>
      <c r="T148" t="s">
        <v>13750</v>
      </c>
      <c r="U148" t="s">
        <v>4559</v>
      </c>
      <c r="V148" t="s">
        <v>13751</v>
      </c>
      <c r="AA148" t="s">
        <v>4727</v>
      </c>
    </row>
    <row r="149" spans="1:27">
      <c r="A149" t="s">
        <v>13652</v>
      </c>
      <c r="B149" t="s">
        <v>13652</v>
      </c>
      <c r="C149" t="s">
        <v>18887</v>
      </c>
      <c r="D149" t="s">
        <v>10664</v>
      </c>
      <c r="E149" t="s">
        <v>13670</v>
      </c>
      <c r="F149" t="s">
        <v>10665</v>
      </c>
      <c r="G149" t="s">
        <v>13674</v>
      </c>
      <c r="H149" t="s">
        <v>10688</v>
      </c>
      <c r="I149" t="s">
        <v>13764</v>
      </c>
      <c r="J149" s="26" t="s">
        <v>13691</v>
      </c>
      <c r="K149" t="s">
        <v>7928</v>
      </c>
      <c r="L149" t="s">
        <v>13727</v>
      </c>
      <c r="M149" t="s">
        <v>25</v>
      </c>
      <c r="N149" t="s">
        <v>13728</v>
      </c>
      <c r="O149" t="s">
        <v>7928</v>
      </c>
      <c r="P149" t="s">
        <v>13729</v>
      </c>
      <c r="Q149" t="s">
        <v>25</v>
      </c>
      <c r="R149" t="s">
        <v>13730</v>
      </c>
      <c r="S149" t="s">
        <v>7928</v>
      </c>
      <c r="T149" t="s">
        <v>13727</v>
      </c>
      <c r="U149" t="s">
        <v>4559</v>
      </c>
      <c r="V149" t="s">
        <v>13752</v>
      </c>
      <c r="AA149" t="s">
        <v>4727</v>
      </c>
    </row>
    <row r="150" spans="1:27">
      <c r="A150" t="s">
        <v>13638</v>
      </c>
      <c r="B150" t="s">
        <v>13638</v>
      </c>
      <c r="C150" t="s">
        <v>18888</v>
      </c>
      <c r="D150" t="s">
        <v>10664</v>
      </c>
      <c r="E150" t="s">
        <v>7936</v>
      </c>
      <c r="F150" t="s">
        <v>10665</v>
      </c>
      <c r="G150" t="s">
        <v>13665</v>
      </c>
      <c r="H150" t="s">
        <v>6243</v>
      </c>
      <c r="I150" t="s">
        <v>13761</v>
      </c>
      <c r="J150" s="26" t="s">
        <v>13678</v>
      </c>
      <c r="S150" t="s">
        <v>7928</v>
      </c>
      <c r="T150" t="s">
        <v>13753</v>
      </c>
      <c r="U150" t="s">
        <v>4559</v>
      </c>
      <c r="V150" t="s">
        <v>13754</v>
      </c>
      <c r="AA150" t="s">
        <v>4727</v>
      </c>
    </row>
    <row r="151" spans="1:27">
      <c r="A151" t="s">
        <v>13639</v>
      </c>
      <c r="B151" t="s">
        <v>13639</v>
      </c>
      <c r="C151" t="s">
        <v>18889</v>
      </c>
      <c r="D151" t="s">
        <v>10664</v>
      </c>
      <c r="E151" t="s">
        <v>7936</v>
      </c>
      <c r="F151" t="s">
        <v>10665</v>
      </c>
      <c r="G151" t="s">
        <v>13665</v>
      </c>
      <c r="H151" t="s">
        <v>6243</v>
      </c>
      <c r="I151" t="s">
        <v>13761</v>
      </c>
      <c r="J151" s="26" t="s">
        <v>13679</v>
      </c>
      <c r="S151" t="s">
        <v>7928</v>
      </c>
      <c r="T151" t="s">
        <v>13755</v>
      </c>
      <c r="U151" t="s">
        <v>4559</v>
      </c>
      <c r="V151" t="s">
        <v>13756</v>
      </c>
      <c r="AA151" t="s">
        <v>4727</v>
      </c>
    </row>
    <row r="152" spans="1:27">
      <c r="A152" t="s">
        <v>13640</v>
      </c>
      <c r="B152" t="s">
        <v>13640</v>
      </c>
      <c r="C152" t="s">
        <v>18890</v>
      </c>
      <c r="D152" t="s">
        <v>10664</v>
      </c>
      <c r="E152" t="s">
        <v>7936</v>
      </c>
      <c r="F152" t="s">
        <v>10665</v>
      </c>
      <c r="G152" t="s">
        <v>13665</v>
      </c>
      <c r="H152" t="s">
        <v>6243</v>
      </c>
      <c r="I152" t="s">
        <v>13761</v>
      </c>
      <c r="J152" s="26" t="s">
        <v>13680</v>
      </c>
      <c r="K152" t="s">
        <v>7928</v>
      </c>
      <c r="L152" t="s">
        <v>13699</v>
      </c>
      <c r="M152" t="s">
        <v>25</v>
      </c>
      <c r="N152" t="s">
        <v>13700</v>
      </c>
      <c r="S152" t="s">
        <v>7928</v>
      </c>
      <c r="T152" t="s">
        <v>13699</v>
      </c>
      <c r="U152" t="s">
        <v>4559</v>
      </c>
      <c r="V152" t="s">
        <v>13757</v>
      </c>
      <c r="AA152" t="s">
        <v>4727</v>
      </c>
    </row>
    <row r="153" spans="1:27">
      <c r="A153" t="s">
        <v>13653</v>
      </c>
      <c r="B153" t="s">
        <v>13653</v>
      </c>
      <c r="C153" t="s">
        <v>18891</v>
      </c>
      <c r="D153" t="s">
        <v>10664</v>
      </c>
      <c r="E153" t="s">
        <v>13675</v>
      </c>
      <c r="F153" t="s">
        <v>10665</v>
      </c>
      <c r="G153" t="s">
        <v>13676</v>
      </c>
      <c r="H153" t="s">
        <v>10689</v>
      </c>
      <c r="I153" t="s">
        <v>13767</v>
      </c>
      <c r="J153" s="26" t="s">
        <v>13683</v>
      </c>
      <c r="AA153" t="s">
        <v>4727</v>
      </c>
    </row>
    <row r="154" spans="1:27">
      <c r="A154" t="s">
        <v>13654</v>
      </c>
      <c r="B154" t="s">
        <v>13654</v>
      </c>
      <c r="C154" t="s">
        <v>18892</v>
      </c>
      <c r="D154" t="s">
        <v>10664</v>
      </c>
      <c r="E154" t="s">
        <v>13675</v>
      </c>
      <c r="F154" t="s">
        <v>10665</v>
      </c>
      <c r="G154" t="s">
        <v>13676</v>
      </c>
      <c r="H154" t="s">
        <v>10689</v>
      </c>
      <c r="I154" t="s">
        <v>13767</v>
      </c>
      <c r="J154" s="26" t="s">
        <v>13684</v>
      </c>
      <c r="AA154" t="s">
        <v>4727</v>
      </c>
    </row>
    <row r="155" spans="1:27">
      <c r="A155" t="s">
        <v>13655</v>
      </c>
      <c r="B155" t="s">
        <v>13655</v>
      </c>
      <c r="C155" t="s">
        <v>18893</v>
      </c>
      <c r="D155" t="s">
        <v>10664</v>
      </c>
      <c r="E155" t="s">
        <v>13675</v>
      </c>
      <c r="F155" t="s">
        <v>10665</v>
      </c>
      <c r="G155" t="s">
        <v>13676</v>
      </c>
      <c r="H155" t="s">
        <v>10689</v>
      </c>
      <c r="I155" t="s">
        <v>13767</v>
      </c>
      <c r="J155" s="26" t="s">
        <v>13685</v>
      </c>
      <c r="S155" t="s">
        <v>7928</v>
      </c>
      <c r="T155" t="s">
        <v>13758</v>
      </c>
      <c r="U155" t="s">
        <v>4559</v>
      </c>
      <c r="V155" t="s">
        <v>13759</v>
      </c>
      <c r="AA155" t="s">
        <v>4727</v>
      </c>
    </row>
    <row r="156" spans="1:27">
      <c r="A156" t="s">
        <v>13659</v>
      </c>
      <c r="B156" t="s">
        <v>13659</v>
      </c>
      <c r="C156" t="s">
        <v>18894</v>
      </c>
      <c r="D156" t="s">
        <v>10664</v>
      </c>
      <c r="E156" t="s">
        <v>13662</v>
      </c>
      <c r="F156" t="s">
        <v>10665</v>
      </c>
      <c r="G156" t="s">
        <v>13666</v>
      </c>
      <c r="H156" t="s">
        <v>10689</v>
      </c>
      <c r="I156" t="s">
        <v>13765</v>
      </c>
      <c r="J156" s="26" t="s">
        <v>13686</v>
      </c>
      <c r="AA156" t="s">
        <v>4727</v>
      </c>
    </row>
    <row r="157" spans="1:27">
      <c r="A157" t="s">
        <v>13660</v>
      </c>
      <c r="B157" t="s">
        <v>13660</v>
      </c>
      <c r="C157" t="s">
        <v>18895</v>
      </c>
      <c r="D157" t="s">
        <v>10664</v>
      </c>
      <c r="E157" t="s">
        <v>13662</v>
      </c>
      <c r="F157" t="s">
        <v>10665</v>
      </c>
      <c r="G157" t="s">
        <v>13666</v>
      </c>
      <c r="H157" t="s">
        <v>10689</v>
      </c>
      <c r="I157" t="s">
        <v>13765</v>
      </c>
      <c r="J157" s="26" t="s">
        <v>13687</v>
      </c>
      <c r="AA157" t="s">
        <v>4727</v>
      </c>
    </row>
    <row r="158" spans="1:27">
      <c r="A158" t="s">
        <v>13661</v>
      </c>
      <c r="B158" t="s">
        <v>13661</v>
      </c>
      <c r="C158" t="s">
        <v>18896</v>
      </c>
      <c r="D158" t="s">
        <v>10664</v>
      </c>
      <c r="E158" t="s">
        <v>13662</v>
      </c>
      <c r="F158" t="s">
        <v>10665</v>
      </c>
      <c r="G158" t="s">
        <v>13666</v>
      </c>
      <c r="H158" t="s">
        <v>10689</v>
      </c>
      <c r="I158" t="s">
        <v>13765</v>
      </c>
      <c r="J158" s="26" t="s">
        <v>13688</v>
      </c>
      <c r="K158" t="s">
        <v>7928</v>
      </c>
      <c r="L158" t="s">
        <v>13723</v>
      </c>
      <c r="M158" t="s">
        <v>25</v>
      </c>
      <c r="N158" t="s">
        <v>13724</v>
      </c>
      <c r="S158" t="s">
        <v>7928</v>
      </c>
      <c r="T158" t="s">
        <v>13723</v>
      </c>
      <c r="U158" t="s">
        <v>4559</v>
      </c>
      <c r="V158" t="s">
        <v>13760</v>
      </c>
      <c r="AA158" t="s">
        <v>4727</v>
      </c>
    </row>
    <row r="159" spans="1:27">
      <c r="A159" t="s">
        <v>13656</v>
      </c>
      <c r="B159" t="s">
        <v>13656</v>
      </c>
      <c r="C159" t="s">
        <v>18897</v>
      </c>
      <c r="D159" t="s">
        <v>10664</v>
      </c>
      <c r="E159" t="s">
        <v>13663</v>
      </c>
      <c r="F159" t="s">
        <v>10665</v>
      </c>
      <c r="G159" t="s">
        <v>13667</v>
      </c>
      <c r="H159" t="s">
        <v>10689</v>
      </c>
      <c r="I159" t="s">
        <v>13766</v>
      </c>
      <c r="J159" s="26" t="s">
        <v>13692</v>
      </c>
      <c r="AA159" t="s">
        <v>4727</v>
      </c>
    </row>
    <row r="160" spans="1:27">
      <c r="A160" t="s">
        <v>13657</v>
      </c>
      <c r="B160" t="s">
        <v>13657</v>
      </c>
      <c r="C160" t="s">
        <v>18898</v>
      </c>
      <c r="D160" t="s">
        <v>10664</v>
      </c>
      <c r="E160" t="s">
        <v>13663</v>
      </c>
      <c r="F160" t="s">
        <v>10665</v>
      </c>
      <c r="G160" t="s">
        <v>13667</v>
      </c>
      <c r="H160" t="s">
        <v>10689</v>
      </c>
      <c r="I160" t="s">
        <v>13766</v>
      </c>
      <c r="J160" s="26" t="s">
        <v>13693</v>
      </c>
      <c r="AA160" t="s">
        <v>4727</v>
      </c>
    </row>
    <row r="161" spans="1:27">
      <c r="A161" t="s">
        <v>13658</v>
      </c>
      <c r="B161" t="s">
        <v>13658</v>
      </c>
      <c r="C161" t="s">
        <v>18899</v>
      </c>
      <c r="D161" t="s">
        <v>10664</v>
      </c>
      <c r="E161" t="s">
        <v>13663</v>
      </c>
      <c r="F161" t="s">
        <v>10665</v>
      </c>
      <c r="G161" t="s">
        <v>13667</v>
      </c>
      <c r="H161" t="s">
        <v>10689</v>
      </c>
      <c r="I161" t="s">
        <v>13766</v>
      </c>
      <c r="J161" s="26" t="s">
        <v>13694</v>
      </c>
      <c r="AA161" t="s">
        <v>4727</v>
      </c>
    </row>
    <row r="162" spans="1:27">
      <c r="A162" t="s">
        <v>13805</v>
      </c>
      <c r="B162" t="s">
        <v>13805</v>
      </c>
      <c r="C162" t="s">
        <v>13806</v>
      </c>
      <c r="D162" t="s">
        <v>6338</v>
      </c>
      <c r="E162" t="s">
        <v>8075</v>
      </c>
      <c r="F162" t="s">
        <v>2655</v>
      </c>
      <c r="G162" t="s">
        <v>13807</v>
      </c>
      <c r="H162" t="s">
        <v>6736</v>
      </c>
      <c r="I162" t="s">
        <v>13808</v>
      </c>
      <c r="J162" t="s">
        <v>13809</v>
      </c>
      <c r="K162" t="s">
        <v>13810</v>
      </c>
      <c r="L162" t="s">
        <v>13812</v>
      </c>
      <c r="M162" t="s">
        <v>25</v>
      </c>
      <c r="N162" t="s">
        <v>13813</v>
      </c>
      <c r="O162" t="s">
        <v>13810</v>
      </c>
      <c r="P162" t="s">
        <v>13805</v>
      </c>
      <c r="Q162" t="s">
        <v>25</v>
      </c>
      <c r="R162" t="s">
        <v>13811</v>
      </c>
      <c r="S162" t="s">
        <v>6338</v>
      </c>
      <c r="T162" t="s">
        <v>13805</v>
      </c>
      <c r="U162" t="s">
        <v>4559</v>
      </c>
      <c r="V162" t="s">
        <v>13814</v>
      </c>
      <c r="AA162" t="s">
        <v>4727</v>
      </c>
    </row>
    <row r="163" spans="1:27">
      <c r="A163" t="s">
        <v>13837</v>
      </c>
      <c r="B163" t="s">
        <v>13837</v>
      </c>
      <c r="C163" t="s">
        <v>13838</v>
      </c>
      <c r="D163" t="s">
        <v>4517</v>
      </c>
      <c r="E163" t="s">
        <v>13839</v>
      </c>
      <c r="F163" t="s">
        <v>2655</v>
      </c>
      <c r="G163" t="s">
        <v>13853</v>
      </c>
      <c r="H163" t="s">
        <v>4376</v>
      </c>
      <c r="I163" t="s">
        <v>13859</v>
      </c>
      <c r="J163" t="s">
        <v>13841</v>
      </c>
      <c r="K163" t="s">
        <v>4517</v>
      </c>
      <c r="L163" t="s">
        <v>13837</v>
      </c>
      <c r="M163" t="s">
        <v>25</v>
      </c>
      <c r="N163" t="s">
        <v>13843</v>
      </c>
      <c r="S163" t="s">
        <v>6661</v>
      </c>
      <c r="T163" t="s">
        <v>13837</v>
      </c>
      <c r="U163" t="s">
        <v>4559</v>
      </c>
      <c r="V163" t="s">
        <v>13845</v>
      </c>
      <c r="AA163" t="s">
        <v>4727</v>
      </c>
    </row>
    <row r="164" spans="1:27">
      <c r="A164" t="s">
        <v>13840</v>
      </c>
      <c r="B164" t="s">
        <v>13840</v>
      </c>
      <c r="C164" t="s">
        <v>13838</v>
      </c>
      <c r="D164" t="s">
        <v>4517</v>
      </c>
      <c r="E164" t="s">
        <v>13842</v>
      </c>
      <c r="F164" t="s">
        <v>2655</v>
      </c>
      <c r="G164" t="s">
        <v>13854</v>
      </c>
      <c r="H164" t="s">
        <v>10689</v>
      </c>
      <c r="I164" t="s">
        <v>13860</v>
      </c>
      <c r="J164" t="s">
        <v>13841</v>
      </c>
      <c r="K164" t="s">
        <v>4517</v>
      </c>
      <c r="L164" t="s">
        <v>13840</v>
      </c>
      <c r="M164" t="s">
        <v>25</v>
      </c>
      <c r="N164" t="s">
        <v>13844</v>
      </c>
    </row>
    <row r="165" spans="1:27">
      <c r="A165" t="s">
        <v>13847</v>
      </c>
      <c r="B165" t="s">
        <v>13847</v>
      </c>
      <c r="C165" t="s">
        <v>13849</v>
      </c>
      <c r="D165" t="s">
        <v>4517</v>
      </c>
      <c r="E165" t="s">
        <v>13839</v>
      </c>
      <c r="F165" t="s">
        <v>2655</v>
      </c>
      <c r="G165" t="s">
        <v>13855</v>
      </c>
      <c r="H165" t="s">
        <v>4376</v>
      </c>
      <c r="I165" t="s">
        <v>13859</v>
      </c>
      <c r="J165" t="s">
        <v>13846</v>
      </c>
      <c r="K165" t="s">
        <v>4517</v>
      </c>
      <c r="L165" t="s">
        <v>13847</v>
      </c>
      <c r="M165" t="s">
        <v>25</v>
      </c>
      <c r="N165" t="s">
        <v>13850</v>
      </c>
      <c r="S165" t="s">
        <v>6661</v>
      </c>
      <c r="T165" t="s">
        <v>13847</v>
      </c>
      <c r="U165" t="s">
        <v>4559</v>
      </c>
      <c r="V165" t="s">
        <v>13852</v>
      </c>
      <c r="AA165" t="s">
        <v>4727</v>
      </c>
    </row>
    <row r="166" spans="1:27">
      <c r="A166" t="s">
        <v>13848</v>
      </c>
      <c r="B166" t="s">
        <v>13848</v>
      </c>
      <c r="C166" t="s">
        <v>13849</v>
      </c>
      <c r="D166" t="s">
        <v>4517</v>
      </c>
      <c r="E166" t="s">
        <v>13842</v>
      </c>
      <c r="F166" t="s">
        <v>2655</v>
      </c>
      <c r="G166" t="s">
        <v>13856</v>
      </c>
      <c r="H166" t="s">
        <v>10689</v>
      </c>
      <c r="I166" t="s">
        <v>13860</v>
      </c>
      <c r="J166" t="s">
        <v>13846</v>
      </c>
      <c r="K166" t="s">
        <v>4517</v>
      </c>
      <c r="L166" t="s">
        <v>13848</v>
      </c>
      <c r="M166" t="s">
        <v>25</v>
      </c>
      <c r="N166" t="s">
        <v>13851</v>
      </c>
    </row>
    <row r="167" spans="1:27">
      <c r="A167" t="s">
        <v>13942</v>
      </c>
      <c r="B167" t="s">
        <v>13942</v>
      </c>
      <c r="C167" t="s">
        <v>13944</v>
      </c>
      <c r="D167" t="s">
        <v>4517</v>
      </c>
      <c r="E167" t="s">
        <v>13945</v>
      </c>
      <c r="F167" t="s">
        <v>2655</v>
      </c>
      <c r="G167" t="s">
        <v>13942</v>
      </c>
      <c r="H167" t="s">
        <v>4377</v>
      </c>
      <c r="I167" t="s">
        <v>13958</v>
      </c>
      <c r="J167" t="s">
        <v>13946</v>
      </c>
      <c r="K167" t="s">
        <v>4517</v>
      </c>
      <c r="L167" t="s">
        <v>13947</v>
      </c>
      <c r="M167" t="s">
        <v>25</v>
      </c>
      <c r="N167" t="s">
        <v>13948</v>
      </c>
      <c r="O167" t="s">
        <v>4517</v>
      </c>
      <c r="P167" t="s">
        <v>13949</v>
      </c>
      <c r="Q167" t="s">
        <v>25</v>
      </c>
      <c r="R167" t="s">
        <v>13950</v>
      </c>
      <c r="S167" t="s">
        <v>6661</v>
      </c>
      <c r="T167" t="s">
        <v>13947</v>
      </c>
      <c r="U167" t="s">
        <v>4559</v>
      </c>
      <c r="V167" t="s">
        <v>13951</v>
      </c>
      <c r="AA167" t="s">
        <v>4727</v>
      </c>
    </row>
    <row r="168" spans="1:27">
      <c r="A168" t="s">
        <v>13943</v>
      </c>
      <c r="B168" t="s">
        <v>13943</v>
      </c>
      <c r="C168" t="s">
        <v>13944</v>
      </c>
      <c r="D168" t="s">
        <v>4517</v>
      </c>
      <c r="E168" t="s">
        <v>6248</v>
      </c>
      <c r="F168" t="s">
        <v>2655</v>
      </c>
      <c r="G168" t="s">
        <v>13943</v>
      </c>
      <c r="H168" t="s">
        <v>6243</v>
      </c>
      <c r="I168" t="s">
        <v>13957</v>
      </c>
      <c r="J168" t="s">
        <v>13946</v>
      </c>
      <c r="K168" t="s">
        <v>4517</v>
      </c>
      <c r="L168" t="s">
        <v>13952</v>
      </c>
      <c r="M168" t="s">
        <v>25</v>
      </c>
      <c r="N168" t="s">
        <v>13953</v>
      </c>
      <c r="O168" t="s">
        <v>4517</v>
      </c>
      <c r="P168" t="s">
        <v>13954</v>
      </c>
      <c r="Q168" t="s">
        <v>25</v>
      </c>
      <c r="R168" t="s">
        <v>13955</v>
      </c>
      <c r="S168" t="s">
        <v>6661</v>
      </c>
      <c r="T168" t="s">
        <v>13952</v>
      </c>
      <c r="U168" t="s">
        <v>4559</v>
      </c>
      <c r="V168" t="s">
        <v>13956</v>
      </c>
      <c r="AA168" t="s">
        <v>4727</v>
      </c>
    </row>
    <row r="169" spans="1:27">
      <c r="A169" t="s">
        <v>14026</v>
      </c>
      <c r="B169" t="s">
        <v>14026</v>
      </c>
      <c r="C169" t="s">
        <v>18900</v>
      </c>
      <c r="D169" t="s">
        <v>4517</v>
      </c>
      <c r="E169" t="s">
        <v>14027</v>
      </c>
      <c r="F169" t="s">
        <v>2655</v>
      </c>
      <c r="G169" t="s">
        <v>14026</v>
      </c>
      <c r="H169" t="s">
        <v>6243</v>
      </c>
      <c r="I169" t="s">
        <v>14032</v>
      </c>
      <c r="J169" t="s">
        <v>14028</v>
      </c>
      <c r="K169" t="s">
        <v>4517</v>
      </c>
      <c r="L169" t="s">
        <v>14029</v>
      </c>
      <c r="M169" t="s">
        <v>25</v>
      </c>
      <c r="N169" t="s">
        <v>14030</v>
      </c>
      <c r="S169" t="s">
        <v>6661</v>
      </c>
      <c r="T169" t="s">
        <v>14029</v>
      </c>
      <c r="U169" t="s">
        <v>4559</v>
      </c>
      <c r="V169" t="s">
        <v>14031</v>
      </c>
      <c r="AA169" t="s">
        <v>4727</v>
      </c>
    </row>
    <row r="170" spans="1:27">
      <c r="A170" t="s">
        <v>14048</v>
      </c>
      <c r="B170" t="s">
        <v>14048</v>
      </c>
      <c r="C170" t="s">
        <v>18901</v>
      </c>
      <c r="D170" t="s">
        <v>4517</v>
      </c>
      <c r="E170" t="s">
        <v>4553</v>
      </c>
      <c r="F170" t="s">
        <v>2655</v>
      </c>
      <c r="G170" t="s">
        <v>14047</v>
      </c>
      <c r="H170" t="s">
        <v>4376</v>
      </c>
      <c r="I170" t="s">
        <v>4799</v>
      </c>
      <c r="J170" t="s">
        <v>14064</v>
      </c>
      <c r="K170" t="s">
        <v>4517</v>
      </c>
      <c r="L170" t="s">
        <v>14065</v>
      </c>
      <c r="M170" t="s">
        <v>25</v>
      </c>
      <c r="N170" t="s">
        <v>14066</v>
      </c>
      <c r="O170" t="s">
        <v>4517</v>
      </c>
      <c r="P170" t="s">
        <v>14067</v>
      </c>
      <c r="Q170" t="s">
        <v>25</v>
      </c>
      <c r="R170" t="s">
        <v>14068</v>
      </c>
      <c r="S170" t="s">
        <v>6661</v>
      </c>
      <c r="T170" t="s">
        <v>14065</v>
      </c>
      <c r="U170" t="s">
        <v>4559</v>
      </c>
      <c r="V170" t="s">
        <v>14069</v>
      </c>
      <c r="AA170" t="s">
        <v>4727</v>
      </c>
    </row>
    <row r="171" spans="1:27">
      <c r="A171" t="s">
        <v>14055</v>
      </c>
      <c r="B171" t="s">
        <v>14055</v>
      </c>
      <c r="C171" t="s">
        <v>18901</v>
      </c>
      <c r="D171" t="s">
        <v>4517</v>
      </c>
      <c r="E171" t="s">
        <v>4553</v>
      </c>
      <c r="F171" t="s">
        <v>2655</v>
      </c>
      <c r="G171" t="s">
        <v>14047</v>
      </c>
      <c r="H171" t="s">
        <v>4376</v>
      </c>
      <c r="I171" t="s">
        <v>4799</v>
      </c>
      <c r="J171" t="s">
        <v>14064</v>
      </c>
      <c r="K171" t="s">
        <v>4517</v>
      </c>
      <c r="L171" t="s">
        <v>14070</v>
      </c>
      <c r="M171" t="s">
        <v>25</v>
      </c>
      <c r="N171" t="s">
        <v>14071</v>
      </c>
      <c r="O171" t="s">
        <v>4517</v>
      </c>
      <c r="P171" t="s">
        <v>14072</v>
      </c>
      <c r="Q171" t="s">
        <v>25</v>
      </c>
      <c r="R171" t="s">
        <v>14073</v>
      </c>
      <c r="S171" t="s">
        <v>6661</v>
      </c>
      <c r="T171" t="s">
        <v>14070</v>
      </c>
      <c r="U171" t="s">
        <v>4559</v>
      </c>
      <c r="V171" t="s">
        <v>14074</v>
      </c>
      <c r="AA171" t="s">
        <v>4727</v>
      </c>
    </row>
    <row r="172" spans="1:27">
      <c r="A172" t="s">
        <v>14049</v>
      </c>
      <c r="B172" t="s">
        <v>14049</v>
      </c>
      <c r="C172" t="s">
        <v>18902</v>
      </c>
      <c r="D172" t="s">
        <v>4517</v>
      </c>
      <c r="E172" t="s">
        <v>4553</v>
      </c>
      <c r="F172" t="s">
        <v>2655</v>
      </c>
      <c r="G172" t="s">
        <v>14047</v>
      </c>
      <c r="H172" t="s">
        <v>4376</v>
      </c>
      <c r="I172" t="s">
        <v>4799</v>
      </c>
      <c r="J172" t="s">
        <v>14064</v>
      </c>
      <c r="K172" t="s">
        <v>4517</v>
      </c>
      <c r="L172" t="s">
        <v>14075</v>
      </c>
      <c r="M172" t="s">
        <v>25</v>
      </c>
      <c r="N172" t="s">
        <v>14076</v>
      </c>
      <c r="O172" t="s">
        <v>4517</v>
      </c>
      <c r="P172" t="s">
        <v>14077</v>
      </c>
      <c r="Q172" t="s">
        <v>25</v>
      </c>
      <c r="R172" t="s">
        <v>14078</v>
      </c>
      <c r="S172" t="s">
        <v>6661</v>
      </c>
      <c r="T172" t="s">
        <v>14075</v>
      </c>
      <c r="U172" t="s">
        <v>4559</v>
      </c>
      <c r="V172" t="s">
        <v>14079</v>
      </c>
      <c r="AA172" t="s">
        <v>4727</v>
      </c>
    </row>
    <row r="173" spans="1:27">
      <c r="A173" t="s">
        <v>14056</v>
      </c>
      <c r="B173" t="s">
        <v>14056</v>
      </c>
      <c r="C173" t="s">
        <v>18902</v>
      </c>
      <c r="D173" t="s">
        <v>4517</v>
      </c>
      <c r="E173" t="s">
        <v>4553</v>
      </c>
      <c r="F173" t="s">
        <v>2655</v>
      </c>
      <c r="G173" t="s">
        <v>14047</v>
      </c>
      <c r="H173" t="s">
        <v>4376</v>
      </c>
      <c r="I173" t="s">
        <v>4799</v>
      </c>
      <c r="J173" t="s">
        <v>14064</v>
      </c>
      <c r="K173" t="s">
        <v>4517</v>
      </c>
      <c r="L173" t="s">
        <v>14080</v>
      </c>
      <c r="M173" t="s">
        <v>25</v>
      </c>
      <c r="N173" t="s">
        <v>14081</v>
      </c>
      <c r="O173" t="s">
        <v>4517</v>
      </c>
      <c r="P173" t="s">
        <v>14082</v>
      </c>
      <c r="Q173" t="s">
        <v>25</v>
      </c>
      <c r="R173" t="s">
        <v>14083</v>
      </c>
      <c r="S173" t="s">
        <v>6661</v>
      </c>
      <c r="T173" t="s">
        <v>14080</v>
      </c>
      <c r="U173" t="s">
        <v>4559</v>
      </c>
      <c r="V173" t="s">
        <v>14084</v>
      </c>
      <c r="AA173" t="s">
        <v>4727</v>
      </c>
    </row>
    <row r="174" spans="1:27">
      <c r="A174" t="s">
        <v>14050</v>
      </c>
      <c r="B174" t="s">
        <v>14050</v>
      </c>
      <c r="C174" t="s">
        <v>18903</v>
      </c>
      <c r="D174" t="s">
        <v>4517</v>
      </c>
      <c r="E174" t="s">
        <v>4553</v>
      </c>
      <c r="F174" t="s">
        <v>2655</v>
      </c>
      <c r="G174" t="s">
        <v>14047</v>
      </c>
      <c r="H174" t="s">
        <v>4376</v>
      </c>
      <c r="I174" t="s">
        <v>4799</v>
      </c>
      <c r="J174" t="s">
        <v>14064</v>
      </c>
      <c r="K174" t="s">
        <v>4517</v>
      </c>
      <c r="L174" t="s">
        <v>14085</v>
      </c>
      <c r="M174" t="s">
        <v>25</v>
      </c>
      <c r="N174" t="s">
        <v>14086</v>
      </c>
      <c r="O174" t="s">
        <v>4517</v>
      </c>
      <c r="P174" t="s">
        <v>14087</v>
      </c>
      <c r="Q174" t="s">
        <v>25</v>
      </c>
      <c r="R174" t="s">
        <v>14088</v>
      </c>
      <c r="S174" t="s">
        <v>6661</v>
      </c>
      <c r="T174" t="s">
        <v>14085</v>
      </c>
      <c r="U174" t="s">
        <v>4559</v>
      </c>
      <c r="V174" t="s">
        <v>14089</v>
      </c>
      <c r="AA174" t="s">
        <v>4727</v>
      </c>
    </row>
    <row r="175" spans="1:27">
      <c r="A175" t="s">
        <v>14057</v>
      </c>
      <c r="B175" t="s">
        <v>14057</v>
      </c>
      <c r="C175" t="s">
        <v>18903</v>
      </c>
      <c r="D175" t="s">
        <v>4517</v>
      </c>
      <c r="E175" t="s">
        <v>4553</v>
      </c>
      <c r="F175" t="s">
        <v>2655</v>
      </c>
      <c r="G175" t="s">
        <v>14047</v>
      </c>
      <c r="H175" t="s">
        <v>4376</v>
      </c>
      <c r="I175" t="s">
        <v>4799</v>
      </c>
      <c r="J175" t="s">
        <v>14064</v>
      </c>
      <c r="K175" t="s">
        <v>4517</v>
      </c>
      <c r="L175" t="s">
        <v>14090</v>
      </c>
      <c r="M175" t="s">
        <v>25</v>
      </c>
      <c r="N175" t="s">
        <v>14091</v>
      </c>
      <c r="O175" t="s">
        <v>4517</v>
      </c>
      <c r="P175" t="s">
        <v>14092</v>
      </c>
      <c r="Q175" t="s">
        <v>25</v>
      </c>
      <c r="R175" t="s">
        <v>14093</v>
      </c>
      <c r="S175" t="s">
        <v>6661</v>
      </c>
      <c r="T175" t="s">
        <v>14090</v>
      </c>
      <c r="U175" t="s">
        <v>4559</v>
      </c>
      <c r="V175" t="s">
        <v>14094</v>
      </c>
      <c r="AA175" t="s">
        <v>4727</v>
      </c>
    </row>
    <row r="176" spans="1:27">
      <c r="A176" t="s">
        <v>14051</v>
      </c>
      <c r="B176" t="s">
        <v>14051</v>
      </c>
      <c r="C176" t="s">
        <v>18904</v>
      </c>
      <c r="D176" t="s">
        <v>4517</v>
      </c>
      <c r="E176" t="s">
        <v>4553</v>
      </c>
      <c r="F176" t="s">
        <v>2655</v>
      </c>
      <c r="G176" t="s">
        <v>14047</v>
      </c>
      <c r="H176" t="s">
        <v>4376</v>
      </c>
      <c r="I176" t="s">
        <v>4799</v>
      </c>
      <c r="J176" t="s">
        <v>14064</v>
      </c>
      <c r="K176" t="s">
        <v>4517</v>
      </c>
      <c r="L176" t="s">
        <v>14095</v>
      </c>
      <c r="M176" t="s">
        <v>25</v>
      </c>
      <c r="N176" t="s">
        <v>14096</v>
      </c>
      <c r="O176" t="s">
        <v>4517</v>
      </c>
      <c r="P176" t="s">
        <v>14097</v>
      </c>
      <c r="Q176" t="s">
        <v>25</v>
      </c>
      <c r="R176" t="s">
        <v>14098</v>
      </c>
      <c r="S176" t="s">
        <v>6661</v>
      </c>
      <c r="T176" t="s">
        <v>14095</v>
      </c>
      <c r="U176" t="s">
        <v>4559</v>
      </c>
      <c r="V176" t="s">
        <v>14099</v>
      </c>
      <c r="AA176" t="s">
        <v>4727</v>
      </c>
    </row>
    <row r="177" spans="1:27">
      <c r="A177" t="s">
        <v>14058</v>
      </c>
      <c r="B177" t="s">
        <v>14058</v>
      </c>
      <c r="C177" t="s">
        <v>18904</v>
      </c>
      <c r="D177" t="s">
        <v>4517</v>
      </c>
      <c r="E177" t="s">
        <v>4553</v>
      </c>
      <c r="F177" t="s">
        <v>2655</v>
      </c>
      <c r="G177" t="s">
        <v>14047</v>
      </c>
      <c r="H177" t="s">
        <v>4376</v>
      </c>
      <c r="I177" t="s">
        <v>4799</v>
      </c>
      <c r="J177" t="s">
        <v>14064</v>
      </c>
      <c r="K177" t="s">
        <v>4517</v>
      </c>
      <c r="L177" t="s">
        <v>14100</v>
      </c>
      <c r="M177" t="s">
        <v>25</v>
      </c>
      <c r="N177" t="s">
        <v>14101</v>
      </c>
      <c r="O177" t="s">
        <v>4517</v>
      </c>
      <c r="P177" t="s">
        <v>14102</v>
      </c>
      <c r="Q177" t="s">
        <v>25</v>
      </c>
      <c r="R177" t="s">
        <v>14103</v>
      </c>
      <c r="S177" t="s">
        <v>6661</v>
      </c>
      <c r="T177" t="s">
        <v>14100</v>
      </c>
      <c r="U177" t="s">
        <v>4559</v>
      </c>
      <c r="V177" t="s">
        <v>14104</v>
      </c>
      <c r="AA177" t="s">
        <v>4727</v>
      </c>
    </row>
    <row r="178" spans="1:27">
      <c r="A178" t="s">
        <v>14052</v>
      </c>
      <c r="B178" t="s">
        <v>14052</v>
      </c>
      <c r="C178" t="s">
        <v>18905</v>
      </c>
      <c r="D178" t="s">
        <v>4517</v>
      </c>
      <c r="E178" t="s">
        <v>4553</v>
      </c>
      <c r="F178" t="s">
        <v>2655</v>
      </c>
      <c r="G178" t="s">
        <v>14047</v>
      </c>
      <c r="H178" t="s">
        <v>4376</v>
      </c>
      <c r="I178" t="s">
        <v>4799</v>
      </c>
      <c r="J178" t="s">
        <v>14064</v>
      </c>
      <c r="K178" t="s">
        <v>4517</v>
      </c>
      <c r="L178" t="s">
        <v>14105</v>
      </c>
      <c r="M178" t="s">
        <v>25</v>
      </c>
      <c r="N178" t="s">
        <v>14106</v>
      </c>
      <c r="O178" t="s">
        <v>4517</v>
      </c>
      <c r="P178" t="s">
        <v>14107</v>
      </c>
      <c r="Q178" t="s">
        <v>25</v>
      </c>
      <c r="R178" t="s">
        <v>14108</v>
      </c>
      <c r="S178" t="s">
        <v>6661</v>
      </c>
      <c r="T178" t="s">
        <v>14105</v>
      </c>
      <c r="U178" t="s">
        <v>4559</v>
      </c>
      <c r="V178" t="s">
        <v>14109</v>
      </c>
      <c r="AA178" t="s">
        <v>4727</v>
      </c>
    </row>
    <row r="179" spans="1:27">
      <c r="A179" t="s">
        <v>14059</v>
      </c>
      <c r="B179" t="s">
        <v>14059</v>
      </c>
      <c r="C179" t="s">
        <v>18902</v>
      </c>
      <c r="D179" t="s">
        <v>4517</v>
      </c>
      <c r="E179" t="s">
        <v>4553</v>
      </c>
      <c r="F179" t="s">
        <v>2655</v>
      </c>
      <c r="G179" t="s">
        <v>14047</v>
      </c>
      <c r="H179" t="s">
        <v>4376</v>
      </c>
      <c r="I179" t="s">
        <v>4799</v>
      </c>
      <c r="J179" t="s">
        <v>14064</v>
      </c>
      <c r="K179" t="s">
        <v>4517</v>
      </c>
      <c r="L179" t="s">
        <v>14110</v>
      </c>
      <c r="M179" t="s">
        <v>25</v>
      </c>
      <c r="N179" t="s">
        <v>14111</v>
      </c>
      <c r="O179" t="s">
        <v>4517</v>
      </c>
      <c r="P179" t="s">
        <v>14112</v>
      </c>
      <c r="Q179" t="s">
        <v>25</v>
      </c>
      <c r="R179" t="s">
        <v>14113</v>
      </c>
      <c r="S179" t="s">
        <v>6661</v>
      </c>
      <c r="T179" t="s">
        <v>14110</v>
      </c>
      <c r="U179" t="s">
        <v>4559</v>
      </c>
      <c r="V179" t="s">
        <v>14114</v>
      </c>
      <c r="AA179" t="s">
        <v>4727</v>
      </c>
    </row>
    <row r="180" spans="1:27">
      <c r="A180" t="s">
        <v>14053</v>
      </c>
      <c r="B180" t="s">
        <v>14053</v>
      </c>
      <c r="C180" t="s">
        <v>18902</v>
      </c>
      <c r="D180" t="s">
        <v>4517</v>
      </c>
      <c r="E180" t="s">
        <v>4553</v>
      </c>
      <c r="F180" t="s">
        <v>2655</v>
      </c>
      <c r="G180" t="s">
        <v>14047</v>
      </c>
      <c r="H180" t="s">
        <v>4376</v>
      </c>
      <c r="I180" t="s">
        <v>4799</v>
      </c>
      <c r="J180" t="s">
        <v>14064</v>
      </c>
      <c r="K180" t="s">
        <v>4517</v>
      </c>
      <c r="L180" t="s">
        <v>14115</v>
      </c>
      <c r="M180" t="s">
        <v>25</v>
      </c>
      <c r="N180" t="s">
        <v>14116</v>
      </c>
      <c r="O180" t="s">
        <v>4517</v>
      </c>
      <c r="P180" t="s">
        <v>14117</v>
      </c>
      <c r="Q180" t="s">
        <v>25</v>
      </c>
      <c r="R180" t="s">
        <v>14118</v>
      </c>
      <c r="S180" t="s">
        <v>6661</v>
      </c>
      <c r="T180" t="s">
        <v>14115</v>
      </c>
      <c r="U180" t="s">
        <v>4559</v>
      </c>
      <c r="V180" t="s">
        <v>14119</v>
      </c>
      <c r="AA180" t="s">
        <v>4727</v>
      </c>
    </row>
    <row r="181" spans="1:27">
      <c r="A181" t="s">
        <v>14060</v>
      </c>
      <c r="B181" t="s">
        <v>14060</v>
      </c>
      <c r="C181" t="s">
        <v>18902</v>
      </c>
      <c r="D181" t="s">
        <v>4517</v>
      </c>
      <c r="E181" t="s">
        <v>4553</v>
      </c>
      <c r="F181" t="s">
        <v>2655</v>
      </c>
      <c r="G181" t="s">
        <v>14047</v>
      </c>
      <c r="H181" t="s">
        <v>4376</v>
      </c>
      <c r="I181" t="s">
        <v>4799</v>
      </c>
      <c r="J181" t="s">
        <v>14064</v>
      </c>
      <c r="K181" t="s">
        <v>4517</v>
      </c>
      <c r="L181" t="s">
        <v>14120</v>
      </c>
      <c r="M181" t="s">
        <v>25</v>
      </c>
      <c r="N181" t="s">
        <v>14121</v>
      </c>
      <c r="O181" t="s">
        <v>4517</v>
      </c>
      <c r="P181" t="s">
        <v>14122</v>
      </c>
      <c r="Q181" t="s">
        <v>25</v>
      </c>
      <c r="R181" t="s">
        <v>14123</v>
      </c>
      <c r="S181" t="s">
        <v>6661</v>
      </c>
      <c r="T181" t="s">
        <v>14120</v>
      </c>
      <c r="U181" t="s">
        <v>4559</v>
      </c>
      <c r="V181" t="s">
        <v>14124</v>
      </c>
      <c r="AA181" t="s">
        <v>4727</v>
      </c>
    </row>
    <row r="182" spans="1:27">
      <c r="A182" t="s">
        <v>14054</v>
      </c>
      <c r="B182" t="s">
        <v>14054</v>
      </c>
      <c r="C182" t="s">
        <v>18902</v>
      </c>
      <c r="D182" t="s">
        <v>4517</v>
      </c>
      <c r="E182" t="s">
        <v>4553</v>
      </c>
      <c r="F182" t="s">
        <v>2655</v>
      </c>
      <c r="G182" t="s">
        <v>14047</v>
      </c>
      <c r="H182" t="s">
        <v>4376</v>
      </c>
      <c r="I182" t="s">
        <v>4799</v>
      </c>
      <c r="J182" t="s">
        <v>14064</v>
      </c>
      <c r="K182" t="s">
        <v>4517</v>
      </c>
      <c r="L182" t="s">
        <v>14125</v>
      </c>
      <c r="M182" t="s">
        <v>25</v>
      </c>
      <c r="N182" t="s">
        <v>14126</v>
      </c>
      <c r="O182" t="s">
        <v>4517</v>
      </c>
      <c r="P182" t="s">
        <v>14127</v>
      </c>
      <c r="Q182" t="s">
        <v>25</v>
      </c>
      <c r="R182" t="s">
        <v>14128</v>
      </c>
      <c r="S182" t="s">
        <v>6661</v>
      </c>
      <c r="T182" t="s">
        <v>14125</v>
      </c>
      <c r="U182" t="s">
        <v>4559</v>
      </c>
      <c r="V182" t="s">
        <v>14129</v>
      </c>
      <c r="AA182" t="s">
        <v>4727</v>
      </c>
    </row>
    <row r="183" spans="1:27">
      <c r="A183" t="s">
        <v>14061</v>
      </c>
      <c r="B183" t="s">
        <v>14061</v>
      </c>
      <c r="C183" t="s">
        <v>18902</v>
      </c>
      <c r="D183" t="s">
        <v>4517</v>
      </c>
      <c r="E183" t="s">
        <v>4553</v>
      </c>
      <c r="F183" t="s">
        <v>2655</v>
      </c>
      <c r="G183" t="s">
        <v>14047</v>
      </c>
      <c r="H183" t="s">
        <v>4376</v>
      </c>
      <c r="I183" t="s">
        <v>4799</v>
      </c>
      <c r="J183" t="s">
        <v>14064</v>
      </c>
      <c r="K183" t="s">
        <v>4517</v>
      </c>
      <c r="L183" t="s">
        <v>14130</v>
      </c>
      <c r="M183" t="s">
        <v>25</v>
      </c>
      <c r="N183" t="s">
        <v>14131</v>
      </c>
      <c r="O183" t="s">
        <v>4517</v>
      </c>
      <c r="P183" t="s">
        <v>14132</v>
      </c>
      <c r="Q183" t="s">
        <v>25</v>
      </c>
      <c r="R183" t="s">
        <v>14133</v>
      </c>
      <c r="S183" t="s">
        <v>6661</v>
      </c>
      <c r="T183" t="s">
        <v>14130</v>
      </c>
      <c r="U183" t="s">
        <v>4559</v>
      </c>
      <c r="V183" t="s">
        <v>14134</v>
      </c>
      <c r="AA183" t="s">
        <v>4727</v>
      </c>
    </row>
    <row r="184" spans="1:27">
      <c r="A184" t="s">
        <v>14062</v>
      </c>
      <c r="B184" t="s">
        <v>14062</v>
      </c>
      <c r="C184" t="s">
        <v>18902</v>
      </c>
      <c r="D184" t="s">
        <v>4517</v>
      </c>
      <c r="E184" t="s">
        <v>4553</v>
      </c>
      <c r="F184" t="s">
        <v>2655</v>
      </c>
      <c r="G184" t="s">
        <v>14047</v>
      </c>
      <c r="H184" t="s">
        <v>4376</v>
      </c>
      <c r="I184" t="s">
        <v>4799</v>
      </c>
      <c r="J184" t="s">
        <v>14064</v>
      </c>
      <c r="K184" t="s">
        <v>4517</v>
      </c>
      <c r="L184" t="s">
        <v>14135</v>
      </c>
      <c r="M184" t="s">
        <v>25</v>
      </c>
      <c r="N184" t="s">
        <v>14136</v>
      </c>
      <c r="O184" t="s">
        <v>4517</v>
      </c>
      <c r="P184" t="s">
        <v>14137</v>
      </c>
      <c r="Q184" t="s">
        <v>25</v>
      </c>
      <c r="R184" t="s">
        <v>14138</v>
      </c>
      <c r="S184" t="s">
        <v>6661</v>
      </c>
      <c r="T184" t="s">
        <v>14135</v>
      </c>
      <c r="U184" t="s">
        <v>4559</v>
      </c>
      <c r="V184" t="s">
        <v>14139</v>
      </c>
      <c r="AA184" t="s">
        <v>4727</v>
      </c>
    </row>
    <row r="185" spans="1:27">
      <c r="A185" t="s">
        <v>14063</v>
      </c>
      <c r="B185" t="s">
        <v>14063</v>
      </c>
      <c r="C185" t="s">
        <v>18902</v>
      </c>
      <c r="D185" t="s">
        <v>4517</v>
      </c>
      <c r="E185" t="s">
        <v>4553</v>
      </c>
      <c r="F185" t="s">
        <v>2655</v>
      </c>
      <c r="G185" t="s">
        <v>14047</v>
      </c>
      <c r="H185" t="s">
        <v>4376</v>
      </c>
      <c r="I185" t="s">
        <v>4799</v>
      </c>
      <c r="J185" t="s">
        <v>14064</v>
      </c>
      <c r="K185" t="s">
        <v>4517</v>
      </c>
      <c r="L185" t="s">
        <v>14140</v>
      </c>
      <c r="M185" t="s">
        <v>25</v>
      </c>
      <c r="N185" t="s">
        <v>14141</v>
      </c>
      <c r="O185" t="s">
        <v>4517</v>
      </c>
      <c r="P185" t="s">
        <v>14142</v>
      </c>
      <c r="Q185" t="s">
        <v>25</v>
      </c>
      <c r="R185" t="s">
        <v>14143</v>
      </c>
      <c r="S185" t="s">
        <v>6661</v>
      </c>
      <c r="T185" t="s">
        <v>14144</v>
      </c>
      <c r="U185" t="s">
        <v>4559</v>
      </c>
      <c r="V185" t="s">
        <v>14145</v>
      </c>
      <c r="AA185" t="s">
        <v>4727</v>
      </c>
    </row>
    <row r="186" spans="1:27">
      <c r="A186" t="s">
        <v>14146</v>
      </c>
      <c r="B186" t="s">
        <v>14146</v>
      </c>
      <c r="C186" t="s">
        <v>14147</v>
      </c>
      <c r="D186" t="s">
        <v>14148</v>
      </c>
      <c r="E186" t="s">
        <v>4372</v>
      </c>
      <c r="F186" t="s">
        <v>2655</v>
      </c>
      <c r="G186" t="s">
        <v>14149</v>
      </c>
      <c r="H186" t="s">
        <v>4376</v>
      </c>
      <c r="I186" t="s">
        <v>4798</v>
      </c>
      <c r="J186" t="s">
        <v>14150</v>
      </c>
      <c r="K186" t="s">
        <v>14151</v>
      </c>
      <c r="L186" t="s">
        <v>14146</v>
      </c>
      <c r="M186" t="s">
        <v>25</v>
      </c>
      <c r="N186" t="s">
        <v>14152</v>
      </c>
      <c r="S186" t="s">
        <v>14153</v>
      </c>
      <c r="T186" t="s">
        <v>14146</v>
      </c>
      <c r="U186" t="s">
        <v>4559</v>
      </c>
      <c r="V186" t="s">
        <v>14154</v>
      </c>
      <c r="AA186" t="s">
        <v>4728</v>
      </c>
    </row>
    <row r="187" spans="1:27">
      <c r="A187" t="s">
        <v>14155</v>
      </c>
      <c r="B187" t="s">
        <v>14155</v>
      </c>
      <c r="C187" t="s">
        <v>18906</v>
      </c>
      <c r="D187" t="s">
        <v>14156</v>
      </c>
      <c r="E187" t="s">
        <v>14157</v>
      </c>
      <c r="F187" t="s">
        <v>2655</v>
      </c>
      <c r="G187" t="s">
        <v>14186</v>
      </c>
      <c r="J187" t="s">
        <v>14158</v>
      </c>
      <c r="S187" t="s">
        <v>14159</v>
      </c>
      <c r="T187" t="s">
        <v>14155</v>
      </c>
      <c r="U187" t="s">
        <v>4559</v>
      </c>
      <c r="V187" t="s">
        <v>14160</v>
      </c>
      <c r="AA187" t="s">
        <v>4728</v>
      </c>
    </row>
    <row r="188" spans="1:27">
      <c r="A188" t="s">
        <v>14161</v>
      </c>
      <c r="B188" t="s">
        <v>14161</v>
      </c>
      <c r="C188" t="s">
        <v>14187</v>
      </c>
      <c r="D188" t="s">
        <v>14163</v>
      </c>
      <c r="E188" t="s">
        <v>14157</v>
      </c>
      <c r="F188" t="s">
        <v>2655</v>
      </c>
      <c r="G188" t="s">
        <v>14185</v>
      </c>
      <c r="J188" t="s">
        <v>14162</v>
      </c>
      <c r="S188" t="s">
        <v>14163</v>
      </c>
      <c r="T188" t="s">
        <v>14161</v>
      </c>
      <c r="U188" t="s">
        <v>4559</v>
      </c>
      <c r="V188" t="s">
        <v>14164</v>
      </c>
      <c r="AA188" t="s">
        <v>4728</v>
      </c>
    </row>
    <row r="189" spans="1:27">
      <c r="A189" t="s">
        <v>14165</v>
      </c>
      <c r="B189" t="s">
        <v>14165</v>
      </c>
      <c r="C189" t="s">
        <v>14183</v>
      </c>
      <c r="D189" t="s">
        <v>14170</v>
      </c>
      <c r="E189" t="s">
        <v>14166</v>
      </c>
      <c r="F189" t="s">
        <v>2655</v>
      </c>
      <c r="G189" t="s">
        <v>14182</v>
      </c>
      <c r="H189" t="s">
        <v>4376</v>
      </c>
      <c r="I189" t="s">
        <v>12497</v>
      </c>
      <c r="J189" t="s">
        <v>14167</v>
      </c>
      <c r="S189" t="s">
        <v>14168</v>
      </c>
      <c r="T189" t="s">
        <v>14165</v>
      </c>
      <c r="U189" t="s">
        <v>4559</v>
      </c>
      <c r="V189" t="s">
        <v>14169</v>
      </c>
      <c r="AA189" t="s">
        <v>4728</v>
      </c>
    </row>
    <row r="190" spans="1:27">
      <c r="A190" t="s">
        <v>14171</v>
      </c>
      <c r="B190" t="s">
        <v>14171</v>
      </c>
      <c r="C190" t="s">
        <v>14184</v>
      </c>
      <c r="D190" t="s">
        <v>14170</v>
      </c>
      <c r="E190" t="s">
        <v>14166</v>
      </c>
      <c r="F190" t="s">
        <v>2655</v>
      </c>
      <c r="G190" t="s">
        <v>14182</v>
      </c>
      <c r="H190" t="s">
        <v>4376</v>
      </c>
      <c r="I190" t="s">
        <v>12497</v>
      </c>
      <c r="J190" t="s">
        <v>14172</v>
      </c>
      <c r="S190" t="s">
        <v>14168</v>
      </c>
      <c r="T190" t="s">
        <v>14171</v>
      </c>
      <c r="U190" t="s">
        <v>4559</v>
      </c>
      <c r="V190" t="s">
        <v>14173</v>
      </c>
      <c r="AA190" t="s">
        <v>4728</v>
      </c>
    </row>
    <row r="191" spans="1:27">
      <c r="A191" t="s">
        <v>14174</v>
      </c>
      <c r="B191" t="s">
        <v>14174</v>
      </c>
      <c r="C191" t="s">
        <v>14181</v>
      </c>
      <c r="D191" t="s">
        <v>10664</v>
      </c>
      <c r="E191" t="s">
        <v>14175</v>
      </c>
      <c r="F191" t="s">
        <v>2655</v>
      </c>
      <c r="G191" t="s">
        <v>14180</v>
      </c>
      <c r="H191" t="s">
        <v>6700</v>
      </c>
      <c r="I191" t="s">
        <v>6965</v>
      </c>
      <c r="J191" t="s">
        <v>14176</v>
      </c>
      <c r="K191" t="s">
        <v>7928</v>
      </c>
      <c r="L191" t="s">
        <v>14174</v>
      </c>
      <c r="M191" t="s">
        <v>25</v>
      </c>
      <c r="N191" t="s">
        <v>14177</v>
      </c>
      <c r="S191" t="s">
        <v>14178</v>
      </c>
      <c r="T191" t="s">
        <v>14174</v>
      </c>
      <c r="U191" t="s">
        <v>4559</v>
      </c>
      <c r="V191" t="s">
        <v>14179</v>
      </c>
      <c r="AA191" t="s">
        <v>4728</v>
      </c>
    </row>
    <row r="192" spans="1:27">
      <c r="A192" t="s">
        <v>14659</v>
      </c>
      <c r="B192" t="s">
        <v>14659</v>
      </c>
      <c r="C192" t="s">
        <v>14684</v>
      </c>
      <c r="D192" t="s">
        <v>4517</v>
      </c>
      <c r="E192" t="s">
        <v>4553</v>
      </c>
      <c r="F192" t="s">
        <v>2655</v>
      </c>
      <c r="G192" t="s">
        <v>14688</v>
      </c>
      <c r="H192" t="s">
        <v>4376</v>
      </c>
      <c r="I192" t="s">
        <v>4799</v>
      </c>
      <c r="J192" t="s">
        <v>14663</v>
      </c>
      <c r="K192" t="s">
        <v>4517</v>
      </c>
      <c r="L192" t="s">
        <v>14664</v>
      </c>
      <c r="M192" t="s">
        <v>25</v>
      </c>
      <c r="N192" t="s">
        <v>14665</v>
      </c>
      <c r="O192" t="s">
        <v>4517</v>
      </c>
      <c r="P192" t="s">
        <v>14666</v>
      </c>
      <c r="Q192" t="s">
        <v>25</v>
      </c>
      <c r="R192" t="s">
        <v>14667</v>
      </c>
      <c r="S192" t="s">
        <v>6661</v>
      </c>
      <c r="T192" t="s">
        <v>14664</v>
      </c>
      <c r="U192" t="s">
        <v>4559</v>
      </c>
      <c r="V192" t="s">
        <v>14680</v>
      </c>
      <c r="AA192" t="s">
        <v>4727</v>
      </c>
    </row>
    <row r="193" spans="1:27">
      <c r="A193" t="s">
        <v>14660</v>
      </c>
      <c r="B193" t="s">
        <v>14660</v>
      </c>
      <c r="C193" t="s">
        <v>14685</v>
      </c>
      <c r="D193" t="s">
        <v>4517</v>
      </c>
      <c r="E193" t="s">
        <v>4553</v>
      </c>
      <c r="F193" t="s">
        <v>2655</v>
      </c>
      <c r="G193" t="s">
        <v>14688</v>
      </c>
      <c r="H193" t="s">
        <v>4376</v>
      </c>
      <c r="I193" t="s">
        <v>4799</v>
      </c>
      <c r="J193" t="s">
        <v>14663</v>
      </c>
      <c r="K193" t="s">
        <v>4517</v>
      </c>
      <c r="L193" t="s">
        <v>14668</v>
      </c>
      <c r="M193" t="s">
        <v>25</v>
      </c>
      <c r="N193" t="s">
        <v>14669</v>
      </c>
      <c r="O193" t="s">
        <v>4517</v>
      </c>
      <c r="P193" t="s">
        <v>14670</v>
      </c>
      <c r="Q193" t="s">
        <v>25</v>
      </c>
      <c r="R193" t="s">
        <v>14671</v>
      </c>
      <c r="S193" t="s">
        <v>6661</v>
      </c>
      <c r="T193" t="s">
        <v>14668</v>
      </c>
      <c r="U193" t="s">
        <v>4559</v>
      </c>
      <c r="V193" t="s">
        <v>14681</v>
      </c>
      <c r="AA193" t="s">
        <v>4727</v>
      </c>
    </row>
    <row r="194" spans="1:27">
      <c r="A194" t="s">
        <v>14661</v>
      </c>
      <c r="B194" t="s">
        <v>14661</v>
      </c>
      <c r="C194" t="s">
        <v>14686</v>
      </c>
      <c r="D194" t="s">
        <v>4517</v>
      </c>
      <c r="E194" t="s">
        <v>4553</v>
      </c>
      <c r="F194" t="s">
        <v>2655</v>
      </c>
      <c r="G194" t="s">
        <v>14688</v>
      </c>
      <c r="H194" t="s">
        <v>4376</v>
      </c>
      <c r="I194" t="s">
        <v>4799</v>
      </c>
      <c r="J194" t="s">
        <v>14663</v>
      </c>
      <c r="K194" t="s">
        <v>4517</v>
      </c>
      <c r="L194" t="s">
        <v>14672</v>
      </c>
      <c r="M194" t="s">
        <v>25</v>
      </c>
      <c r="N194" t="s">
        <v>14673</v>
      </c>
      <c r="O194" t="s">
        <v>4517</v>
      </c>
      <c r="P194" t="s">
        <v>14674</v>
      </c>
      <c r="Q194" t="s">
        <v>25</v>
      </c>
      <c r="R194" t="s">
        <v>14675</v>
      </c>
      <c r="S194" t="s">
        <v>6661</v>
      </c>
      <c r="T194" t="s">
        <v>14672</v>
      </c>
      <c r="U194" t="s">
        <v>4559</v>
      </c>
      <c r="V194" t="s">
        <v>14682</v>
      </c>
      <c r="AA194" t="s">
        <v>4727</v>
      </c>
    </row>
    <row r="195" spans="1:27">
      <c r="A195" t="s">
        <v>14662</v>
      </c>
      <c r="B195" t="s">
        <v>14662</v>
      </c>
      <c r="C195" t="s">
        <v>14687</v>
      </c>
      <c r="D195" t="s">
        <v>4517</v>
      </c>
      <c r="E195" t="s">
        <v>4553</v>
      </c>
      <c r="F195" t="s">
        <v>2655</v>
      </c>
      <c r="G195" t="s">
        <v>14688</v>
      </c>
      <c r="H195" t="s">
        <v>4376</v>
      </c>
      <c r="I195" t="s">
        <v>4799</v>
      </c>
      <c r="J195" t="s">
        <v>14663</v>
      </c>
      <c r="K195" t="s">
        <v>4517</v>
      </c>
      <c r="L195" t="s">
        <v>14676</v>
      </c>
      <c r="M195" t="s">
        <v>25</v>
      </c>
      <c r="N195" t="s">
        <v>14677</v>
      </c>
      <c r="O195" t="s">
        <v>4517</v>
      </c>
      <c r="P195" t="s">
        <v>14678</v>
      </c>
      <c r="Q195" t="s">
        <v>25</v>
      </c>
      <c r="R195" t="s">
        <v>14679</v>
      </c>
      <c r="S195" t="s">
        <v>6661</v>
      </c>
      <c r="T195" t="s">
        <v>14676</v>
      </c>
      <c r="U195" t="s">
        <v>4559</v>
      </c>
      <c r="V195" t="s">
        <v>14683</v>
      </c>
      <c r="AA195" t="s">
        <v>4727</v>
      </c>
    </row>
    <row r="196" spans="1:27">
      <c r="A196" t="s">
        <v>14691</v>
      </c>
      <c r="B196" t="s">
        <v>14691</v>
      </c>
      <c r="C196" t="s">
        <v>14689</v>
      </c>
      <c r="D196" t="s">
        <v>6218</v>
      </c>
      <c r="E196" t="s">
        <v>14715</v>
      </c>
      <c r="F196" t="s">
        <v>2655</v>
      </c>
      <c r="G196" t="s">
        <v>14690</v>
      </c>
      <c r="H196" t="s">
        <v>4377</v>
      </c>
      <c r="I196" t="s">
        <v>14717</v>
      </c>
      <c r="J196" t="s">
        <v>14714</v>
      </c>
      <c r="K196" t="s">
        <v>6218</v>
      </c>
      <c r="L196" t="s">
        <v>14694</v>
      </c>
      <c r="M196" t="s">
        <v>25</v>
      </c>
      <c r="N196" t="s">
        <v>14695</v>
      </c>
    </row>
    <row r="197" spans="1:27">
      <c r="A197" t="s">
        <v>14692</v>
      </c>
      <c r="B197" t="s">
        <v>14692</v>
      </c>
      <c r="C197" t="s">
        <v>14689</v>
      </c>
      <c r="D197" t="s">
        <v>6218</v>
      </c>
      <c r="E197" t="s">
        <v>14715</v>
      </c>
      <c r="F197" t="s">
        <v>2655</v>
      </c>
      <c r="G197" t="s">
        <v>14690</v>
      </c>
      <c r="H197" t="s">
        <v>4377</v>
      </c>
      <c r="I197" t="s">
        <v>14717</v>
      </c>
      <c r="J197" t="s">
        <v>14714</v>
      </c>
      <c r="K197" t="s">
        <v>6218</v>
      </c>
      <c r="L197" t="s">
        <v>14696</v>
      </c>
      <c r="M197" t="s">
        <v>25</v>
      </c>
      <c r="N197" t="s">
        <v>14697</v>
      </c>
      <c r="S197" t="s">
        <v>14709</v>
      </c>
      <c r="T197" t="s">
        <v>14710</v>
      </c>
      <c r="U197" t="s">
        <v>4559</v>
      </c>
      <c r="V197" t="s">
        <v>14711</v>
      </c>
      <c r="AA197" t="s">
        <v>4727</v>
      </c>
    </row>
    <row r="198" spans="1:27">
      <c r="A198" t="s">
        <v>14693</v>
      </c>
      <c r="B198" t="s">
        <v>14693</v>
      </c>
      <c r="C198" t="s">
        <v>14689</v>
      </c>
      <c r="D198" t="s">
        <v>6218</v>
      </c>
      <c r="E198" t="s">
        <v>14715</v>
      </c>
      <c r="F198" t="s">
        <v>2655</v>
      </c>
      <c r="G198" t="s">
        <v>14690</v>
      </c>
      <c r="H198" t="s">
        <v>4377</v>
      </c>
      <c r="I198" t="s">
        <v>14717</v>
      </c>
      <c r="J198" t="s">
        <v>14714</v>
      </c>
      <c r="K198" t="s">
        <v>6218</v>
      </c>
      <c r="L198" t="s">
        <v>14698</v>
      </c>
      <c r="M198" t="s">
        <v>25</v>
      </c>
      <c r="N198" t="s">
        <v>14699</v>
      </c>
      <c r="S198" t="s">
        <v>14709</v>
      </c>
      <c r="T198" t="s">
        <v>14712</v>
      </c>
      <c r="U198" t="s">
        <v>4559</v>
      </c>
      <c r="V198" t="s">
        <v>14713</v>
      </c>
      <c r="AA198" t="s">
        <v>4727</v>
      </c>
    </row>
    <row r="199" spans="1:27">
      <c r="A199" t="s">
        <v>14700</v>
      </c>
      <c r="B199" t="s">
        <v>14700</v>
      </c>
      <c r="C199" t="s">
        <v>14689</v>
      </c>
      <c r="D199" t="s">
        <v>6218</v>
      </c>
      <c r="E199" t="s">
        <v>14716</v>
      </c>
      <c r="F199" t="s">
        <v>2655</v>
      </c>
      <c r="G199" t="s">
        <v>14690</v>
      </c>
      <c r="H199" t="s">
        <v>4377</v>
      </c>
      <c r="I199" t="s">
        <v>14718</v>
      </c>
      <c r="J199" t="s">
        <v>14714</v>
      </c>
      <c r="K199" t="s">
        <v>6218</v>
      </c>
      <c r="L199" t="s">
        <v>14703</v>
      </c>
      <c r="M199" t="s">
        <v>25</v>
      </c>
      <c r="N199" t="s">
        <v>14704</v>
      </c>
    </row>
    <row r="200" spans="1:27">
      <c r="A200" t="s">
        <v>14701</v>
      </c>
      <c r="B200" t="s">
        <v>14701</v>
      </c>
      <c r="C200" t="s">
        <v>14689</v>
      </c>
      <c r="D200" t="s">
        <v>6218</v>
      </c>
      <c r="E200" t="s">
        <v>14716</v>
      </c>
      <c r="F200" t="s">
        <v>2655</v>
      </c>
      <c r="G200" t="s">
        <v>14690</v>
      </c>
      <c r="H200" t="s">
        <v>4377</v>
      </c>
      <c r="I200" t="s">
        <v>14718</v>
      </c>
      <c r="J200" t="s">
        <v>14714</v>
      </c>
      <c r="K200" t="s">
        <v>6218</v>
      </c>
      <c r="L200" t="s">
        <v>14705</v>
      </c>
      <c r="M200" t="s">
        <v>25</v>
      </c>
      <c r="N200" t="s">
        <v>14706</v>
      </c>
    </row>
    <row r="201" spans="1:27">
      <c r="A201" t="s">
        <v>14702</v>
      </c>
      <c r="B201" t="s">
        <v>14702</v>
      </c>
      <c r="C201" t="s">
        <v>14689</v>
      </c>
      <c r="D201" t="s">
        <v>6218</v>
      </c>
      <c r="E201" t="s">
        <v>14716</v>
      </c>
      <c r="F201" t="s">
        <v>2655</v>
      </c>
      <c r="G201" t="s">
        <v>14690</v>
      </c>
      <c r="H201" t="s">
        <v>4377</v>
      </c>
      <c r="I201" t="s">
        <v>14718</v>
      </c>
      <c r="J201" t="s">
        <v>14714</v>
      </c>
      <c r="K201" t="s">
        <v>6218</v>
      </c>
      <c r="L201" t="s">
        <v>14707</v>
      </c>
      <c r="M201" t="s">
        <v>25</v>
      </c>
      <c r="N201" t="s">
        <v>14708</v>
      </c>
    </row>
    <row r="202" spans="1:27">
      <c r="A202" t="s">
        <v>16762</v>
      </c>
      <c r="B202" t="s">
        <v>16762</v>
      </c>
      <c r="C202" t="s">
        <v>16763</v>
      </c>
      <c r="D202" t="s">
        <v>4517</v>
      </c>
      <c r="E202" t="s">
        <v>11062</v>
      </c>
      <c r="F202" t="s">
        <v>2655</v>
      </c>
      <c r="G202" t="s">
        <v>16762</v>
      </c>
      <c r="H202" t="s">
        <v>6243</v>
      </c>
      <c r="I202" t="s">
        <v>11065</v>
      </c>
      <c r="J202" t="s">
        <v>16764</v>
      </c>
      <c r="K202" t="s">
        <v>4517</v>
      </c>
      <c r="L202" t="s">
        <v>16766</v>
      </c>
      <c r="M202" t="s">
        <v>25</v>
      </c>
      <c r="N202" t="s">
        <v>16765</v>
      </c>
      <c r="S202" t="s">
        <v>4517</v>
      </c>
      <c r="T202" t="s">
        <v>16766</v>
      </c>
      <c r="U202" t="s">
        <v>4559</v>
      </c>
      <c r="V202" t="s">
        <v>16767</v>
      </c>
    </row>
    <row r="203" spans="1:27">
      <c r="A203" t="s">
        <v>16768</v>
      </c>
      <c r="B203" t="s">
        <v>16768</v>
      </c>
      <c r="C203" t="s">
        <v>16778</v>
      </c>
      <c r="D203" t="s">
        <v>16769</v>
      </c>
      <c r="E203" t="s">
        <v>16770</v>
      </c>
      <c r="F203" t="s">
        <v>7005</v>
      </c>
      <c r="G203" t="s">
        <v>16771</v>
      </c>
      <c r="H203" t="s">
        <v>10689</v>
      </c>
      <c r="I203" t="s">
        <v>16772</v>
      </c>
      <c r="J203" t="s">
        <v>16773</v>
      </c>
      <c r="K203" t="s">
        <v>16774</v>
      </c>
      <c r="L203" t="s">
        <v>16775</v>
      </c>
      <c r="M203" t="s">
        <v>25</v>
      </c>
      <c r="N203" t="s">
        <v>16776</v>
      </c>
      <c r="S203" t="s">
        <v>16774</v>
      </c>
      <c r="T203" t="s">
        <v>16776</v>
      </c>
      <c r="U203" t="s">
        <v>4559</v>
      </c>
      <c r="V203" t="s">
        <v>16777</v>
      </c>
    </row>
    <row r="204" spans="1:27">
      <c r="A204" t="s">
        <v>16779</v>
      </c>
      <c r="B204" t="s">
        <v>16782</v>
      </c>
      <c r="C204" t="s">
        <v>16783</v>
      </c>
      <c r="D204" t="s">
        <v>6320</v>
      </c>
      <c r="E204" t="s">
        <v>16770</v>
      </c>
      <c r="F204" t="s">
        <v>7005</v>
      </c>
      <c r="G204" t="s">
        <v>11094</v>
      </c>
      <c r="H204" t="s">
        <v>10689</v>
      </c>
      <c r="I204" t="s">
        <v>16786</v>
      </c>
      <c r="J204" t="s">
        <v>16788</v>
      </c>
      <c r="K204" t="s">
        <v>6320</v>
      </c>
      <c r="L204" t="s">
        <v>16779</v>
      </c>
      <c r="M204" t="s">
        <v>25</v>
      </c>
      <c r="N204" t="s">
        <v>16789</v>
      </c>
      <c r="S204" t="s">
        <v>6320</v>
      </c>
      <c r="T204" t="s">
        <v>16779</v>
      </c>
      <c r="U204" t="s">
        <v>4559</v>
      </c>
      <c r="V204" t="s">
        <v>16791</v>
      </c>
    </row>
    <row r="205" spans="1:27">
      <c r="A205" t="s">
        <v>16780</v>
      </c>
      <c r="B205" t="s">
        <v>16781</v>
      </c>
      <c r="C205" t="s">
        <v>16784</v>
      </c>
      <c r="D205" t="s">
        <v>6320</v>
      </c>
      <c r="E205" t="s">
        <v>16770</v>
      </c>
      <c r="F205" t="s">
        <v>7005</v>
      </c>
      <c r="G205" t="s">
        <v>16785</v>
      </c>
      <c r="H205" t="s">
        <v>10689</v>
      </c>
      <c r="I205" t="s">
        <v>16787</v>
      </c>
      <c r="J205" t="s">
        <v>16788</v>
      </c>
      <c r="K205" t="s">
        <v>6320</v>
      </c>
      <c r="L205" t="s">
        <v>16780</v>
      </c>
      <c r="M205" t="s">
        <v>25</v>
      </c>
      <c r="N205" t="s">
        <v>16790</v>
      </c>
      <c r="S205" t="s">
        <v>6320</v>
      </c>
      <c r="T205" t="s">
        <v>16780</v>
      </c>
      <c r="U205" t="s">
        <v>4559</v>
      </c>
      <c r="V205" t="s">
        <v>16792</v>
      </c>
    </row>
    <row r="206" spans="1:27">
      <c r="A206" t="s">
        <v>16794</v>
      </c>
      <c r="B206" t="s">
        <v>16794</v>
      </c>
      <c r="C206" t="s">
        <v>16795</v>
      </c>
      <c r="D206" t="s">
        <v>16796</v>
      </c>
      <c r="E206" t="s">
        <v>16797</v>
      </c>
      <c r="F206" t="s">
        <v>2655</v>
      </c>
      <c r="G206" t="s">
        <v>16798</v>
      </c>
      <c r="H206" t="s">
        <v>6243</v>
      </c>
      <c r="I206" t="s">
        <v>16793</v>
      </c>
      <c r="J206" t="s">
        <v>16799</v>
      </c>
      <c r="K206" t="s">
        <v>16796</v>
      </c>
      <c r="L206" t="s">
        <v>18907</v>
      </c>
      <c r="M206" t="s">
        <v>25</v>
      </c>
      <c r="N206" t="s">
        <v>16800</v>
      </c>
      <c r="S206" t="s">
        <v>16796</v>
      </c>
      <c r="T206" t="s">
        <v>18907</v>
      </c>
      <c r="U206" t="s">
        <v>4559</v>
      </c>
      <c r="V206" t="s">
        <v>16801</v>
      </c>
    </row>
    <row r="207" spans="1:27">
      <c r="A207" t="s">
        <v>16802</v>
      </c>
      <c r="B207" t="s">
        <v>16802</v>
      </c>
      <c r="C207" t="s">
        <v>16805</v>
      </c>
      <c r="D207" t="s">
        <v>6320</v>
      </c>
      <c r="E207" t="s">
        <v>6236</v>
      </c>
      <c r="F207" t="s">
        <v>2655</v>
      </c>
      <c r="G207" t="s">
        <v>16808</v>
      </c>
      <c r="H207" t="s">
        <v>4377</v>
      </c>
      <c r="I207" t="s">
        <v>10850</v>
      </c>
      <c r="J207" t="s">
        <v>16806</v>
      </c>
      <c r="K207" t="s">
        <v>6320</v>
      </c>
      <c r="L207" t="s">
        <v>16811</v>
      </c>
      <c r="M207" t="s">
        <v>25</v>
      </c>
      <c r="N207" t="s">
        <v>16810</v>
      </c>
    </row>
    <row r="208" spans="1:27">
      <c r="A208" t="s">
        <v>16803</v>
      </c>
      <c r="B208" t="s">
        <v>16803</v>
      </c>
      <c r="C208" t="s">
        <v>16805</v>
      </c>
      <c r="D208" t="s">
        <v>6320</v>
      </c>
      <c r="E208" t="s">
        <v>6332</v>
      </c>
      <c r="F208" t="s">
        <v>2655</v>
      </c>
      <c r="G208" t="s">
        <v>16808</v>
      </c>
      <c r="H208" t="s">
        <v>4377</v>
      </c>
      <c r="I208" t="s">
        <v>11030</v>
      </c>
      <c r="J208" t="s">
        <v>16806</v>
      </c>
      <c r="K208" t="s">
        <v>6320</v>
      </c>
      <c r="L208" t="s">
        <v>16813</v>
      </c>
      <c r="M208" t="s">
        <v>25</v>
      </c>
      <c r="N208" t="s">
        <v>16812</v>
      </c>
      <c r="S208" t="s">
        <v>6320</v>
      </c>
      <c r="T208" t="s">
        <v>16818</v>
      </c>
      <c r="U208" t="s">
        <v>4559</v>
      </c>
      <c r="V208" t="s">
        <v>16817</v>
      </c>
    </row>
    <row r="209" spans="1:22">
      <c r="A209" t="s">
        <v>16804</v>
      </c>
      <c r="B209" t="s">
        <v>16804</v>
      </c>
      <c r="C209" t="s">
        <v>16805</v>
      </c>
      <c r="D209" t="s">
        <v>6320</v>
      </c>
      <c r="E209" t="s">
        <v>16816</v>
      </c>
      <c r="F209" t="s">
        <v>2655</v>
      </c>
      <c r="G209" t="s">
        <v>16807</v>
      </c>
      <c r="H209" t="s">
        <v>7963</v>
      </c>
      <c r="I209" t="s">
        <v>16809</v>
      </c>
      <c r="J209" t="s">
        <v>16806</v>
      </c>
      <c r="K209" t="s">
        <v>6320</v>
      </c>
      <c r="L209" t="s">
        <v>16815</v>
      </c>
      <c r="M209" t="s">
        <v>25</v>
      </c>
      <c r="N209" t="s">
        <v>16814</v>
      </c>
    </row>
    <row r="210" spans="1:22">
      <c r="A210" t="s">
        <v>16823</v>
      </c>
      <c r="B210" t="s">
        <v>16823</v>
      </c>
      <c r="C210" t="s">
        <v>16824</v>
      </c>
      <c r="D210" t="s">
        <v>16822</v>
      </c>
      <c r="E210" t="s">
        <v>16770</v>
      </c>
      <c r="F210" t="s">
        <v>18011</v>
      </c>
      <c r="G210" t="s">
        <v>16823</v>
      </c>
      <c r="H210" t="s">
        <v>10689</v>
      </c>
      <c r="I210" t="s">
        <v>16819</v>
      </c>
      <c r="J210" t="s">
        <v>16825</v>
      </c>
      <c r="K210" t="s">
        <v>16822</v>
      </c>
      <c r="L210" t="s">
        <v>16821</v>
      </c>
      <c r="M210" t="s">
        <v>25</v>
      </c>
      <c r="N210" t="s">
        <v>16820</v>
      </c>
    </row>
    <row r="211" spans="1:22">
      <c r="A211" t="s">
        <v>17972</v>
      </c>
      <c r="B211" t="s">
        <v>17972</v>
      </c>
      <c r="C211" t="s">
        <v>18908</v>
      </c>
      <c r="D211" t="s">
        <v>16822</v>
      </c>
      <c r="E211" t="s">
        <v>16770</v>
      </c>
      <c r="F211" t="s">
        <v>18011</v>
      </c>
      <c r="G211" t="s">
        <v>17972</v>
      </c>
      <c r="H211" t="s">
        <v>10689</v>
      </c>
      <c r="I211" t="s">
        <v>17973</v>
      </c>
      <c r="J211" t="s">
        <v>17974</v>
      </c>
      <c r="K211" t="s">
        <v>16822</v>
      </c>
      <c r="L211" t="s">
        <v>17971</v>
      </c>
      <c r="M211" t="s">
        <v>25</v>
      </c>
      <c r="N211" t="s">
        <v>17975</v>
      </c>
    </row>
    <row r="212" spans="1:22">
      <c r="A212" t="s">
        <v>16826</v>
      </c>
      <c r="B212" t="s">
        <v>16826</v>
      </c>
      <c r="C212" t="s">
        <v>16827</v>
      </c>
      <c r="D212" t="s">
        <v>6320</v>
      </c>
      <c r="E212" t="s">
        <v>4553</v>
      </c>
      <c r="F212" t="s">
        <v>2655</v>
      </c>
      <c r="G212" t="s">
        <v>16826</v>
      </c>
      <c r="H212" t="s">
        <v>4376</v>
      </c>
      <c r="I212" t="s">
        <v>8877</v>
      </c>
      <c r="J212" t="s">
        <v>16830</v>
      </c>
      <c r="K212" t="s">
        <v>6320</v>
      </c>
      <c r="L212" t="s">
        <v>16829</v>
      </c>
      <c r="M212" t="s">
        <v>25</v>
      </c>
      <c r="N212" t="s">
        <v>16828</v>
      </c>
    </row>
    <row r="213" spans="1:22">
      <c r="A213" t="s">
        <v>16839</v>
      </c>
      <c r="B213" t="s">
        <v>16839</v>
      </c>
      <c r="C213" t="s">
        <v>16875</v>
      </c>
      <c r="D213" t="s">
        <v>4517</v>
      </c>
      <c r="E213" t="s">
        <v>16770</v>
      </c>
      <c r="F213" t="s">
        <v>2655</v>
      </c>
      <c r="G213" t="s">
        <v>16889</v>
      </c>
      <c r="H213" t="s">
        <v>10689</v>
      </c>
      <c r="I213" t="s">
        <v>16890</v>
      </c>
      <c r="J213" t="s">
        <v>16891</v>
      </c>
      <c r="K213" t="s">
        <v>4517</v>
      </c>
      <c r="L213" t="s">
        <v>16839</v>
      </c>
      <c r="M213" t="s">
        <v>25</v>
      </c>
      <c r="N213" t="s">
        <v>16857</v>
      </c>
      <c r="S213" t="s">
        <v>4517</v>
      </c>
      <c r="T213" t="s">
        <v>16839</v>
      </c>
      <c r="U213" t="s">
        <v>4559</v>
      </c>
      <c r="V213" t="s">
        <v>16933</v>
      </c>
    </row>
    <row r="214" spans="1:22">
      <c r="A214" t="s">
        <v>16840</v>
      </c>
      <c r="B214" t="s">
        <v>16840</v>
      </c>
      <c r="C214" t="s">
        <v>16876</v>
      </c>
      <c r="D214" t="s">
        <v>4517</v>
      </c>
      <c r="E214" t="s">
        <v>16770</v>
      </c>
      <c r="F214" t="s">
        <v>2655</v>
      </c>
      <c r="G214" t="s">
        <v>16889</v>
      </c>
      <c r="H214" t="s">
        <v>10689</v>
      </c>
      <c r="I214" t="s">
        <v>16890</v>
      </c>
      <c r="J214" t="s">
        <v>16891</v>
      </c>
      <c r="K214" t="s">
        <v>4517</v>
      </c>
      <c r="L214" t="s">
        <v>16840</v>
      </c>
      <c r="M214" t="s">
        <v>25</v>
      </c>
      <c r="N214" t="s">
        <v>16858</v>
      </c>
      <c r="S214" t="s">
        <v>4517</v>
      </c>
      <c r="T214" t="s">
        <v>16840</v>
      </c>
      <c r="U214" t="s">
        <v>4559</v>
      </c>
      <c r="V214" t="s">
        <v>16934</v>
      </c>
    </row>
    <row r="215" spans="1:22">
      <c r="A215" t="s">
        <v>16841</v>
      </c>
      <c r="B215" t="s">
        <v>16841</v>
      </c>
      <c r="C215" t="s">
        <v>16877</v>
      </c>
      <c r="D215" t="s">
        <v>4517</v>
      </c>
      <c r="E215" t="s">
        <v>16770</v>
      </c>
      <c r="F215" t="s">
        <v>2655</v>
      </c>
      <c r="G215" t="s">
        <v>16889</v>
      </c>
      <c r="H215" t="s">
        <v>10689</v>
      </c>
      <c r="I215" t="s">
        <v>16890</v>
      </c>
      <c r="J215" t="s">
        <v>16891</v>
      </c>
      <c r="K215" t="s">
        <v>4517</v>
      </c>
      <c r="L215" t="s">
        <v>16841</v>
      </c>
      <c r="M215" t="s">
        <v>25</v>
      </c>
      <c r="N215" t="s">
        <v>16859</v>
      </c>
      <c r="S215" t="s">
        <v>4517</v>
      </c>
      <c r="T215" t="s">
        <v>16841</v>
      </c>
      <c r="U215" t="s">
        <v>4559</v>
      </c>
      <c r="V215" t="s">
        <v>16935</v>
      </c>
    </row>
    <row r="216" spans="1:22">
      <c r="A216" t="s">
        <v>16842</v>
      </c>
      <c r="B216" t="s">
        <v>16842</v>
      </c>
      <c r="C216" t="s">
        <v>16878</v>
      </c>
      <c r="D216" t="s">
        <v>4517</v>
      </c>
      <c r="E216" t="s">
        <v>16770</v>
      </c>
      <c r="F216" t="s">
        <v>2655</v>
      </c>
      <c r="G216" t="s">
        <v>16889</v>
      </c>
      <c r="H216" t="s">
        <v>10689</v>
      </c>
      <c r="I216" t="s">
        <v>16890</v>
      </c>
      <c r="J216" t="s">
        <v>16891</v>
      </c>
      <c r="K216" t="s">
        <v>4517</v>
      </c>
      <c r="L216" t="s">
        <v>16842</v>
      </c>
      <c r="M216" t="s">
        <v>25</v>
      </c>
      <c r="N216" t="s">
        <v>16860</v>
      </c>
      <c r="S216" t="s">
        <v>4517</v>
      </c>
      <c r="T216" t="s">
        <v>16842</v>
      </c>
      <c r="U216" t="s">
        <v>4559</v>
      </c>
      <c r="V216" t="s">
        <v>16936</v>
      </c>
    </row>
    <row r="217" spans="1:22">
      <c r="A217" t="s">
        <v>16843</v>
      </c>
      <c r="B217" t="s">
        <v>16843</v>
      </c>
      <c r="C217" t="s">
        <v>16879</v>
      </c>
      <c r="D217" t="s">
        <v>4517</v>
      </c>
      <c r="E217" t="s">
        <v>16770</v>
      </c>
      <c r="F217" t="s">
        <v>2655</v>
      </c>
      <c r="G217" t="s">
        <v>16889</v>
      </c>
      <c r="H217" t="s">
        <v>10689</v>
      </c>
      <c r="I217" t="s">
        <v>16890</v>
      </c>
      <c r="J217" t="s">
        <v>16891</v>
      </c>
      <c r="K217" t="s">
        <v>4517</v>
      </c>
      <c r="L217" t="s">
        <v>16843</v>
      </c>
      <c r="M217" t="s">
        <v>25</v>
      </c>
      <c r="N217" t="s">
        <v>16861</v>
      </c>
      <c r="S217" t="s">
        <v>4517</v>
      </c>
      <c r="T217" t="s">
        <v>16843</v>
      </c>
      <c r="U217" t="s">
        <v>4559</v>
      </c>
      <c r="V217" t="s">
        <v>16937</v>
      </c>
    </row>
    <row r="218" spans="1:22">
      <c r="A218" t="s">
        <v>16844</v>
      </c>
      <c r="B218" t="s">
        <v>16844</v>
      </c>
      <c r="C218" t="s">
        <v>16880</v>
      </c>
      <c r="D218" t="s">
        <v>4517</v>
      </c>
      <c r="E218" t="s">
        <v>16770</v>
      </c>
      <c r="F218" t="s">
        <v>2655</v>
      </c>
      <c r="G218" t="s">
        <v>16889</v>
      </c>
      <c r="H218" t="s">
        <v>10689</v>
      </c>
      <c r="I218" t="s">
        <v>16890</v>
      </c>
      <c r="J218" t="s">
        <v>16891</v>
      </c>
      <c r="K218" t="s">
        <v>4517</v>
      </c>
      <c r="L218" t="s">
        <v>16844</v>
      </c>
      <c r="M218" t="s">
        <v>25</v>
      </c>
      <c r="N218" t="s">
        <v>16862</v>
      </c>
      <c r="S218" t="s">
        <v>4517</v>
      </c>
      <c r="T218" t="s">
        <v>16844</v>
      </c>
      <c r="U218" t="s">
        <v>4559</v>
      </c>
      <c r="V218" t="s">
        <v>16938</v>
      </c>
    </row>
    <row r="219" spans="1:22">
      <c r="A219" t="s">
        <v>16845</v>
      </c>
      <c r="B219" t="s">
        <v>16845</v>
      </c>
      <c r="C219" t="s">
        <v>16881</v>
      </c>
      <c r="D219" t="s">
        <v>4517</v>
      </c>
      <c r="E219" t="s">
        <v>16770</v>
      </c>
      <c r="F219" t="s">
        <v>2655</v>
      </c>
      <c r="G219" t="s">
        <v>16889</v>
      </c>
      <c r="H219" t="s">
        <v>10689</v>
      </c>
      <c r="I219" t="s">
        <v>16890</v>
      </c>
      <c r="J219" t="s">
        <v>16891</v>
      </c>
      <c r="K219" t="s">
        <v>4517</v>
      </c>
      <c r="L219" t="s">
        <v>16845</v>
      </c>
      <c r="M219" t="s">
        <v>25</v>
      </c>
      <c r="N219" t="s">
        <v>16863</v>
      </c>
      <c r="S219" t="s">
        <v>4517</v>
      </c>
      <c r="T219" t="s">
        <v>16845</v>
      </c>
      <c r="U219" t="s">
        <v>4559</v>
      </c>
      <c r="V219" t="s">
        <v>16939</v>
      </c>
    </row>
    <row r="220" spans="1:22">
      <c r="A220" t="s">
        <v>16846</v>
      </c>
      <c r="B220" t="s">
        <v>16846</v>
      </c>
      <c r="C220" t="s">
        <v>16882</v>
      </c>
      <c r="D220" t="s">
        <v>4517</v>
      </c>
      <c r="E220" t="s">
        <v>16770</v>
      </c>
      <c r="F220" t="s">
        <v>2655</v>
      </c>
      <c r="G220" t="s">
        <v>16889</v>
      </c>
      <c r="H220" t="s">
        <v>10689</v>
      </c>
      <c r="I220" t="s">
        <v>16890</v>
      </c>
      <c r="J220" t="s">
        <v>16891</v>
      </c>
      <c r="K220" t="s">
        <v>4517</v>
      </c>
      <c r="L220" t="s">
        <v>16846</v>
      </c>
      <c r="M220" t="s">
        <v>25</v>
      </c>
      <c r="N220" t="s">
        <v>16864</v>
      </c>
      <c r="S220" t="s">
        <v>4517</v>
      </c>
      <c r="T220" t="s">
        <v>16846</v>
      </c>
      <c r="U220" t="s">
        <v>4559</v>
      </c>
      <c r="V220" t="s">
        <v>16940</v>
      </c>
    </row>
    <row r="221" spans="1:22">
      <c r="A221" t="s">
        <v>16847</v>
      </c>
      <c r="B221" t="s">
        <v>16847</v>
      </c>
      <c r="C221" t="s">
        <v>16883</v>
      </c>
      <c r="D221" t="s">
        <v>4517</v>
      </c>
      <c r="E221" t="s">
        <v>16770</v>
      </c>
      <c r="F221" t="s">
        <v>2655</v>
      </c>
      <c r="G221" t="s">
        <v>16889</v>
      </c>
      <c r="H221" t="s">
        <v>10689</v>
      </c>
      <c r="I221" t="s">
        <v>16890</v>
      </c>
      <c r="J221" t="s">
        <v>16891</v>
      </c>
      <c r="K221" t="s">
        <v>4517</v>
      </c>
      <c r="L221" t="s">
        <v>16847</v>
      </c>
      <c r="M221" t="s">
        <v>25</v>
      </c>
      <c r="N221" t="s">
        <v>16865</v>
      </c>
      <c r="S221" t="s">
        <v>4517</v>
      </c>
      <c r="T221" t="s">
        <v>16847</v>
      </c>
      <c r="U221" t="s">
        <v>4559</v>
      </c>
      <c r="V221" t="s">
        <v>16941</v>
      </c>
    </row>
    <row r="222" spans="1:22">
      <c r="A222" t="s">
        <v>16848</v>
      </c>
      <c r="B222" t="s">
        <v>16848</v>
      </c>
      <c r="C222" t="s">
        <v>16884</v>
      </c>
      <c r="D222" t="s">
        <v>4517</v>
      </c>
      <c r="E222" t="s">
        <v>16770</v>
      </c>
      <c r="F222" t="s">
        <v>2655</v>
      </c>
      <c r="G222" t="s">
        <v>16889</v>
      </c>
      <c r="H222" t="s">
        <v>10689</v>
      </c>
      <c r="I222" t="s">
        <v>16890</v>
      </c>
      <c r="J222" t="s">
        <v>16891</v>
      </c>
      <c r="K222" t="s">
        <v>4517</v>
      </c>
      <c r="L222" t="s">
        <v>16848</v>
      </c>
      <c r="M222" t="s">
        <v>25</v>
      </c>
      <c r="N222" t="s">
        <v>16866</v>
      </c>
      <c r="S222" t="s">
        <v>4517</v>
      </c>
      <c r="T222" t="s">
        <v>16848</v>
      </c>
      <c r="U222" t="s">
        <v>4559</v>
      </c>
      <c r="V222" t="s">
        <v>16942</v>
      </c>
    </row>
    <row r="223" spans="1:22">
      <c r="A223" t="s">
        <v>16849</v>
      </c>
      <c r="B223" t="s">
        <v>16849</v>
      </c>
      <c r="C223" t="s">
        <v>16880</v>
      </c>
      <c r="D223" t="s">
        <v>4517</v>
      </c>
      <c r="E223" t="s">
        <v>16770</v>
      </c>
      <c r="F223" t="s">
        <v>2655</v>
      </c>
      <c r="G223" t="s">
        <v>16889</v>
      </c>
      <c r="H223" t="s">
        <v>10689</v>
      </c>
      <c r="I223" t="s">
        <v>16890</v>
      </c>
      <c r="J223" t="s">
        <v>16891</v>
      </c>
      <c r="K223" t="s">
        <v>4517</v>
      </c>
      <c r="L223" t="s">
        <v>16849</v>
      </c>
      <c r="M223" t="s">
        <v>25</v>
      </c>
      <c r="N223" t="s">
        <v>16867</v>
      </c>
    </row>
    <row r="224" spans="1:22">
      <c r="A224" t="s">
        <v>16850</v>
      </c>
      <c r="B224" t="s">
        <v>16850</v>
      </c>
      <c r="C224" t="s">
        <v>16885</v>
      </c>
      <c r="D224" t="s">
        <v>4517</v>
      </c>
      <c r="E224" t="s">
        <v>16770</v>
      </c>
      <c r="F224" t="s">
        <v>2655</v>
      </c>
      <c r="G224" t="s">
        <v>16889</v>
      </c>
      <c r="H224" t="s">
        <v>10689</v>
      </c>
      <c r="I224" t="s">
        <v>16890</v>
      </c>
      <c r="J224" t="s">
        <v>16891</v>
      </c>
      <c r="K224" t="s">
        <v>4517</v>
      </c>
      <c r="L224" t="s">
        <v>16850</v>
      </c>
      <c r="M224" t="s">
        <v>25</v>
      </c>
      <c r="N224" t="s">
        <v>16868</v>
      </c>
    </row>
    <row r="225" spans="1:27">
      <c r="A225" t="s">
        <v>16851</v>
      </c>
      <c r="B225" t="s">
        <v>16851</v>
      </c>
      <c r="C225" t="s">
        <v>16878</v>
      </c>
      <c r="D225" t="s">
        <v>4517</v>
      </c>
      <c r="E225" t="s">
        <v>16770</v>
      </c>
      <c r="F225" t="s">
        <v>2655</v>
      </c>
      <c r="G225" t="s">
        <v>16889</v>
      </c>
      <c r="H225" t="s">
        <v>10689</v>
      </c>
      <c r="I225" t="s">
        <v>16890</v>
      </c>
      <c r="J225" t="s">
        <v>16891</v>
      </c>
      <c r="K225" t="s">
        <v>4517</v>
      </c>
      <c r="L225" t="s">
        <v>16851</v>
      </c>
      <c r="M225" t="s">
        <v>25</v>
      </c>
      <c r="N225" t="s">
        <v>16869</v>
      </c>
    </row>
    <row r="226" spans="1:27">
      <c r="A226" t="s">
        <v>16852</v>
      </c>
      <c r="B226" t="s">
        <v>16852</v>
      </c>
      <c r="C226" t="s">
        <v>16886</v>
      </c>
      <c r="D226" t="s">
        <v>4517</v>
      </c>
      <c r="E226" t="s">
        <v>16770</v>
      </c>
      <c r="F226" t="s">
        <v>2655</v>
      </c>
      <c r="G226" t="s">
        <v>16889</v>
      </c>
      <c r="H226" t="s">
        <v>10689</v>
      </c>
      <c r="I226" t="s">
        <v>16890</v>
      </c>
      <c r="J226" t="s">
        <v>16891</v>
      </c>
      <c r="K226" t="s">
        <v>4517</v>
      </c>
      <c r="L226" t="s">
        <v>16852</v>
      </c>
      <c r="M226" t="s">
        <v>25</v>
      </c>
      <c r="N226" t="s">
        <v>16870</v>
      </c>
    </row>
    <row r="227" spans="1:27">
      <c r="A227" t="s">
        <v>16853</v>
      </c>
      <c r="B227" t="s">
        <v>16853</v>
      </c>
      <c r="C227" t="s">
        <v>16887</v>
      </c>
      <c r="D227" t="s">
        <v>4517</v>
      </c>
      <c r="E227" t="s">
        <v>16770</v>
      </c>
      <c r="F227" t="s">
        <v>2655</v>
      </c>
      <c r="G227" t="s">
        <v>16889</v>
      </c>
      <c r="H227" t="s">
        <v>10689</v>
      </c>
      <c r="I227" t="s">
        <v>16890</v>
      </c>
      <c r="J227" t="s">
        <v>16891</v>
      </c>
      <c r="K227" t="s">
        <v>4517</v>
      </c>
      <c r="L227" t="s">
        <v>16853</v>
      </c>
      <c r="M227" t="s">
        <v>25</v>
      </c>
      <c r="N227" t="s">
        <v>16871</v>
      </c>
      <c r="S227" t="s">
        <v>4517</v>
      </c>
      <c r="T227" t="s">
        <v>16853</v>
      </c>
      <c r="U227" t="s">
        <v>4559</v>
      </c>
      <c r="V227" t="s">
        <v>16943</v>
      </c>
    </row>
    <row r="228" spans="1:27">
      <c r="A228" t="s">
        <v>16854</v>
      </c>
      <c r="B228" t="s">
        <v>16854</v>
      </c>
      <c r="C228" t="s">
        <v>16888</v>
      </c>
      <c r="D228" t="s">
        <v>4517</v>
      </c>
      <c r="E228" t="s">
        <v>16770</v>
      </c>
      <c r="F228" t="s">
        <v>2655</v>
      </c>
      <c r="G228" t="s">
        <v>16889</v>
      </c>
      <c r="H228" t="s">
        <v>10689</v>
      </c>
      <c r="I228" t="s">
        <v>16890</v>
      </c>
      <c r="J228" t="s">
        <v>16891</v>
      </c>
      <c r="K228" t="s">
        <v>4517</v>
      </c>
      <c r="L228" t="s">
        <v>16854</v>
      </c>
      <c r="M228" t="s">
        <v>25</v>
      </c>
      <c r="N228" t="s">
        <v>16872</v>
      </c>
      <c r="S228" t="s">
        <v>4517</v>
      </c>
      <c r="T228" t="s">
        <v>16854</v>
      </c>
      <c r="U228" t="s">
        <v>4559</v>
      </c>
      <c r="V228" t="s">
        <v>16944</v>
      </c>
    </row>
    <row r="229" spans="1:27">
      <c r="A229" t="s">
        <v>16855</v>
      </c>
      <c r="B229" t="s">
        <v>16855</v>
      </c>
      <c r="C229" t="s">
        <v>16877</v>
      </c>
      <c r="D229" t="s">
        <v>4517</v>
      </c>
      <c r="E229" t="s">
        <v>16770</v>
      </c>
      <c r="F229" t="s">
        <v>2655</v>
      </c>
      <c r="G229" t="s">
        <v>16889</v>
      </c>
      <c r="H229" t="s">
        <v>10689</v>
      </c>
      <c r="I229" t="s">
        <v>16890</v>
      </c>
      <c r="J229" t="s">
        <v>16891</v>
      </c>
      <c r="K229" t="s">
        <v>4517</v>
      </c>
      <c r="L229" t="s">
        <v>16855</v>
      </c>
      <c r="M229" t="s">
        <v>25</v>
      </c>
      <c r="N229" t="s">
        <v>16873</v>
      </c>
      <c r="S229" t="s">
        <v>4517</v>
      </c>
      <c r="T229" t="s">
        <v>16855</v>
      </c>
      <c r="U229" t="s">
        <v>4559</v>
      </c>
      <c r="V229" t="s">
        <v>16945</v>
      </c>
    </row>
    <row r="230" spans="1:27">
      <c r="A230" t="s">
        <v>16856</v>
      </c>
      <c r="B230" t="s">
        <v>16856</v>
      </c>
      <c r="C230" t="s">
        <v>16875</v>
      </c>
      <c r="D230" t="s">
        <v>4517</v>
      </c>
      <c r="E230" t="s">
        <v>16770</v>
      </c>
      <c r="F230" t="s">
        <v>2655</v>
      </c>
      <c r="G230" t="s">
        <v>16889</v>
      </c>
      <c r="H230" t="s">
        <v>10689</v>
      </c>
      <c r="I230" t="s">
        <v>16890</v>
      </c>
      <c r="J230" t="s">
        <v>16891</v>
      </c>
      <c r="K230" t="s">
        <v>4517</v>
      </c>
      <c r="L230" t="s">
        <v>16856</v>
      </c>
      <c r="M230" t="s">
        <v>25</v>
      </c>
      <c r="N230" t="s">
        <v>16874</v>
      </c>
      <c r="S230" t="s">
        <v>4517</v>
      </c>
      <c r="T230" t="s">
        <v>16856</v>
      </c>
      <c r="U230" t="s">
        <v>4559</v>
      </c>
      <c r="V230" t="s">
        <v>16946</v>
      </c>
    </row>
    <row r="231" spans="1:27">
      <c r="A231" t="s">
        <v>16917</v>
      </c>
      <c r="B231" t="s">
        <v>16917</v>
      </c>
      <c r="C231" t="s">
        <v>16909</v>
      </c>
      <c r="D231" t="s">
        <v>4517</v>
      </c>
      <c r="E231" t="s">
        <v>16925</v>
      </c>
      <c r="F231" t="s">
        <v>2655</v>
      </c>
      <c r="G231" t="s">
        <v>16926</v>
      </c>
      <c r="H231" t="s">
        <v>6243</v>
      </c>
      <c r="I231" t="s">
        <v>16927</v>
      </c>
      <c r="J231" t="s">
        <v>16892</v>
      </c>
      <c r="K231" t="s">
        <v>4517</v>
      </c>
      <c r="L231" t="s">
        <v>16893</v>
      </c>
      <c r="M231" t="s">
        <v>25</v>
      </c>
      <c r="N231" t="s">
        <v>16901</v>
      </c>
      <c r="S231" t="s">
        <v>4517</v>
      </c>
      <c r="T231" t="s">
        <v>16893</v>
      </c>
      <c r="U231" t="s">
        <v>4559</v>
      </c>
      <c r="V231" t="s">
        <v>16928</v>
      </c>
    </row>
    <row r="232" spans="1:27">
      <c r="A232" t="s">
        <v>16918</v>
      </c>
      <c r="B232" t="s">
        <v>16918</v>
      </c>
      <c r="C232" t="s">
        <v>16910</v>
      </c>
      <c r="D232" t="s">
        <v>4517</v>
      </c>
      <c r="E232" t="s">
        <v>16925</v>
      </c>
      <c r="F232" t="s">
        <v>2655</v>
      </c>
      <c r="G232" t="s">
        <v>16926</v>
      </c>
      <c r="H232" t="s">
        <v>6243</v>
      </c>
      <c r="I232" t="s">
        <v>16927</v>
      </c>
      <c r="J232" t="s">
        <v>16892</v>
      </c>
      <c r="K232" t="s">
        <v>4517</v>
      </c>
      <c r="L232" t="s">
        <v>16894</v>
      </c>
      <c r="M232" t="s">
        <v>25</v>
      </c>
      <c r="N232" t="s">
        <v>16902</v>
      </c>
      <c r="S232" t="s">
        <v>4517</v>
      </c>
      <c r="T232" t="s">
        <v>16894</v>
      </c>
      <c r="U232" t="s">
        <v>4559</v>
      </c>
      <c r="V232" t="s">
        <v>16929</v>
      </c>
    </row>
    <row r="233" spans="1:27">
      <c r="A233" t="s">
        <v>16919</v>
      </c>
      <c r="B233" t="s">
        <v>16919</v>
      </c>
      <c r="C233" t="s">
        <v>16911</v>
      </c>
      <c r="D233" t="s">
        <v>4517</v>
      </c>
      <c r="E233" t="s">
        <v>16925</v>
      </c>
      <c r="F233" t="s">
        <v>2655</v>
      </c>
      <c r="G233" t="s">
        <v>16926</v>
      </c>
      <c r="H233" t="s">
        <v>6243</v>
      </c>
      <c r="I233" t="s">
        <v>16927</v>
      </c>
      <c r="J233" t="s">
        <v>16892</v>
      </c>
      <c r="K233" t="s">
        <v>4517</v>
      </c>
      <c r="L233" t="s">
        <v>16895</v>
      </c>
      <c r="M233" t="s">
        <v>25</v>
      </c>
      <c r="N233" t="s">
        <v>16903</v>
      </c>
    </row>
    <row r="234" spans="1:27">
      <c r="A234" t="s">
        <v>16920</v>
      </c>
      <c r="B234" t="s">
        <v>16920</v>
      </c>
      <c r="C234" t="s">
        <v>16912</v>
      </c>
      <c r="D234" t="s">
        <v>4517</v>
      </c>
      <c r="E234" t="s">
        <v>16925</v>
      </c>
      <c r="F234" t="s">
        <v>2655</v>
      </c>
      <c r="G234" t="s">
        <v>16926</v>
      </c>
      <c r="H234" t="s">
        <v>6243</v>
      </c>
      <c r="I234" t="s">
        <v>16927</v>
      </c>
      <c r="J234" t="s">
        <v>16892</v>
      </c>
      <c r="K234" t="s">
        <v>4517</v>
      </c>
      <c r="L234" t="s">
        <v>16896</v>
      </c>
      <c r="M234" t="s">
        <v>25</v>
      </c>
      <c r="N234" t="s">
        <v>16904</v>
      </c>
      <c r="S234" t="s">
        <v>4517</v>
      </c>
      <c r="T234" t="s">
        <v>16896</v>
      </c>
      <c r="U234" t="s">
        <v>4559</v>
      </c>
      <c r="V234" t="s">
        <v>16930</v>
      </c>
    </row>
    <row r="235" spans="1:27">
      <c r="A235" t="s">
        <v>16921</v>
      </c>
      <c r="B235" t="s">
        <v>16921</v>
      </c>
      <c r="C235" t="s">
        <v>16913</v>
      </c>
      <c r="D235" t="s">
        <v>4517</v>
      </c>
      <c r="E235" t="s">
        <v>16925</v>
      </c>
      <c r="F235" t="s">
        <v>2655</v>
      </c>
      <c r="G235" t="s">
        <v>16926</v>
      </c>
      <c r="H235" t="s">
        <v>6243</v>
      </c>
      <c r="I235" t="s">
        <v>16927</v>
      </c>
      <c r="J235" t="s">
        <v>16892</v>
      </c>
      <c r="K235" t="s">
        <v>4517</v>
      </c>
      <c r="L235" t="s">
        <v>16897</v>
      </c>
      <c r="M235" t="s">
        <v>25</v>
      </c>
      <c r="N235" t="s">
        <v>16905</v>
      </c>
    </row>
    <row r="236" spans="1:27">
      <c r="A236" t="s">
        <v>16922</v>
      </c>
      <c r="B236" t="s">
        <v>16922</v>
      </c>
      <c r="C236" t="s">
        <v>16914</v>
      </c>
      <c r="D236" t="s">
        <v>4517</v>
      </c>
      <c r="E236" t="s">
        <v>16925</v>
      </c>
      <c r="F236" t="s">
        <v>2655</v>
      </c>
      <c r="G236" t="s">
        <v>16926</v>
      </c>
      <c r="H236" t="s">
        <v>6243</v>
      </c>
      <c r="I236" t="s">
        <v>16927</v>
      </c>
      <c r="J236" t="s">
        <v>16892</v>
      </c>
      <c r="K236" t="s">
        <v>4517</v>
      </c>
      <c r="L236" t="s">
        <v>16898</v>
      </c>
      <c r="M236" t="s">
        <v>25</v>
      </c>
      <c r="N236" t="s">
        <v>16906</v>
      </c>
      <c r="S236" t="s">
        <v>4517</v>
      </c>
      <c r="T236" t="s">
        <v>16898</v>
      </c>
      <c r="U236" t="s">
        <v>4559</v>
      </c>
      <c r="V236" t="s">
        <v>16932</v>
      </c>
    </row>
    <row r="237" spans="1:27">
      <c r="A237" t="s">
        <v>16923</v>
      </c>
      <c r="B237" t="s">
        <v>16923</v>
      </c>
      <c r="C237" t="s">
        <v>16915</v>
      </c>
      <c r="D237" t="s">
        <v>4517</v>
      </c>
      <c r="E237" t="s">
        <v>16925</v>
      </c>
      <c r="F237" t="s">
        <v>2655</v>
      </c>
      <c r="G237" t="s">
        <v>16926</v>
      </c>
      <c r="H237" t="s">
        <v>6243</v>
      </c>
      <c r="I237" t="s">
        <v>16927</v>
      </c>
      <c r="J237" t="s">
        <v>16892</v>
      </c>
      <c r="K237" t="s">
        <v>4517</v>
      </c>
      <c r="L237" t="s">
        <v>16899</v>
      </c>
      <c r="M237" t="s">
        <v>25</v>
      </c>
      <c r="N237" t="s">
        <v>16907</v>
      </c>
    </row>
    <row r="238" spans="1:27">
      <c r="A238" t="s">
        <v>16924</v>
      </c>
      <c r="B238" t="s">
        <v>16924</v>
      </c>
      <c r="C238" t="s">
        <v>16916</v>
      </c>
      <c r="D238" t="s">
        <v>4517</v>
      </c>
      <c r="E238" t="s">
        <v>16925</v>
      </c>
      <c r="F238" t="s">
        <v>2655</v>
      </c>
      <c r="G238" t="s">
        <v>16926</v>
      </c>
      <c r="H238" t="s">
        <v>6243</v>
      </c>
      <c r="I238" t="s">
        <v>16927</v>
      </c>
      <c r="J238" t="s">
        <v>16892</v>
      </c>
      <c r="K238" t="s">
        <v>4517</v>
      </c>
      <c r="L238" t="s">
        <v>16900</v>
      </c>
      <c r="M238" t="s">
        <v>25</v>
      </c>
      <c r="N238" t="s">
        <v>16908</v>
      </c>
      <c r="S238" t="s">
        <v>4517</v>
      </c>
      <c r="T238" t="s">
        <v>16900</v>
      </c>
      <c r="U238" t="s">
        <v>4559</v>
      </c>
      <c r="V238" t="s">
        <v>16931</v>
      </c>
    </row>
    <row r="239" spans="1:27">
      <c r="A239" t="s">
        <v>17942</v>
      </c>
      <c r="B239" t="s">
        <v>17942</v>
      </c>
      <c r="C239" t="s">
        <v>17951</v>
      </c>
      <c r="D239" t="s">
        <v>4517</v>
      </c>
      <c r="E239" t="s">
        <v>17960</v>
      </c>
      <c r="F239" t="s">
        <v>2655</v>
      </c>
      <c r="G239" t="s">
        <v>17941</v>
      </c>
      <c r="H239" t="s">
        <v>6736</v>
      </c>
      <c r="I239" t="s">
        <v>17939</v>
      </c>
      <c r="J239" t="s">
        <v>17940</v>
      </c>
      <c r="K239" t="s">
        <v>4517</v>
      </c>
      <c r="L239" t="s">
        <v>17962</v>
      </c>
      <c r="M239" t="s">
        <v>25</v>
      </c>
      <c r="N239" t="s">
        <v>17961</v>
      </c>
      <c r="S239" t="s">
        <v>4517</v>
      </c>
      <c r="T239" t="s">
        <v>17962</v>
      </c>
      <c r="U239" t="s">
        <v>4559</v>
      </c>
      <c r="V239" t="s">
        <v>18527</v>
      </c>
      <c r="AA239" t="s">
        <v>4727</v>
      </c>
    </row>
    <row r="240" spans="1:27">
      <c r="A240" t="s">
        <v>17943</v>
      </c>
      <c r="B240" t="s">
        <v>17943</v>
      </c>
      <c r="C240" t="s">
        <v>17952</v>
      </c>
      <c r="D240" t="s">
        <v>4517</v>
      </c>
      <c r="E240" t="s">
        <v>17960</v>
      </c>
      <c r="F240" t="s">
        <v>2655</v>
      </c>
      <c r="G240" t="s">
        <v>17941</v>
      </c>
      <c r="H240" t="s">
        <v>6736</v>
      </c>
      <c r="I240" t="s">
        <v>17939</v>
      </c>
      <c r="J240" t="s">
        <v>17940</v>
      </c>
      <c r="K240" t="s">
        <v>4517</v>
      </c>
      <c r="L240" t="s">
        <v>17964</v>
      </c>
      <c r="M240" t="s">
        <v>25</v>
      </c>
      <c r="N240" t="s">
        <v>17963</v>
      </c>
    </row>
    <row r="241" spans="1:27">
      <c r="A241" t="s">
        <v>17944</v>
      </c>
      <c r="B241" t="s">
        <v>17944</v>
      </c>
      <c r="C241" t="s">
        <v>17953</v>
      </c>
      <c r="D241" t="s">
        <v>4517</v>
      </c>
      <c r="E241" t="s">
        <v>17960</v>
      </c>
      <c r="F241" t="s">
        <v>2655</v>
      </c>
      <c r="G241" t="s">
        <v>17941</v>
      </c>
      <c r="H241" t="s">
        <v>6736</v>
      </c>
      <c r="I241" t="s">
        <v>17939</v>
      </c>
      <c r="J241" t="s">
        <v>17940</v>
      </c>
      <c r="K241" t="s">
        <v>4517</v>
      </c>
      <c r="L241" t="s">
        <v>17966</v>
      </c>
      <c r="M241" t="s">
        <v>25</v>
      </c>
      <c r="N241" t="s">
        <v>17965</v>
      </c>
    </row>
    <row r="242" spans="1:27">
      <c r="A242" t="s">
        <v>17945</v>
      </c>
      <c r="B242" t="s">
        <v>17945</v>
      </c>
      <c r="C242" t="s">
        <v>17954</v>
      </c>
      <c r="D242" t="s">
        <v>4517</v>
      </c>
      <c r="E242" t="s">
        <v>17960</v>
      </c>
      <c r="F242" t="s">
        <v>2655</v>
      </c>
      <c r="G242" t="s">
        <v>17941</v>
      </c>
      <c r="H242" t="s">
        <v>6736</v>
      </c>
      <c r="I242" t="s">
        <v>17939</v>
      </c>
      <c r="J242" t="s">
        <v>17940</v>
      </c>
      <c r="K242" t="s">
        <v>4517</v>
      </c>
      <c r="L242" t="s">
        <v>17968</v>
      </c>
      <c r="M242" t="s">
        <v>25</v>
      </c>
      <c r="N242" t="s">
        <v>17967</v>
      </c>
    </row>
    <row r="243" spans="1:27">
      <c r="A243" t="s">
        <v>17946</v>
      </c>
      <c r="B243" t="s">
        <v>17946</v>
      </c>
      <c r="C243" t="s">
        <v>17955</v>
      </c>
      <c r="D243" t="s">
        <v>4517</v>
      </c>
      <c r="E243" t="s">
        <v>17960</v>
      </c>
      <c r="F243" t="s">
        <v>2655</v>
      </c>
      <c r="G243" t="s">
        <v>17941</v>
      </c>
      <c r="H243" t="s">
        <v>6736</v>
      </c>
      <c r="I243" t="s">
        <v>17939</v>
      </c>
      <c r="J243" t="s">
        <v>17940</v>
      </c>
      <c r="K243" t="s">
        <v>4517</v>
      </c>
      <c r="M243" t="s">
        <v>25</v>
      </c>
    </row>
    <row r="244" spans="1:27">
      <c r="A244" t="s">
        <v>17947</v>
      </c>
      <c r="B244" t="s">
        <v>17947</v>
      </c>
      <c r="C244" t="s">
        <v>17956</v>
      </c>
      <c r="D244" t="s">
        <v>4517</v>
      </c>
      <c r="E244" t="s">
        <v>17960</v>
      </c>
      <c r="F244" t="s">
        <v>2655</v>
      </c>
      <c r="G244" t="s">
        <v>17941</v>
      </c>
      <c r="H244" t="s">
        <v>6736</v>
      </c>
      <c r="I244" t="s">
        <v>17939</v>
      </c>
      <c r="J244" t="s">
        <v>17940</v>
      </c>
      <c r="K244" t="s">
        <v>4517</v>
      </c>
      <c r="M244" t="s">
        <v>25</v>
      </c>
    </row>
    <row r="245" spans="1:27">
      <c r="A245" t="s">
        <v>17948</v>
      </c>
      <c r="B245" t="s">
        <v>17948</v>
      </c>
      <c r="C245" t="s">
        <v>17957</v>
      </c>
      <c r="D245" t="s">
        <v>4517</v>
      </c>
      <c r="E245" t="s">
        <v>17960</v>
      </c>
      <c r="F245" t="s">
        <v>2655</v>
      </c>
      <c r="G245" t="s">
        <v>17941</v>
      </c>
      <c r="H245" t="s">
        <v>6736</v>
      </c>
      <c r="I245" t="s">
        <v>17939</v>
      </c>
      <c r="J245" t="s">
        <v>17940</v>
      </c>
      <c r="K245" t="s">
        <v>4517</v>
      </c>
      <c r="M245" t="s">
        <v>25</v>
      </c>
    </row>
    <row r="246" spans="1:27">
      <c r="A246" t="s">
        <v>17949</v>
      </c>
      <c r="B246" t="s">
        <v>17949</v>
      </c>
      <c r="C246" t="s">
        <v>17958</v>
      </c>
      <c r="D246" t="s">
        <v>4517</v>
      </c>
      <c r="E246" t="s">
        <v>17960</v>
      </c>
      <c r="F246" t="s">
        <v>2655</v>
      </c>
      <c r="G246" t="s">
        <v>17941</v>
      </c>
      <c r="H246" t="s">
        <v>6736</v>
      </c>
      <c r="I246" t="s">
        <v>17939</v>
      </c>
      <c r="J246" t="s">
        <v>17940</v>
      </c>
      <c r="K246" t="s">
        <v>4517</v>
      </c>
      <c r="M246" t="s">
        <v>25</v>
      </c>
    </row>
    <row r="247" spans="1:27">
      <c r="A247" t="s">
        <v>17950</v>
      </c>
      <c r="B247" t="s">
        <v>17950</v>
      </c>
      <c r="C247" t="s">
        <v>17959</v>
      </c>
      <c r="D247" t="s">
        <v>4517</v>
      </c>
      <c r="E247" t="s">
        <v>17960</v>
      </c>
      <c r="F247" t="s">
        <v>2655</v>
      </c>
      <c r="G247" t="s">
        <v>17941</v>
      </c>
      <c r="H247" t="s">
        <v>6736</v>
      </c>
      <c r="I247" t="s">
        <v>17939</v>
      </c>
      <c r="J247" t="s">
        <v>17940</v>
      </c>
      <c r="K247" t="s">
        <v>4517</v>
      </c>
      <c r="L247" t="s">
        <v>17970</v>
      </c>
      <c r="M247" t="s">
        <v>25</v>
      </c>
      <c r="N247" t="s">
        <v>17969</v>
      </c>
    </row>
    <row r="248" spans="1:27">
      <c r="A248" t="s">
        <v>18015</v>
      </c>
      <c r="B248" t="s">
        <v>18015</v>
      </c>
      <c r="C248" t="s">
        <v>18014</v>
      </c>
      <c r="D248" t="s">
        <v>16822</v>
      </c>
      <c r="E248" t="s">
        <v>18013</v>
      </c>
      <c r="F248" t="s">
        <v>18011</v>
      </c>
      <c r="G248" t="s">
        <v>18012</v>
      </c>
      <c r="H248" t="s">
        <v>10689</v>
      </c>
      <c r="I248" t="s">
        <v>18010</v>
      </c>
      <c r="J248" t="s">
        <v>18009</v>
      </c>
      <c r="K248" t="s">
        <v>16822</v>
      </c>
      <c r="L248" t="s">
        <v>18528</v>
      </c>
      <c r="M248" t="s">
        <v>25</v>
      </c>
      <c r="N248" t="s">
        <v>18008</v>
      </c>
      <c r="S248" t="s">
        <v>18529</v>
      </c>
      <c r="T248" t="s">
        <v>18528</v>
      </c>
      <c r="U248" t="s">
        <v>4559</v>
      </c>
      <c r="V248" t="s">
        <v>18530</v>
      </c>
      <c r="AA248" t="s">
        <v>4727</v>
      </c>
    </row>
    <row r="249" spans="1:27">
      <c r="A249" t="s">
        <v>18541</v>
      </c>
      <c r="B249" t="s">
        <v>18541</v>
      </c>
      <c r="C249" t="s">
        <v>18554</v>
      </c>
      <c r="D249" t="s">
        <v>4517</v>
      </c>
      <c r="E249" t="s">
        <v>4553</v>
      </c>
      <c r="F249" t="s">
        <v>2655</v>
      </c>
      <c r="G249" t="s">
        <v>14046</v>
      </c>
      <c r="H249" t="s">
        <v>4376</v>
      </c>
      <c r="I249" t="s">
        <v>8877</v>
      </c>
      <c r="J249" t="s">
        <v>16891</v>
      </c>
      <c r="K249" t="s">
        <v>4517</v>
      </c>
      <c r="L249" t="s">
        <v>18541</v>
      </c>
      <c r="M249" t="s">
        <v>25</v>
      </c>
      <c r="N249" t="s">
        <v>18568</v>
      </c>
      <c r="S249" t="s">
        <v>4517</v>
      </c>
      <c r="T249" t="s">
        <v>18541</v>
      </c>
      <c r="U249" t="s">
        <v>4559</v>
      </c>
      <c r="V249" t="s">
        <v>18591</v>
      </c>
    </row>
    <row r="250" spans="1:27">
      <c r="A250" t="s">
        <v>18586</v>
      </c>
      <c r="B250" t="s">
        <v>18586</v>
      </c>
      <c r="C250" t="s">
        <v>18555</v>
      </c>
      <c r="D250" t="s">
        <v>4517</v>
      </c>
      <c r="E250" t="s">
        <v>4553</v>
      </c>
      <c r="F250" t="s">
        <v>2655</v>
      </c>
      <c r="G250" t="s">
        <v>14046</v>
      </c>
      <c r="H250" t="s">
        <v>4376</v>
      </c>
      <c r="I250" t="s">
        <v>8877</v>
      </c>
      <c r="J250" t="s">
        <v>16891</v>
      </c>
      <c r="K250" t="s">
        <v>4517</v>
      </c>
      <c r="L250" t="s">
        <v>18586</v>
      </c>
      <c r="M250" t="s">
        <v>25</v>
      </c>
      <c r="N250" t="s">
        <v>18581</v>
      </c>
      <c r="S250" t="s">
        <v>4517</v>
      </c>
      <c r="T250" t="s">
        <v>18586</v>
      </c>
      <c r="U250" t="s">
        <v>4559</v>
      </c>
      <c r="V250" t="s">
        <v>18592</v>
      </c>
    </row>
    <row r="251" spans="1:27">
      <c r="A251" t="s">
        <v>18587</v>
      </c>
      <c r="B251" t="s">
        <v>18587</v>
      </c>
      <c r="C251" t="s">
        <v>18556</v>
      </c>
      <c r="D251" t="s">
        <v>4517</v>
      </c>
      <c r="E251" t="s">
        <v>4553</v>
      </c>
      <c r="F251" t="s">
        <v>2655</v>
      </c>
      <c r="G251" t="s">
        <v>14046</v>
      </c>
      <c r="H251" t="s">
        <v>4376</v>
      </c>
      <c r="I251" t="s">
        <v>8877</v>
      </c>
      <c r="J251" t="s">
        <v>16891</v>
      </c>
      <c r="K251" t="s">
        <v>4517</v>
      </c>
      <c r="L251" t="s">
        <v>18587</v>
      </c>
      <c r="M251" t="s">
        <v>25</v>
      </c>
      <c r="N251" t="s">
        <v>18582</v>
      </c>
      <c r="S251" t="s">
        <v>4517</v>
      </c>
      <c r="T251" t="s">
        <v>18587</v>
      </c>
      <c r="U251" t="s">
        <v>4559</v>
      </c>
      <c r="V251" t="s">
        <v>18593</v>
      </c>
    </row>
    <row r="252" spans="1:27">
      <c r="A252" t="s">
        <v>18588</v>
      </c>
      <c r="B252" t="s">
        <v>18588</v>
      </c>
      <c r="C252" t="s">
        <v>18557</v>
      </c>
      <c r="D252" t="s">
        <v>4517</v>
      </c>
      <c r="E252" t="s">
        <v>4553</v>
      </c>
      <c r="F252" t="s">
        <v>2655</v>
      </c>
      <c r="G252" t="s">
        <v>14046</v>
      </c>
      <c r="H252" t="s">
        <v>4376</v>
      </c>
      <c r="I252" t="s">
        <v>8877</v>
      </c>
      <c r="J252" t="s">
        <v>16891</v>
      </c>
      <c r="K252" t="s">
        <v>4517</v>
      </c>
      <c r="L252" t="s">
        <v>18588</v>
      </c>
      <c r="M252" t="s">
        <v>25</v>
      </c>
      <c r="N252" t="s">
        <v>18583</v>
      </c>
      <c r="S252" t="s">
        <v>4517</v>
      </c>
      <c r="T252" t="s">
        <v>18588</v>
      </c>
      <c r="U252" t="s">
        <v>4559</v>
      </c>
      <c r="V252" t="s">
        <v>18594</v>
      </c>
    </row>
    <row r="253" spans="1:27">
      <c r="A253" t="s">
        <v>18542</v>
      </c>
      <c r="B253" t="s">
        <v>18542</v>
      </c>
      <c r="C253" t="s">
        <v>18558</v>
      </c>
      <c r="D253" t="s">
        <v>4517</v>
      </c>
      <c r="E253" t="s">
        <v>4553</v>
      </c>
      <c r="F253" t="s">
        <v>2655</v>
      </c>
      <c r="G253" t="s">
        <v>14046</v>
      </c>
      <c r="H253" t="s">
        <v>4376</v>
      </c>
      <c r="I253" t="s">
        <v>8877</v>
      </c>
      <c r="J253" t="s">
        <v>16891</v>
      </c>
      <c r="K253" t="s">
        <v>4517</v>
      </c>
      <c r="L253" t="s">
        <v>18542</v>
      </c>
      <c r="M253" t="s">
        <v>25</v>
      </c>
      <c r="N253" t="s">
        <v>18569</v>
      </c>
    </row>
    <row r="254" spans="1:27">
      <c r="A254" t="s">
        <v>18543</v>
      </c>
      <c r="B254" t="s">
        <v>18543</v>
      </c>
      <c r="C254" t="s">
        <v>18559</v>
      </c>
      <c r="D254" t="s">
        <v>4517</v>
      </c>
      <c r="E254" t="s">
        <v>4553</v>
      </c>
      <c r="F254" t="s">
        <v>2655</v>
      </c>
      <c r="G254" t="s">
        <v>14046</v>
      </c>
      <c r="H254" t="s">
        <v>4376</v>
      </c>
      <c r="I254" t="s">
        <v>8877</v>
      </c>
      <c r="J254" t="s">
        <v>16891</v>
      </c>
      <c r="K254" t="s">
        <v>4517</v>
      </c>
      <c r="L254" t="s">
        <v>18543</v>
      </c>
      <c r="M254" t="s">
        <v>25</v>
      </c>
      <c r="N254" t="s">
        <v>18570</v>
      </c>
      <c r="S254" t="s">
        <v>4517</v>
      </c>
      <c r="T254" t="s">
        <v>18543</v>
      </c>
      <c r="U254" t="s">
        <v>4559</v>
      </c>
      <c r="V254" t="s">
        <v>18595</v>
      </c>
    </row>
    <row r="255" spans="1:27">
      <c r="A255" t="s">
        <v>18544</v>
      </c>
      <c r="B255" t="s">
        <v>18544</v>
      </c>
      <c r="C255" t="s">
        <v>18560</v>
      </c>
      <c r="D255" t="s">
        <v>4517</v>
      </c>
      <c r="E255" t="s">
        <v>4553</v>
      </c>
      <c r="F255" t="s">
        <v>2655</v>
      </c>
      <c r="G255" t="s">
        <v>14046</v>
      </c>
      <c r="H255" t="s">
        <v>4376</v>
      </c>
      <c r="I255" t="s">
        <v>8877</v>
      </c>
      <c r="J255" t="s">
        <v>16891</v>
      </c>
      <c r="K255" t="s">
        <v>4517</v>
      </c>
      <c r="L255" t="s">
        <v>18544</v>
      </c>
      <c r="M255" t="s">
        <v>25</v>
      </c>
      <c r="N255" t="s">
        <v>18571</v>
      </c>
      <c r="S255" t="s">
        <v>4517</v>
      </c>
      <c r="T255" t="s">
        <v>18544</v>
      </c>
      <c r="U255" t="s">
        <v>4559</v>
      </c>
      <c r="V255" t="s">
        <v>18596</v>
      </c>
    </row>
    <row r="256" spans="1:27">
      <c r="A256" t="s">
        <v>18589</v>
      </c>
      <c r="B256" t="s">
        <v>18589</v>
      </c>
      <c r="C256" t="s">
        <v>18561</v>
      </c>
      <c r="D256" t="s">
        <v>4517</v>
      </c>
      <c r="E256" t="s">
        <v>4553</v>
      </c>
      <c r="F256" t="s">
        <v>2655</v>
      </c>
      <c r="G256" t="s">
        <v>14046</v>
      </c>
      <c r="H256" t="s">
        <v>4376</v>
      </c>
      <c r="I256" t="s">
        <v>8877</v>
      </c>
      <c r="J256" t="s">
        <v>16891</v>
      </c>
      <c r="K256" t="s">
        <v>4517</v>
      </c>
      <c r="L256" t="s">
        <v>18589</v>
      </c>
      <c r="M256" t="s">
        <v>25</v>
      </c>
      <c r="N256" t="s">
        <v>18584</v>
      </c>
      <c r="S256" t="s">
        <v>4517</v>
      </c>
      <c r="T256" t="s">
        <v>18589</v>
      </c>
      <c r="U256" t="s">
        <v>4559</v>
      </c>
      <c r="V256" t="s">
        <v>18597</v>
      </c>
    </row>
    <row r="257" spans="1:27">
      <c r="A257" t="s">
        <v>18590</v>
      </c>
      <c r="B257" t="s">
        <v>18590</v>
      </c>
      <c r="C257" t="s">
        <v>18562</v>
      </c>
      <c r="D257" t="s">
        <v>4517</v>
      </c>
      <c r="E257" t="s">
        <v>4553</v>
      </c>
      <c r="F257" t="s">
        <v>2655</v>
      </c>
      <c r="G257" t="s">
        <v>14046</v>
      </c>
      <c r="H257" t="s">
        <v>4376</v>
      </c>
      <c r="I257" t="s">
        <v>8877</v>
      </c>
      <c r="J257" t="s">
        <v>16891</v>
      </c>
      <c r="K257" t="s">
        <v>4517</v>
      </c>
      <c r="L257" t="s">
        <v>18590</v>
      </c>
      <c r="M257" t="s">
        <v>25</v>
      </c>
      <c r="N257" t="s">
        <v>18585</v>
      </c>
      <c r="S257" t="s">
        <v>4517</v>
      </c>
      <c r="T257" t="s">
        <v>18590</v>
      </c>
      <c r="U257" t="s">
        <v>4559</v>
      </c>
      <c r="V257" t="s">
        <v>18594</v>
      </c>
    </row>
    <row r="258" spans="1:27">
      <c r="A258" t="s">
        <v>18545</v>
      </c>
      <c r="B258" t="s">
        <v>18545</v>
      </c>
      <c r="C258" t="s">
        <v>18563</v>
      </c>
      <c r="D258" t="s">
        <v>4517</v>
      </c>
      <c r="E258" t="s">
        <v>4553</v>
      </c>
      <c r="F258" t="s">
        <v>2655</v>
      </c>
      <c r="G258" t="s">
        <v>14046</v>
      </c>
      <c r="H258" t="s">
        <v>4376</v>
      </c>
      <c r="I258" t="s">
        <v>8877</v>
      </c>
      <c r="J258" t="s">
        <v>16891</v>
      </c>
      <c r="K258" t="s">
        <v>4517</v>
      </c>
      <c r="L258" t="s">
        <v>18545</v>
      </c>
      <c r="M258" t="s">
        <v>25</v>
      </c>
      <c r="N258" t="s">
        <v>18572</v>
      </c>
      <c r="S258" t="s">
        <v>4517</v>
      </c>
      <c r="T258" t="s">
        <v>18545</v>
      </c>
      <c r="U258" t="s">
        <v>4559</v>
      </c>
      <c r="V258" t="s">
        <v>18598</v>
      </c>
    </row>
    <row r="259" spans="1:27">
      <c r="A259" t="s">
        <v>18546</v>
      </c>
      <c r="B259" t="s">
        <v>18546</v>
      </c>
      <c r="C259" t="s">
        <v>18559</v>
      </c>
      <c r="D259" t="s">
        <v>4517</v>
      </c>
      <c r="E259" t="s">
        <v>4553</v>
      </c>
      <c r="F259" t="s">
        <v>2655</v>
      </c>
      <c r="G259" t="s">
        <v>14046</v>
      </c>
      <c r="H259" t="s">
        <v>4376</v>
      </c>
      <c r="I259" t="s">
        <v>8877</v>
      </c>
      <c r="J259" t="s">
        <v>16891</v>
      </c>
      <c r="K259" t="s">
        <v>4517</v>
      </c>
      <c r="L259" t="s">
        <v>18546</v>
      </c>
      <c r="M259" t="s">
        <v>25</v>
      </c>
      <c r="N259" t="s">
        <v>18573</v>
      </c>
      <c r="S259" t="s">
        <v>4517</v>
      </c>
      <c r="T259" t="s">
        <v>18546</v>
      </c>
      <c r="U259" t="s">
        <v>4559</v>
      </c>
      <c r="V259" t="s">
        <v>18595</v>
      </c>
    </row>
    <row r="260" spans="1:27">
      <c r="A260" t="s">
        <v>18547</v>
      </c>
      <c r="B260" t="s">
        <v>18547</v>
      </c>
      <c r="C260" t="s">
        <v>18564</v>
      </c>
      <c r="D260" t="s">
        <v>4517</v>
      </c>
      <c r="E260" t="s">
        <v>4553</v>
      </c>
      <c r="F260" t="s">
        <v>2655</v>
      </c>
      <c r="G260" t="s">
        <v>14046</v>
      </c>
      <c r="H260" t="s">
        <v>4376</v>
      </c>
      <c r="I260" t="s">
        <v>8877</v>
      </c>
      <c r="J260" t="s">
        <v>16891</v>
      </c>
      <c r="K260" t="s">
        <v>4517</v>
      </c>
      <c r="L260" t="s">
        <v>18547</v>
      </c>
      <c r="M260" t="s">
        <v>25</v>
      </c>
      <c r="N260" t="s">
        <v>18574</v>
      </c>
    </row>
    <row r="261" spans="1:27">
      <c r="A261" t="s">
        <v>18548</v>
      </c>
      <c r="B261" t="s">
        <v>18548</v>
      </c>
      <c r="C261" t="s">
        <v>18557</v>
      </c>
      <c r="D261" t="s">
        <v>4517</v>
      </c>
      <c r="E261" t="s">
        <v>4553</v>
      </c>
      <c r="F261" t="s">
        <v>2655</v>
      </c>
      <c r="G261" t="s">
        <v>14046</v>
      </c>
      <c r="H261" t="s">
        <v>4376</v>
      </c>
      <c r="I261" t="s">
        <v>8877</v>
      </c>
      <c r="J261" t="s">
        <v>16891</v>
      </c>
      <c r="K261" t="s">
        <v>4517</v>
      </c>
      <c r="L261" t="s">
        <v>18548</v>
      </c>
      <c r="M261" t="s">
        <v>25</v>
      </c>
      <c r="N261" t="s">
        <v>18575</v>
      </c>
      <c r="S261" t="s">
        <v>4517</v>
      </c>
      <c r="T261" t="s">
        <v>18548</v>
      </c>
      <c r="U261" t="s">
        <v>4559</v>
      </c>
      <c r="V261" t="s">
        <v>18594</v>
      </c>
    </row>
    <row r="262" spans="1:27">
      <c r="A262" t="s">
        <v>18549</v>
      </c>
      <c r="B262" t="s">
        <v>18549</v>
      </c>
      <c r="C262" t="s">
        <v>18565</v>
      </c>
      <c r="D262" t="s">
        <v>4517</v>
      </c>
      <c r="E262" t="s">
        <v>4553</v>
      </c>
      <c r="F262" t="s">
        <v>2655</v>
      </c>
      <c r="G262" t="s">
        <v>14046</v>
      </c>
      <c r="H262" t="s">
        <v>4376</v>
      </c>
      <c r="I262" t="s">
        <v>8877</v>
      </c>
      <c r="J262" t="s">
        <v>16891</v>
      </c>
      <c r="K262" t="s">
        <v>4517</v>
      </c>
      <c r="L262" t="s">
        <v>18549</v>
      </c>
      <c r="M262" t="s">
        <v>25</v>
      </c>
      <c r="N262" t="s">
        <v>18576</v>
      </c>
    </row>
    <row r="263" spans="1:27">
      <c r="A263" t="s">
        <v>18550</v>
      </c>
      <c r="B263" t="s">
        <v>18550</v>
      </c>
      <c r="C263" t="s">
        <v>18566</v>
      </c>
      <c r="D263" t="s">
        <v>4517</v>
      </c>
      <c r="E263" t="s">
        <v>4553</v>
      </c>
      <c r="F263" t="s">
        <v>2655</v>
      </c>
      <c r="G263" t="s">
        <v>14046</v>
      </c>
      <c r="H263" t="s">
        <v>4376</v>
      </c>
      <c r="I263" t="s">
        <v>8877</v>
      </c>
      <c r="J263" t="s">
        <v>16891</v>
      </c>
      <c r="K263" t="s">
        <v>4517</v>
      </c>
      <c r="L263" t="s">
        <v>18550</v>
      </c>
      <c r="M263" t="s">
        <v>25</v>
      </c>
      <c r="N263" t="s">
        <v>18577</v>
      </c>
    </row>
    <row r="264" spans="1:27">
      <c r="A264" t="s">
        <v>18551</v>
      </c>
      <c r="B264" t="s">
        <v>18551</v>
      </c>
      <c r="C264" t="s">
        <v>18567</v>
      </c>
      <c r="D264" t="s">
        <v>4517</v>
      </c>
      <c r="E264" t="s">
        <v>4553</v>
      </c>
      <c r="F264" t="s">
        <v>2655</v>
      </c>
      <c r="G264" t="s">
        <v>14046</v>
      </c>
      <c r="H264" t="s">
        <v>4376</v>
      </c>
      <c r="I264" t="s">
        <v>8877</v>
      </c>
      <c r="J264" t="s">
        <v>16891</v>
      </c>
      <c r="K264" t="s">
        <v>4517</v>
      </c>
      <c r="L264" t="s">
        <v>18551</v>
      </c>
      <c r="M264" t="s">
        <v>25</v>
      </c>
      <c r="N264" t="s">
        <v>18578</v>
      </c>
      <c r="S264" t="s">
        <v>4517</v>
      </c>
      <c r="T264" t="s">
        <v>18600</v>
      </c>
      <c r="U264" t="s">
        <v>4559</v>
      </c>
      <c r="V264" t="s">
        <v>18599</v>
      </c>
    </row>
    <row r="265" spans="1:27">
      <c r="A265" t="s">
        <v>18552</v>
      </c>
      <c r="B265" t="s">
        <v>18552</v>
      </c>
      <c r="C265" t="s">
        <v>18556</v>
      </c>
      <c r="D265" t="s">
        <v>4517</v>
      </c>
      <c r="E265" t="s">
        <v>4553</v>
      </c>
      <c r="F265" t="s">
        <v>2655</v>
      </c>
      <c r="G265" t="s">
        <v>14046</v>
      </c>
      <c r="H265" t="s">
        <v>4376</v>
      </c>
      <c r="I265" t="s">
        <v>8877</v>
      </c>
      <c r="J265" t="s">
        <v>16891</v>
      </c>
      <c r="K265" t="s">
        <v>4517</v>
      </c>
      <c r="L265" t="s">
        <v>18552</v>
      </c>
      <c r="M265" t="s">
        <v>25</v>
      </c>
      <c r="N265" t="s">
        <v>18579</v>
      </c>
      <c r="S265" t="s">
        <v>4517</v>
      </c>
      <c r="T265" t="s">
        <v>18587</v>
      </c>
      <c r="U265" t="s">
        <v>4559</v>
      </c>
      <c r="V265" t="s">
        <v>18593</v>
      </c>
    </row>
    <row r="266" spans="1:27">
      <c r="A266" t="s">
        <v>18553</v>
      </c>
      <c r="B266" t="s">
        <v>18553</v>
      </c>
      <c r="C266" t="s">
        <v>18554</v>
      </c>
      <c r="D266" t="s">
        <v>4517</v>
      </c>
      <c r="E266" t="s">
        <v>4553</v>
      </c>
      <c r="F266" t="s">
        <v>2655</v>
      </c>
      <c r="G266" t="s">
        <v>14046</v>
      </c>
      <c r="H266" t="s">
        <v>4376</v>
      </c>
      <c r="I266" t="s">
        <v>8877</v>
      </c>
      <c r="J266" t="s">
        <v>16891</v>
      </c>
      <c r="K266" t="s">
        <v>4517</v>
      </c>
      <c r="L266" t="s">
        <v>18553</v>
      </c>
      <c r="M266" t="s">
        <v>25</v>
      </c>
      <c r="N266" t="s">
        <v>18580</v>
      </c>
      <c r="S266" t="s">
        <v>4517</v>
      </c>
      <c r="T266" t="s">
        <v>18541</v>
      </c>
      <c r="U266" t="s">
        <v>4559</v>
      </c>
      <c r="V266" t="s">
        <v>18591</v>
      </c>
    </row>
    <row r="267" spans="1:27">
      <c r="A267" t="s">
        <v>18602</v>
      </c>
      <c r="B267" t="s">
        <v>18602</v>
      </c>
      <c r="C267" t="s">
        <v>18909</v>
      </c>
      <c r="D267" t="s">
        <v>4517</v>
      </c>
      <c r="E267" t="s">
        <v>2656</v>
      </c>
      <c r="F267" t="s">
        <v>7005</v>
      </c>
      <c r="G267" t="s">
        <v>18610</v>
      </c>
      <c r="H267" t="s">
        <v>4376</v>
      </c>
      <c r="I267" t="s">
        <v>18612</v>
      </c>
      <c r="J267" t="s">
        <v>18613</v>
      </c>
      <c r="K267" t="s">
        <v>4517</v>
      </c>
      <c r="L267" t="s">
        <v>18614</v>
      </c>
      <c r="M267" t="s">
        <v>25</v>
      </c>
      <c r="N267" t="s">
        <v>18615</v>
      </c>
      <c r="O267" t="s">
        <v>4517</v>
      </c>
      <c r="P267" t="s">
        <v>18616</v>
      </c>
      <c r="Q267" t="s">
        <v>25</v>
      </c>
      <c r="R267" t="s">
        <v>18617</v>
      </c>
      <c r="S267" t="s">
        <v>4517</v>
      </c>
      <c r="T267" t="s">
        <v>18614</v>
      </c>
      <c r="U267" t="s">
        <v>4559</v>
      </c>
      <c r="V267" t="s">
        <v>18630</v>
      </c>
      <c r="W267" t="s">
        <v>4517</v>
      </c>
      <c r="X267" t="s">
        <v>18616</v>
      </c>
      <c r="Y267" t="s">
        <v>4559</v>
      </c>
      <c r="Z267" t="s">
        <v>18635</v>
      </c>
      <c r="AA267" t="s">
        <v>4727</v>
      </c>
    </row>
    <row r="268" spans="1:27">
      <c r="A268" t="s">
        <v>18603</v>
      </c>
      <c r="B268" t="s">
        <v>18603</v>
      </c>
      <c r="C268" t="s">
        <v>18910</v>
      </c>
      <c r="D268" t="s">
        <v>4517</v>
      </c>
      <c r="E268" t="s">
        <v>2656</v>
      </c>
      <c r="F268" t="s">
        <v>7005</v>
      </c>
      <c r="G268" t="s">
        <v>18610</v>
      </c>
      <c r="H268" t="s">
        <v>4376</v>
      </c>
      <c r="I268" t="s">
        <v>18612</v>
      </c>
      <c r="J268" t="s">
        <v>18613</v>
      </c>
      <c r="K268" t="s">
        <v>4517</v>
      </c>
      <c r="L268" t="s">
        <v>18618</v>
      </c>
      <c r="M268" t="s">
        <v>25</v>
      </c>
      <c r="N268" t="s">
        <v>18619</v>
      </c>
      <c r="O268" t="s">
        <v>4517</v>
      </c>
      <c r="P268" t="s">
        <v>18620</v>
      </c>
      <c r="Q268" t="s">
        <v>25</v>
      </c>
      <c r="R268" t="s">
        <v>18621</v>
      </c>
      <c r="S268" t="s">
        <v>4517</v>
      </c>
      <c r="T268" t="s">
        <v>18618</v>
      </c>
      <c r="U268" t="s">
        <v>4559</v>
      </c>
      <c r="V268" t="s">
        <v>18636</v>
      </c>
      <c r="W268" t="s">
        <v>4517</v>
      </c>
      <c r="X268" t="s">
        <v>18620</v>
      </c>
      <c r="Y268" t="s">
        <v>4559</v>
      </c>
      <c r="Z268" t="s">
        <v>18637</v>
      </c>
      <c r="AA268" t="s">
        <v>4727</v>
      </c>
    </row>
    <row r="269" spans="1:27">
      <c r="A269" t="s">
        <v>18604</v>
      </c>
      <c r="B269" t="s">
        <v>18604</v>
      </c>
      <c r="C269" t="s">
        <v>18911</v>
      </c>
      <c r="D269" t="s">
        <v>4517</v>
      </c>
      <c r="E269" t="s">
        <v>2656</v>
      </c>
      <c r="F269" t="s">
        <v>7005</v>
      </c>
      <c r="G269" t="s">
        <v>18610</v>
      </c>
      <c r="H269" t="s">
        <v>4376</v>
      </c>
      <c r="I269" t="s">
        <v>18612</v>
      </c>
      <c r="J269" t="s">
        <v>18613</v>
      </c>
      <c r="K269" t="s">
        <v>4517</v>
      </c>
      <c r="L269" t="s">
        <v>18622</v>
      </c>
      <c r="M269" t="s">
        <v>25</v>
      </c>
      <c r="N269" t="s">
        <v>18623</v>
      </c>
      <c r="O269" t="s">
        <v>4517</v>
      </c>
      <c r="P269" t="s">
        <v>18624</v>
      </c>
      <c r="Q269" t="s">
        <v>25</v>
      </c>
      <c r="R269" t="s">
        <v>18625</v>
      </c>
      <c r="S269" t="s">
        <v>4517</v>
      </c>
      <c r="T269" t="s">
        <v>18622</v>
      </c>
      <c r="U269" t="s">
        <v>4559</v>
      </c>
      <c r="V269" t="s">
        <v>18638</v>
      </c>
      <c r="W269" t="s">
        <v>4517</v>
      </c>
      <c r="X269" t="s">
        <v>18624</v>
      </c>
      <c r="Y269" t="s">
        <v>4559</v>
      </c>
      <c r="Z269" t="s">
        <v>18639</v>
      </c>
      <c r="AA269" t="s">
        <v>4727</v>
      </c>
    </row>
    <row r="270" spans="1:27">
      <c r="A270" t="s">
        <v>18605</v>
      </c>
      <c r="B270" t="s">
        <v>18605</v>
      </c>
      <c r="C270" t="s">
        <v>18912</v>
      </c>
      <c r="D270" t="s">
        <v>4517</v>
      </c>
      <c r="E270" t="s">
        <v>2656</v>
      </c>
      <c r="F270" t="s">
        <v>7005</v>
      </c>
      <c r="G270" t="s">
        <v>18610</v>
      </c>
      <c r="H270" t="s">
        <v>4376</v>
      </c>
      <c r="I270" t="s">
        <v>18612</v>
      </c>
      <c r="J270" t="s">
        <v>18613</v>
      </c>
      <c r="K270" t="s">
        <v>4517</v>
      </c>
      <c r="L270" t="s">
        <v>18626</v>
      </c>
      <c r="M270" t="s">
        <v>25</v>
      </c>
      <c r="N270" t="s">
        <v>18627</v>
      </c>
      <c r="O270" t="s">
        <v>4517</v>
      </c>
      <c r="P270" t="s">
        <v>18628</v>
      </c>
      <c r="Q270" t="s">
        <v>25</v>
      </c>
      <c r="R270" t="s">
        <v>18629</v>
      </c>
      <c r="S270" t="s">
        <v>4517</v>
      </c>
      <c r="T270" t="s">
        <v>18626</v>
      </c>
      <c r="U270" t="s">
        <v>4559</v>
      </c>
      <c r="V270" t="s">
        <v>18640</v>
      </c>
      <c r="W270" t="s">
        <v>4517</v>
      </c>
      <c r="X270" t="s">
        <v>18628</v>
      </c>
      <c r="Y270" t="s">
        <v>4559</v>
      </c>
      <c r="Z270" t="s">
        <v>18641</v>
      </c>
      <c r="AA270" t="s">
        <v>4727</v>
      </c>
    </row>
    <row r="271" spans="1:27">
      <c r="A271" t="s">
        <v>18606</v>
      </c>
      <c r="B271" t="s">
        <v>18606</v>
      </c>
      <c r="C271" t="s">
        <v>18913</v>
      </c>
      <c r="D271" t="s">
        <v>4517</v>
      </c>
      <c r="E271" t="s">
        <v>18001</v>
      </c>
      <c r="F271" t="s">
        <v>7005</v>
      </c>
      <c r="G271" t="s">
        <v>18611</v>
      </c>
      <c r="H271" t="s">
        <v>4376</v>
      </c>
      <c r="I271" t="s">
        <v>4795</v>
      </c>
      <c r="J271" t="s">
        <v>18613</v>
      </c>
      <c r="K271" t="s">
        <v>4517</v>
      </c>
      <c r="L271" t="s">
        <v>18642</v>
      </c>
      <c r="M271" t="s">
        <v>25</v>
      </c>
      <c r="N271" t="s">
        <v>18643</v>
      </c>
      <c r="S271" t="s">
        <v>4517</v>
      </c>
      <c r="T271" t="s">
        <v>18642</v>
      </c>
      <c r="U271" t="s">
        <v>4559</v>
      </c>
      <c r="V271" t="s">
        <v>18650</v>
      </c>
      <c r="AA271" t="s">
        <v>4727</v>
      </c>
    </row>
    <row r="272" spans="1:27">
      <c r="A272" t="s">
        <v>18607</v>
      </c>
      <c r="B272" t="s">
        <v>18607</v>
      </c>
      <c r="C272" t="s">
        <v>18914</v>
      </c>
      <c r="D272" t="s">
        <v>4517</v>
      </c>
      <c r="E272" t="s">
        <v>18001</v>
      </c>
      <c r="F272" t="s">
        <v>7005</v>
      </c>
      <c r="G272" t="s">
        <v>18611</v>
      </c>
      <c r="H272" t="s">
        <v>4376</v>
      </c>
      <c r="I272" t="s">
        <v>4795</v>
      </c>
      <c r="J272" t="s">
        <v>18613</v>
      </c>
      <c r="K272" t="s">
        <v>4517</v>
      </c>
      <c r="L272" t="s">
        <v>18644</v>
      </c>
      <c r="M272" t="s">
        <v>25</v>
      </c>
      <c r="N272" t="s">
        <v>18645</v>
      </c>
      <c r="S272" t="s">
        <v>4517</v>
      </c>
      <c r="T272" t="s">
        <v>18644</v>
      </c>
      <c r="U272" t="s">
        <v>4559</v>
      </c>
      <c r="V272" t="s">
        <v>18651</v>
      </c>
      <c r="AA272" t="s">
        <v>4727</v>
      </c>
    </row>
    <row r="273" spans="1:27">
      <c r="A273" t="s">
        <v>18608</v>
      </c>
      <c r="B273" t="s">
        <v>18608</v>
      </c>
      <c r="C273" t="s">
        <v>18915</v>
      </c>
      <c r="D273" t="s">
        <v>4517</v>
      </c>
      <c r="E273" t="s">
        <v>18001</v>
      </c>
      <c r="F273" t="s">
        <v>7005</v>
      </c>
      <c r="G273" t="s">
        <v>18611</v>
      </c>
      <c r="H273" t="s">
        <v>4376</v>
      </c>
      <c r="I273" t="s">
        <v>4795</v>
      </c>
      <c r="J273" t="s">
        <v>18613</v>
      </c>
      <c r="K273" t="s">
        <v>4517</v>
      </c>
      <c r="L273" t="s">
        <v>18646</v>
      </c>
      <c r="M273" t="s">
        <v>25</v>
      </c>
      <c r="N273" t="s">
        <v>18647</v>
      </c>
      <c r="S273" t="s">
        <v>4517</v>
      </c>
      <c r="T273" t="s">
        <v>18646</v>
      </c>
      <c r="U273" t="s">
        <v>4559</v>
      </c>
      <c r="V273" t="s">
        <v>18652</v>
      </c>
      <c r="AA273" t="s">
        <v>4727</v>
      </c>
    </row>
    <row r="274" spans="1:27">
      <c r="A274" t="s">
        <v>18609</v>
      </c>
      <c r="B274" t="s">
        <v>18609</v>
      </c>
      <c r="C274" t="s">
        <v>18916</v>
      </c>
      <c r="D274" t="s">
        <v>4517</v>
      </c>
      <c r="E274" t="s">
        <v>18001</v>
      </c>
      <c r="F274" t="s">
        <v>7005</v>
      </c>
      <c r="G274" t="s">
        <v>18611</v>
      </c>
      <c r="H274" t="s">
        <v>4376</v>
      </c>
      <c r="I274" t="s">
        <v>4795</v>
      </c>
      <c r="J274" t="s">
        <v>18613</v>
      </c>
      <c r="K274" t="s">
        <v>4517</v>
      </c>
      <c r="L274" t="s">
        <v>18648</v>
      </c>
      <c r="M274" t="s">
        <v>25</v>
      </c>
      <c r="N274" t="s">
        <v>18649</v>
      </c>
      <c r="S274" t="s">
        <v>4517</v>
      </c>
      <c r="T274" t="s">
        <v>18648</v>
      </c>
      <c r="U274" t="s">
        <v>4559</v>
      </c>
      <c r="V274" t="s">
        <v>18653</v>
      </c>
      <c r="AA274" t="s">
        <v>4727</v>
      </c>
    </row>
    <row r="275" spans="1:27">
      <c r="A275" t="s">
        <v>18801</v>
      </c>
      <c r="B275" t="s">
        <v>18801</v>
      </c>
      <c r="C275" s="53" t="s">
        <v>18917</v>
      </c>
      <c r="D275" t="s">
        <v>4517</v>
      </c>
      <c r="E275" t="s">
        <v>6960</v>
      </c>
      <c r="F275" t="s">
        <v>2655</v>
      </c>
      <c r="G275" t="s">
        <v>18802</v>
      </c>
      <c r="H275" t="s">
        <v>4376</v>
      </c>
      <c r="I275" t="s">
        <v>6962</v>
      </c>
      <c r="J275" t="s">
        <v>4517</v>
      </c>
      <c r="K275" t="s">
        <v>4517</v>
      </c>
      <c r="L275" t="s">
        <v>18801</v>
      </c>
      <c r="M275" t="s">
        <v>25</v>
      </c>
      <c r="N275" t="s">
        <v>18800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14655</v>
      </c>
      <c r="L1" s="16" t="s">
        <v>14656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6443</v>
      </c>
    </row>
    <row r="2" spans="1:28">
      <c r="A2" t="s">
        <v>16163</v>
      </c>
      <c r="B2" t="s">
        <v>16164</v>
      </c>
      <c r="C2" t="s">
        <v>16165</v>
      </c>
      <c r="D2" t="s">
        <v>4479</v>
      </c>
      <c r="E2" s="14" t="s">
        <v>11561</v>
      </c>
      <c r="F2" t="s">
        <v>16148</v>
      </c>
      <c r="G2" s="17" t="str">
        <f>Config!$B$3</f>
        <v>SCH/R_IEC.SchLib</v>
      </c>
      <c r="H2" t="s">
        <v>16149</v>
      </c>
      <c r="I2" s="18" t="s">
        <v>16150</v>
      </c>
      <c r="J2" t="s">
        <v>16151</v>
      </c>
      <c r="M2" s="3">
        <v>800</v>
      </c>
      <c r="N2" t="s">
        <v>16152</v>
      </c>
      <c r="O2" t="s">
        <v>7496</v>
      </c>
      <c r="P2" t="s">
        <v>16153</v>
      </c>
      <c r="Q2" t="s">
        <v>25</v>
      </c>
      <c r="R2" t="s">
        <v>16154</v>
      </c>
      <c r="S2" t="s">
        <v>7496</v>
      </c>
      <c r="T2" t="s">
        <v>16155</v>
      </c>
      <c r="U2" t="s">
        <v>25</v>
      </c>
      <c r="V2" t="s">
        <v>16156</v>
      </c>
    </row>
    <row r="3" spans="1:28">
      <c r="A3" t="s">
        <v>16166</v>
      </c>
      <c r="B3" t="s">
        <v>16143</v>
      </c>
      <c r="C3" t="s">
        <v>16167</v>
      </c>
      <c r="D3" t="s">
        <v>4479</v>
      </c>
      <c r="E3" s="14" t="s">
        <v>11561</v>
      </c>
      <c r="F3" t="s">
        <v>13999</v>
      </c>
      <c r="G3" s="17" t="str">
        <f>Config!$B$3</f>
        <v>SCH/R_IEC.SchLib</v>
      </c>
      <c r="H3" t="s">
        <v>16149</v>
      </c>
      <c r="I3" s="18" t="s">
        <v>16150</v>
      </c>
      <c r="J3" t="s">
        <v>16151</v>
      </c>
      <c r="M3" s="3">
        <v>1000</v>
      </c>
      <c r="N3" t="s">
        <v>16134</v>
      </c>
      <c r="O3" t="s">
        <v>7496</v>
      </c>
      <c r="P3" t="s">
        <v>16157</v>
      </c>
      <c r="Q3" t="s">
        <v>25</v>
      </c>
      <c r="R3" t="s">
        <v>16158</v>
      </c>
      <c r="S3" t="s">
        <v>7496</v>
      </c>
      <c r="T3" t="s">
        <v>16126</v>
      </c>
      <c r="U3" t="s">
        <v>25</v>
      </c>
      <c r="V3" t="s">
        <v>16127</v>
      </c>
    </row>
    <row r="4" spans="1:28">
      <c r="A4" t="s">
        <v>16168</v>
      </c>
      <c r="B4" t="s">
        <v>16144</v>
      </c>
      <c r="C4" t="s">
        <v>16169</v>
      </c>
      <c r="D4" t="s">
        <v>4479</v>
      </c>
      <c r="E4" s="14" t="s">
        <v>11561</v>
      </c>
      <c r="F4" t="s">
        <v>10749</v>
      </c>
      <c r="G4" s="17" t="str">
        <f>Config!$B$3</f>
        <v>SCH/R_IEC.SchLib</v>
      </c>
      <c r="H4" t="s">
        <v>16149</v>
      </c>
      <c r="I4" s="18" t="s">
        <v>16150</v>
      </c>
      <c r="J4" t="s">
        <v>16151</v>
      </c>
      <c r="M4" s="3">
        <v>1200</v>
      </c>
      <c r="N4" t="s">
        <v>16128</v>
      </c>
      <c r="O4" t="s">
        <v>7496</v>
      </c>
      <c r="P4" t="s">
        <v>16129</v>
      </c>
      <c r="Q4" t="s">
        <v>25</v>
      </c>
      <c r="R4" t="s">
        <v>16130</v>
      </c>
    </row>
    <row r="5" spans="1:28">
      <c r="A5" t="s">
        <v>16170</v>
      </c>
      <c r="B5" t="s">
        <v>16145</v>
      </c>
      <c r="C5" t="s">
        <v>16171</v>
      </c>
      <c r="D5" t="s">
        <v>4479</v>
      </c>
      <c r="E5" s="14" t="s">
        <v>11561</v>
      </c>
      <c r="F5" t="s">
        <v>16131</v>
      </c>
      <c r="G5" s="17" t="str">
        <f>Config!$B$3</f>
        <v>SCH/R_IEC.SchLib</v>
      </c>
      <c r="H5" t="s">
        <v>16149</v>
      </c>
      <c r="I5" s="18" t="s">
        <v>16150</v>
      </c>
      <c r="J5" t="s">
        <v>16151</v>
      </c>
      <c r="M5" s="3">
        <v>1400</v>
      </c>
      <c r="N5" t="s">
        <v>16159</v>
      </c>
      <c r="O5" t="s">
        <v>7496</v>
      </c>
      <c r="P5" t="s">
        <v>16160</v>
      </c>
      <c r="Q5" t="s">
        <v>25</v>
      </c>
      <c r="R5" t="s">
        <v>16161</v>
      </c>
      <c r="S5" t="s">
        <v>7496</v>
      </c>
      <c r="T5" t="s">
        <v>16137</v>
      </c>
      <c r="U5" t="s">
        <v>25</v>
      </c>
      <c r="V5" t="s">
        <v>16138</v>
      </c>
    </row>
    <row r="6" spans="1:28">
      <c r="A6" t="s">
        <v>16224</v>
      </c>
      <c r="B6" t="s">
        <v>16225</v>
      </c>
      <c r="C6" t="s">
        <v>16226</v>
      </c>
      <c r="D6" t="s">
        <v>4479</v>
      </c>
      <c r="E6" s="14" t="s">
        <v>11561</v>
      </c>
      <c r="F6" t="s">
        <v>16227</v>
      </c>
      <c r="G6" s="17" t="str">
        <f>Config!$B$3</f>
        <v>SCH/R_IEC.SchLib</v>
      </c>
      <c r="H6" t="s">
        <v>16149</v>
      </c>
      <c r="I6" s="18" t="s">
        <v>16150</v>
      </c>
      <c r="J6" t="s">
        <v>16151</v>
      </c>
      <c r="M6" s="3">
        <v>1600</v>
      </c>
      <c r="N6" t="s">
        <v>16228</v>
      </c>
      <c r="O6" t="s">
        <v>7496</v>
      </c>
      <c r="P6" t="s">
        <v>16229</v>
      </c>
      <c r="Q6" t="s">
        <v>25</v>
      </c>
      <c r="R6" t="s">
        <v>16230</v>
      </c>
      <c r="S6" t="s">
        <v>7496</v>
      </c>
      <c r="T6" t="s">
        <v>16231</v>
      </c>
      <c r="U6" t="s">
        <v>25</v>
      </c>
      <c r="V6" t="s">
        <v>16232</v>
      </c>
    </row>
    <row r="7" spans="1:28">
      <c r="A7" t="s">
        <v>16172</v>
      </c>
      <c r="B7" t="s">
        <v>16146</v>
      </c>
      <c r="C7" t="s">
        <v>16173</v>
      </c>
      <c r="D7" t="s">
        <v>4479</v>
      </c>
      <c r="E7" s="14" t="s">
        <v>11561</v>
      </c>
      <c r="F7" t="s">
        <v>16132</v>
      </c>
      <c r="G7" s="17" t="str">
        <f>Config!$B$3</f>
        <v>SCH/R_IEC.SchLib</v>
      </c>
      <c r="H7" t="s">
        <v>16149</v>
      </c>
      <c r="I7" s="18" t="s">
        <v>16150</v>
      </c>
      <c r="J7" t="s">
        <v>16151</v>
      </c>
      <c r="M7" s="3">
        <v>2500</v>
      </c>
      <c r="N7" t="s">
        <v>16135</v>
      </c>
      <c r="O7" t="s">
        <v>7496</v>
      </c>
      <c r="P7" t="s">
        <v>16139</v>
      </c>
      <c r="Q7" t="s">
        <v>25</v>
      </c>
      <c r="R7" t="s">
        <v>16140</v>
      </c>
    </row>
    <row r="8" spans="1:28">
      <c r="A8" t="s">
        <v>16174</v>
      </c>
      <c r="B8" t="s">
        <v>16147</v>
      </c>
      <c r="C8" t="s">
        <v>16175</v>
      </c>
      <c r="D8" t="s">
        <v>4479</v>
      </c>
      <c r="E8" s="14" t="s">
        <v>11561</v>
      </c>
      <c r="F8" t="s">
        <v>16133</v>
      </c>
      <c r="G8" s="17" t="str">
        <f>Config!$B$3</f>
        <v>SCH/R_IEC.SchLib</v>
      </c>
      <c r="H8" t="s">
        <v>16149</v>
      </c>
      <c r="I8" s="18" t="s">
        <v>16150</v>
      </c>
      <c r="J8" t="s">
        <v>16151</v>
      </c>
      <c r="M8" s="3">
        <v>3500</v>
      </c>
      <c r="N8" t="s">
        <v>16136</v>
      </c>
      <c r="O8" t="s">
        <v>7496</v>
      </c>
      <c r="P8" t="s">
        <v>16141</v>
      </c>
      <c r="Q8" t="s">
        <v>25</v>
      </c>
      <c r="R8" t="s">
        <v>16142</v>
      </c>
    </row>
    <row r="9" spans="1:28">
      <c r="A9" t="s">
        <v>16234</v>
      </c>
      <c r="B9" t="s">
        <v>16235</v>
      </c>
      <c r="C9" t="s">
        <v>16236</v>
      </c>
      <c r="D9" t="s">
        <v>4479</v>
      </c>
      <c r="E9" s="14" t="s">
        <v>11561</v>
      </c>
      <c r="F9" t="s">
        <v>16233</v>
      </c>
      <c r="G9" s="17" t="str">
        <f>Config!$B$3</f>
        <v>SCH/R_IEC.SchLib</v>
      </c>
      <c r="H9" t="s">
        <v>16149</v>
      </c>
      <c r="I9" s="18" t="s">
        <v>16150</v>
      </c>
      <c r="J9" t="s">
        <v>16151</v>
      </c>
      <c r="M9" s="3">
        <v>4500</v>
      </c>
      <c r="N9" t="s">
        <v>16241</v>
      </c>
      <c r="O9" t="s">
        <v>7496</v>
      </c>
      <c r="P9" t="s">
        <v>16242</v>
      </c>
      <c r="Q9" t="s">
        <v>25</v>
      </c>
      <c r="R9" t="s">
        <v>16243</v>
      </c>
    </row>
    <row r="10" spans="1:28">
      <c r="A10" t="s">
        <v>16237</v>
      </c>
      <c r="B10" t="s">
        <v>16238</v>
      </c>
      <c r="C10" t="s">
        <v>16239</v>
      </c>
      <c r="D10" t="s">
        <v>4479</v>
      </c>
      <c r="E10" s="14" t="s">
        <v>11561</v>
      </c>
      <c r="F10" t="s">
        <v>16240</v>
      </c>
      <c r="G10" s="17" t="str">
        <f>Config!$B$3</f>
        <v>SCH/R_IEC.SchLib</v>
      </c>
      <c r="H10" t="s">
        <v>16149</v>
      </c>
      <c r="I10" s="18" t="s">
        <v>16150</v>
      </c>
      <c r="J10" t="s">
        <v>16151</v>
      </c>
      <c r="M10" s="3">
        <v>5500</v>
      </c>
      <c r="N10" t="s">
        <v>16244</v>
      </c>
      <c r="O10" t="s">
        <v>7496</v>
      </c>
      <c r="P10" t="s">
        <v>16245</v>
      </c>
      <c r="Q10" t="s">
        <v>25</v>
      </c>
      <c r="R10" t="s">
        <v>16246</v>
      </c>
    </row>
    <row r="11" spans="1:28">
      <c r="A11" t="s">
        <v>16176</v>
      </c>
      <c r="B11" t="s">
        <v>16164</v>
      </c>
      <c r="C11" t="s">
        <v>16177</v>
      </c>
      <c r="D11" t="s">
        <v>4479</v>
      </c>
      <c r="E11" s="14" t="s">
        <v>11561</v>
      </c>
      <c r="F11" t="s">
        <v>16148</v>
      </c>
      <c r="G11" s="17" t="str">
        <f>Config!$B$3</f>
        <v>SCH/R_IEC.SchLib</v>
      </c>
      <c r="H11" t="s">
        <v>16149</v>
      </c>
      <c r="I11" s="18" t="s">
        <v>16150</v>
      </c>
      <c r="J11" t="s">
        <v>16162</v>
      </c>
      <c r="M11" s="3">
        <v>800</v>
      </c>
      <c r="N11" t="s">
        <v>16152</v>
      </c>
      <c r="O11" t="s">
        <v>7496</v>
      </c>
      <c r="P11" t="s">
        <v>16153</v>
      </c>
      <c r="Q11" t="s">
        <v>25</v>
      </c>
      <c r="R11" t="s">
        <v>16154</v>
      </c>
      <c r="S11" t="s">
        <v>7496</v>
      </c>
      <c r="T11" t="s">
        <v>16155</v>
      </c>
      <c r="U11" t="s">
        <v>25</v>
      </c>
      <c r="V11" t="s">
        <v>16156</v>
      </c>
    </row>
    <row r="12" spans="1:28">
      <c r="A12" t="s">
        <v>16178</v>
      </c>
      <c r="B12" t="s">
        <v>16143</v>
      </c>
      <c r="C12" t="s">
        <v>16179</v>
      </c>
      <c r="D12" t="s">
        <v>4479</v>
      </c>
      <c r="E12" s="14" t="s">
        <v>11561</v>
      </c>
      <c r="F12" t="s">
        <v>13999</v>
      </c>
      <c r="G12" s="17" t="str">
        <f>Config!$B$3</f>
        <v>SCH/R_IEC.SchLib</v>
      </c>
      <c r="H12" t="s">
        <v>16149</v>
      </c>
      <c r="I12" s="18" t="s">
        <v>16150</v>
      </c>
      <c r="J12" t="s">
        <v>16162</v>
      </c>
      <c r="M12" s="3">
        <v>1000</v>
      </c>
      <c r="N12" t="s">
        <v>16134</v>
      </c>
      <c r="O12" t="s">
        <v>7496</v>
      </c>
      <c r="P12" t="s">
        <v>16157</v>
      </c>
      <c r="Q12" t="s">
        <v>25</v>
      </c>
      <c r="R12" t="s">
        <v>16158</v>
      </c>
      <c r="S12" t="s">
        <v>7496</v>
      </c>
      <c r="T12" t="s">
        <v>16126</v>
      </c>
      <c r="U12" t="s">
        <v>25</v>
      </c>
      <c r="V12" t="s">
        <v>16127</v>
      </c>
    </row>
    <row r="13" spans="1:28">
      <c r="A13" t="s">
        <v>16180</v>
      </c>
      <c r="B13" t="s">
        <v>16144</v>
      </c>
      <c r="C13" t="s">
        <v>16181</v>
      </c>
      <c r="D13" t="s">
        <v>4479</v>
      </c>
      <c r="E13" s="14" t="s">
        <v>11561</v>
      </c>
      <c r="F13" t="s">
        <v>10749</v>
      </c>
      <c r="G13" s="17" t="str">
        <f>Config!$B$3</f>
        <v>SCH/R_IEC.SchLib</v>
      </c>
      <c r="H13" t="s">
        <v>16149</v>
      </c>
      <c r="I13" s="18" t="s">
        <v>16150</v>
      </c>
      <c r="J13" t="s">
        <v>16162</v>
      </c>
      <c r="M13" s="3">
        <v>1200</v>
      </c>
      <c r="N13" t="s">
        <v>16128</v>
      </c>
      <c r="O13" t="s">
        <v>7496</v>
      </c>
      <c r="P13" t="s">
        <v>16129</v>
      </c>
      <c r="Q13" t="s">
        <v>25</v>
      </c>
      <c r="R13" t="s">
        <v>16130</v>
      </c>
    </row>
    <row r="14" spans="1:28">
      <c r="A14" t="s">
        <v>16182</v>
      </c>
      <c r="B14" t="s">
        <v>16145</v>
      </c>
      <c r="C14" t="s">
        <v>16183</v>
      </c>
      <c r="D14" t="s">
        <v>4479</v>
      </c>
      <c r="E14" s="14" t="s">
        <v>11561</v>
      </c>
      <c r="F14" t="s">
        <v>16131</v>
      </c>
      <c r="G14" s="17" t="str">
        <f>Config!$B$3</f>
        <v>SCH/R_IEC.SchLib</v>
      </c>
      <c r="H14" t="s">
        <v>16149</v>
      </c>
      <c r="I14" s="18" t="s">
        <v>16150</v>
      </c>
      <c r="J14" t="s">
        <v>16162</v>
      </c>
      <c r="M14" s="3">
        <v>1400</v>
      </c>
      <c r="N14" t="s">
        <v>16159</v>
      </c>
      <c r="O14" t="s">
        <v>7496</v>
      </c>
      <c r="P14" t="s">
        <v>16160</v>
      </c>
      <c r="Q14" t="s">
        <v>25</v>
      </c>
      <c r="R14" t="s">
        <v>16161</v>
      </c>
      <c r="S14" t="s">
        <v>7496</v>
      </c>
      <c r="T14" t="s">
        <v>16137</v>
      </c>
      <c r="U14" t="s">
        <v>25</v>
      </c>
      <c r="V14" t="s">
        <v>16138</v>
      </c>
    </row>
    <row r="15" spans="1:28">
      <c r="A15" t="s">
        <v>16247</v>
      </c>
      <c r="B15" t="s">
        <v>16225</v>
      </c>
      <c r="C15" t="s">
        <v>16248</v>
      </c>
      <c r="D15" t="s">
        <v>4479</v>
      </c>
      <c r="E15" s="14" t="s">
        <v>11561</v>
      </c>
      <c r="F15" t="s">
        <v>16227</v>
      </c>
      <c r="G15" s="17" t="str">
        <f>Config!$B$3</f>
        <v>SCH/R_IEC.SchLib</v>
      </c>
      <c r="H15" t="s">
        <v>16149</v>
      </c>
      <c r="I15" s="18" t="s">
        <v>16150</v>
      </c>
      <c r="J15" t="s">
        <v>16162</v>
      </c>
      <c r="M15" s="3">
        <v>1600</v>
      </c>
      <c r="N15" t="s">
        <v>16228</v>
      </c>
      <c r="O15" t="s">
        <v>7496</v>
      </c>
      <c r="P15" t="s">
        <v>16229</v>
      </c>
      <c r="Q15" t="s">
        <v>25</v>
      </c>
      <c r="R15" t="s">
        <v>16230</v>
      </c>
      <c r="S15" t="s">
        <v>7496</v>
      </c>
      <c r="T15" t="s">
        <v>16231</v>
      </c>
      <c r="U15" t="s">
        <v>25</v>
      </c>
      <c r="V15" t="s">
        <v>16232</v>
      </c>
    </row>
    <row r="16" spans="1:28">
      <c r="A16" t="s">
        <v>16184</v>
      </c>
      <c r="B16" t="s">
        <v>16146</v>
      </c>
      <c r="C16" t="s">
        <v>16185</v>
      </c>
      <c r="D16" t="s">
        <v>4479</v>
      </c>
      <c r="E16" s="14" t="s">
        <v>11561</v>
      </c>
      <c r="F16" t="s">
        <v>16132</v>
      </c>
      <c r="G16" s="17" t="str">
        <f>Config!$B$3</f>
        <v>SCH/R_IEC.SchLib</v>
      </c>
      <c r="H16" t="s">
        <v>16149</v>
      </c>
      <c r="I16" s="18" t="s">
        <v>16150</v>
      </c>
      <c r="J16" t="s">
        <v>16162</v>
      </c>
      <c r="M16" s="3">
        <v>2500</v>
      </c>
      <c r="N16" t="s">
        <v>16135</v>
      </c>
      <c r="O16" t="s">
        <v>7496</v>
      </c>
      <c r="P16" t="s">
        <v>16139</v>
      </c>
      <c r="Q16" t="s">
        <v>25</v>
      </c>
      <c r="R16" t="s">
        <v>16140</v>
      </c>
    </row>
    <row r="17" spans="1:22">
      <c r="A17" t="s">
        <v>16186</v>
      </c>
      <c r="B17" t="s">
        <v>16147</v>
      </c>
      <c r="C17" t="s">
        <v>16187</v>
      </c>
      <c r="D17" t="s">
        <v>4479</v>
      </c>
      <c r="E17" s="14" t="s">
        <v>11561</v>
      </c>
      <c r="F17" t="s">
        <v>16133</v>
      </c>
      <c r="G17" s="17" t="str">
        <f>Config!$B$3</f>
        <v>SCH/R_IEC.SchLib</v>
      </c>
      <c r="H17" t="s">
        <v>16149</v>
      </c>
      <c r="I17" s="18" t="s">
        <v>16150</v>
      </c>
      <c r="J17" t="s">
        <v>16162</v>
      </c>
      <c r="M17" s="3">
        <v>3500</v>
      </c>
      <c r="N17" t="s">
        <v>16136</v>
      </c>
      <c r="O17" t="s">
        <v>7496</v>
      </c>
      <c r="P17" t="s">
        <v>16141</v>
      </c>
      <c r="Q17" t="s">
        <v>25</v>
      </c>
      <c r="R17" t="s">
        <v>16142</v>
      </c>
    </row>
    <row r="18" spans="1:22">
      <c r="A18" t="s">
        <v>16249</v>
      </c>
      <c r="B18" t="s">
        <v>16235</v>
      </c>
      <c r="C18" t="s">
        <v>16250</v>
      </c>
      <c r="D18" t="s">
        <v>4479</v>
      </c>
      <c r="E18" s="14" t="s">
        <v>11561</v>
      </c>
      <c r="F18" t="s">
        <v>16233</v>
      </c>
      <c r="G18" s="17" t="str">
        <f>Config!$B$3</f>
        <v>SCH/R_IEC.SchLib</v>
      </c>
      <c r="H18" t="s">
        <v>16149</v>
      </c>
      <c r="I18" s="18" t="s">
        <v>16150</v>
      </c>
      <c r="J18" t="s">
        <v>16162</v>
      </c>
      <c r="M18" s="3">
        <v>4500</v>
      </c>
      <c r="N18" t="s">
        <v>16241</v>
      </c>
      <c r="O18" t="s">
        <v>7496</v>
      </c>
      <c r="P18" t="s">
        <v>16242</v>
      </c>
      <c r="Q18" t="s">
        <v>25</v>
      </c>
      <c r="R18" t="s">
        <v>16243</v>
      </c>
    </row>
    <row r="19" spans="1:22">
      <c r="A19" t="s">
        <v>16251</v>
      </c>
      <c r="B19" t="s">
        <v>16238</v>
      </c>
      <c r="C19" t="s">
        <v>16252</v>
      </c>
      <c r="D19" t="s">
        <v>4479</v>
      </c>
      <c r="E19" s="14" t="s">
        <v>11561</v>
      </c>
      <c r="F19" t="s">
        <v>16240</v>
      </c>
      <c r="G19" s="17" t="str">
        <f>Config!$B$3</f>
        <v>SCH/R_IEC.SchLib</v>
      </c>
      <c r="H19" t="s">
        <v>16149</v>
      </c>
      <c r="I19" s="18" t="s">
        <v>16150</v>
      </c>
      <c r="J19" t="s">
        <v>16162</v>
      </c>
      <c r="M19" s="3">
        <v>5500</v>
      </c>
      <c r="N19" t="s">
        <v>16244</v>
      </c>
      <c r="O19" t="s">
        <v>7496</v>
      </c>
      <c r="P19" t="s">
        <v>16245</v>
      </c>
      <c r="Q19" t="s">
        <v>25</v>
      </c>
      <c r="R19" t="s">
        <v>16246</v>
      </c>
    </row>
    <row r="20" spans="1:22">
      <c r="A20" t="s">
        <v>16188</v>
      </c>
      <c r="B20" t="s">
        <v>16164</v>
      </c>
      <c r="C20" t="s">
        <v>16194</v>
      </c>
      <c r="D20" t="s">
        <v>4479</v>
      </c>
      <c r="E20" s="14" t="s">
        <v>11561</v>
      </c>
      <c r="F20" t="s">
        <v>16148</v>
      </c>
      <c r="G20" s="17" t="str">
        <f>Config!$B$3</f>
        <v>SCH/R_IEC.SchLib</v>
      </c>
      <c r="H20" t="s">
        <v>16149</v>
      </c>
      <c r="I20" s="18" t="s">
        <v>16150</v>
      </c>
      <c r="J20" t="s">
        <v>16253</v>
      </c>
      <c r="M20" s="3">
        <v>800</v>
      </c>
      <c r="N20" t="s">
        <v>16152</v>
      </c>
      <c r="O20" t="s">
        <v>7496</v>
      </c>
      <c r="P20" t="s">
        <v>16153</v>
      </c>
      <c r="Q20" t="s">
        <v>25</v>
      </c>
      <c r="R20" t="s">
        <v>16154</v>
      </c>
      <c r="S20" t="s">
        <v>7496</v>
      </c>
      <c r="T20" t="s">
        <v>16155</v>
      </c>
      <c r="U20" t="s">
        <v>25</v>
      </c>
      <c r="V20" t="s">
        <v>16156</v>
      </c>
    </row>
    <row r="21" spans="1:22">
      <c r="A21" t="s">
        <v>16189</v>
      </c>
      <c r="B21" t="s">
        <v>16143</v>
      </c>
      <c r="C21" t="s">
        <v>16195</v>
      </c>
      <c r="D21" t="s">
        <v>4479</v>
      </c>
      <c r="E21" s="14" t="s">
        <v>11561</v>
      </c>
      <c r="F21" t="s">
        <v>13999</v>
      </c>
      <c r="G21" s="17" t="str">
        <f>Config!$B$3</f>
        <v>SCH/R_IEC.SchLib</v>
      </c>
      <c r="H21" t="s">
        <v>16149</v>
      </c>
      <c r="I21" s="18" t="s">
        <v>16150</v>
      </c>
      <c r="J21" t="s">
        <v>16253</v>
      </c>
      <c r="M21" s="3">
        <v>1000</v>
      </c>
      <c r="N21" t="s">
        <v>16134</v>
      </c>
      <c r="O21" t="s">
        <v>7496</v>
      </c>
      <c r="P21" t="s">
        <v>16157</v>
      </c>
      <c r="Q21" t="s">
        <v>25</v>
      </c>
      <c r="R21" t="s">
        <v>16158</v>
      </c>
      <c r="S21" t="s">
        <v>7496</v>
      </c>
      <c r="T21" t="s">
        <v>16126</v>
      </c>
      <c r="U21" t="s">
        <v>25</v>
      </c>
      <c r="V21" t="s">
        <v>16127</v>
      </c>
    </row>
    <row r="22" spans="1:22">
      <c r="A22" t="s">
        <v>16190</v>
      </c>
      <c r="B22" t="s">
        <v>16144</v>
      </c>
      <c r="C22" t="s">
        <v>16196</v>
      </c>
      <c r="D22" t="s">
        <v>4479</v>
      </c>
      <c r="E22" s="14" t="s">
        <v>11561</v>
      </c>
      <c r="F22" t="s">
        <v>10749</v>
      </c>
      <c r="G22" s="17" t="str">
        <f>Config!$B$3</f>
        <v>SCH/R_IEC.SchLib</v>
      </c>
      <c r="H22" t="s">
        <v>16149</v>
      </c>
      <c r="I22" s="18" t="s">
        <v>16150</v>
      </c>
      <c r="J22" t="s">
        <v>16253</v>
      </c>
      <c r="M22" s="3">
        <v>1200</v>
      </c>
      <c r="N22" t="s">
        <v>16128</v>
      </c>
      <c r="O22" t="s">
        <v>7496</v>
      </c>
      <c r="P22" t="s">
        <v>16129</v>
      </c>
      <c r="Q22" t="s">
        <v>25</v>
      </c>
      <c r="R22" t="s">
        <v>16130</v>
      </c>
    </row>
    <row r="23" spans="1:22">
      <c r="A23" t="s">
        <v>16191</v>
      </c>
      <c r="B23" t="s">
        <v>16145</v>
      </c>
      <c r="C23" t="s">
        <v>16197</v>
      </c>
      <c r="D23" t="s">
        <v>4479</v>
      </c>
      <c r="E23" s="14" t="s">
        <v>11561</v>
      </c>
      <c r="F23" t="s">
        <v>16131</v>
      </c>
      <c r="G23" s="17" t="str">
        <f>Config!$B$3</f>
        <v>SCH/R_IEC.SchLib</v>
      </c>
      <c r="H23" t="s">
        <v>16149</v>
      </c>
      <c r="I23" s="18" t="s">
        <v>16150</v>
      </c>
      <c r="J23" t="s">
        <v>16253</v>
      </c>
      <c r="M23" s="3">
        <v>1400</v>
      </c>
      <c r="N23" t="s">
        <v>16159</v>
      </c>
      <c r="O23" t="s">
        <v>7496</v>
      </c>
      <c r="P23" t="s">
        <v>16160</v>
      </c>
      <c r="Q23" t="s">
        <v>25</v>
      </c>
      <c r="R23" t="s">
        <v>16161</v>
      </c>
      <c r="S23" t="s">
        <v>7496</v>
      </c>
      <c r="T23" t="s">
        <v>16137</v>
      </c>
      <c r="U23" t="s">
        <v>25</v>
      </c>
      <c r="V23" t="s">
        <v>16138</v>
      </c>
    </row>
    <row r="24" spans="1:22">
      <c r="A24" t="s">
        <v>16254</v>
      </c>
      <c r="B24" t="s">
        <v>16225</v>
      </c>
      <c r="C24" t="s">
        <v>16255</v>
      </c>
      <c r="D24" t="s">
        <v>4479</v>
      </c>
      <c r="E24" s="14" t="s">
        <v>11561</v>
      </c>
      <c r="F24" t="s">
        <v>16227</v>
      </c>
      <c r="G24" s="17" t="str">
        <f>Config!$B$3</f>
        <v>SCH/R_IEC.SchLib</v>
      </c>
      <c r="H24" t="s">
        <v>16149</v>
      </c>
      <c r="I24" s="18" t="s">
        <v>16150</v>
      </c>
      <c r="J24" t="s">
        <v>16253</v>
      </c>
      <c r="M24" s="3">
        <v>1600</v>
      </c>
      <c r="N24" t="s">
        <v>16228</v>
      </c>
      <c r="O24" t="s">
        <v>7496</v>
      </c>
      <c r="P24" t="s">
        <v>16229</v>
      </c>
      <c r="Q24" t="s">
        <v>25</v>
      </c>
      <c r="R24" t="s">
        <v>16230</v>
      </c>
      <c r="S24" t="s">
        <v>7496</v>
      </c>
      <c r="T24" t="s">
        <v>16231</v>
      </c>
      <c r="U24" t="s">
        <v>25</v>
      </c>
      <c r="V24" t="s">
        <v>16232</v>
      </c>
    </row>
    <row r="25" spans="1:22">
      <c r="A25" t="s">
        <v>16192</v>
      </c>
      <c r="B25" t="s">
        <v>16146</v>
      </c>
      <c r="C25" t="s">
        <v>16198</v>
      </c>
      <c r="D25" t="s">
        <v>4479</v>
      </c>
      <c r="E25" s="14" t="s">
        <v>11561</v>
      </c>
      <c r="F25" t="s">
        <v>16132</v>
      </c>
      <c r="G25" s="17" t="str">
        <f>Config!$B$3</f>
        <v>SCH/R_IEC.SchLib</v>
      </c>
      <c r="H25" t="s">
        <v>16149</v>
      </c>
      <c r="I25" s="18" t="s">
        <v>16150</v>
      </c>
      <c r="J25" t="s">
        <v>16253</v>
      </c>
      <c r="M25" s="3">
        <v>2500</v>
      </c>
      <c r="N25" t="s">
        <v>16135</v>
      </c>
      <c r="O25" t="s">
        <v>7496</v>
      </c>
      <c r="P25" t="s">
        <v>16139</v>
      </c>
      <c r="Q25" t="s">
        <v>25</v>
      </c>
      <c r="R25" t="s">
        <v>16140</v>
      </c>
    </row>
    <row r="26" spans="1:22">
      <c r="A26" t="s">
        <v>16193</v>
      </c>
      <c r="B26" t="s">
        <v>16147</v>
      </c>
      <c r="C26" t="s">
        <v>16199</v>
      </c>
      <c r="D26" t="s">
        <v>4479</v>
      </c>
      <c r="E26" s="14" t="s">
        <v>11561</v>
      </c>
      <c r="F26" t="s">
        <v>16133</v>
      </c>
      <c r="G26" s="17" t="str">
        <f>Config!$B$3</f>
        <v>SCH/R_IEC.SchLib</v>
      </c>
      <c r="H26" t="s">
        <v>16149</v>
      </c>
      <c r="I26" s="18" t="s">
        <v>16150</v>
      </c>
      <c r="J26" t="s">
        <v>16253</v>
      </c>
      <c r="M26" s="3">
        <v>3500</v>
      </c>
      <c r="N26" t="s">
        <v>16136</v>
      </c>
      <c r="O26" t="s">
        <v>7496</v>
      </c>
      <c r="P26" t="s">
        <v>16141</v>
      </c>
      <c r="Q26" t="s">
        <v>25</v>
      </c>
      <c r="R26" t="s">
        <v>16142</v>
      </c>
    </row>
    <row r="27" spans="1:22">
      <c r="A27" t="s">
        <v>16256</v>
      </c>
      <c r="B27" t="s">
        <v>16235</v>
      </c>
      <c r="C27" t="s">
        <v>16257</v>
      </c>
      <c r="D27" t="s">
        <v>4479</v>
      </c>
      <c r="E27" s="14" t="s">
        <v>11561</v>
      </c>
      <c r="F27" t="s">
        <v>16233</v>
      </c>
      <c r="G27" s="17" t="str">
        <f>Config!$B$3</f>
        <v>SCH/R_IEC.SchLib</v>
      </c>
      <c r="H27" t="s">
        <v>16149</v>
      </c>
      <c r="I27" s="18" t="s">
        <v>16150</v>
      </c>
      <c r="J27" t="s">
        <v>16253</v>
      </c>
      <c r="M27" s="3">
        <v>4500</v>
      </c>
      <c r="N27" t="s">
        <v>16241</v>
      </c>
      <c r="O27" t="s">
        <v>7496</v>
      </c>
      <c r="P27" t="s">
        <v>16242</v>
      </c>
      <c r="Q27" t="s">
        <v>25</v>
      </c>
      <c r="R27" t="s">
        <v>16243</v>
      </c>
    </row>
    <row r="28" spans="1:22">
      <c r="A28" t="s">
        <v>16258</v>
      </c>
      <c r="B28" t="s">
        <v>16238</v>
      </c>
      <c r="C28" t="s">
        <v>16259</v>
      </c>
      <c r="D28" t="s">
        <v>4479</v>
      </c>
      <c r="E28" s="14" t="s">
        <v>11561</v>
      </c>
      <c r="F28" t="s">
        <v>16240</v>
      </c>
      <c r="G28" s="17" t="str">
        <f>Config!$B$3</f>
        <v>SCH/R_IEC.SchLib</v>
      </c>
      <c r="H28" t="s">
        <v>16149</v>
      </c>
      <c r="I28" s="18" t="s">
        <v>16150</v>
      </c>
      <c r="J28" t="s">
        <v>16253</v>
      </c>
      <c r="M28" s="3">
        <v>5500</v>
      </c>
      <c r="N28" t="s">
        <v>16244</v>
      </c>
      <c r="O28" t="s">
        <v>7496</v>
      </c>
      <c r="P28" t="s">
        <v>16245</v>
      </c>
      <c r="Q28" t="s">
        <v>25</v>
      </c>
      <c r="R28" t="s">
        <v>16246</v>
      </c>
    </row>
    <row r="29" spans="1:22">
      <c r="A29" t="s">
        <v>16200</v>
      </c>
      <c r="B29" t="s">
        <v>16164</v>
      </c>
      <c r="C29" t="s">
        <v>16206</v>
      </c>
      <c r="D29" t="s">
        <v>4479</v>
      </c>
      <c r="E29" s="14" t="s">
        <v>11561</v>
      </c>
      <c r="F29" t="s">
        <v>16148</v>
      </c>
      <c r="G29" s="17" t="str">
        <f>Config!$B$3</f>
        <v>SCH/R_IEC.SchLib</v>
      </c>
      <c r="H29" t="s">
        <v>16149</v>
      </c>
      <c r="I29" s="18" t="s">
        <v>16150</v>
      </c>
      <c r="J29" t="s">
        <v>16260</v>
      </c>
      <c r="M29" s="3">
        <v>800</v>
      </c>
      <c r="N29" t="s">
        <v>16152</v>
      </c>
      <c r="O29" t="s">
        <v>7496</v>
      </c>
      <c r="P29" t="s">
        <v>16153</v>
      </c>
      <c r="Q29" t="s">
        <v>25</v>
      </c>
      <c r="R29" t="s">
        <v>16154</v>
      </c>
      <c r="S29" t="s">
        <v>7496</v>
      </c>
      <c r="T29" t="s">
        <v>16155</v>
      </c>
      <c r="U29" t="s">
        <v>25</v>
      </c>
      <c r="V29" t="s">
        <v>16156</v>
      </c>
    </row>
    <row r="30" spans="1:22">
      <c r="A30" t="s">
        <v>16201</v>
      </c>
      <c r="B30" t="s">
        <v>16143</v>
      </c>
      <c r="C30" t="s">
        <v>16207</v>
      </c>
      <c r="D30" t="s">
        <v>4479</v>
      </c>
      <c r="E30" s="14" t="s">
        <v>11561</v>
      </c>
      <c r="F30" t="s">
        <v>13999</v>
      </c>
      <c r="G30" s="17" t="str">
        <f>Config!$B$3</f>
        <v>SCH/R_IEC.SchLib</v>
      </c>
      <c r="H30" t="s">
        <v>16149</v>
      </c>
      <c r="I30" s="18" t="s">
        <v>16150</v>
      </c>
      <c r="J30" t="s">
        <v>16260</v>
      </c>
      <c r="M30" s="3">
        <v>1000</v>
      </c>
      <c r="N30" t="s">
        <v>16134</v>
      </c>
      <c r="O30" t="s">
        <v>7496</v>
      </c>
      <c r="P30" t="s">
        <v>16157</v>
      </c>
      <c r="Q30" t="s">
        <v>25</v>
      </c>
      <c r="R30" t="s">
        <v>16158</v>
      </c>
      <c r="S30" t="s">
        <v>7496</v>
      </c>
      <c r="T30" t="s">
        <v>16126</v>
      </c>
      <c r="U30" t="s">
        <v>25</v>
      </c>
      <c r="V30" t="s">
        <v>16127</v>
      </c>
    </row>
    <row r="31" spans="1:22">
      <c r="A31" t="s">
        <v>16202</v>
      </c>
      <c r="B31" t="s">
        <v>16144</v>
      </c>
      <c r="C31" t="s">
        <v>16208</v>
      </c>
      <c r="D31" t="s">
        <v>4479</v>
      </c>
      <c r="E31" s="14" t="s">
        <v>11561</v>
      </c>
      <c r="F31" t="s">
        <v>10749</v>
      </c>
      <c r="G31" s="17" t="str">
        <f>Config!$B$3</f>
        <v>SCH/R_IEC.SchLib</v>
      </c>
      <c r="H31" t="s">
        <v>16149</v>
      </c>
      <c r="I31" s="18" t="s">
        <v>16150</v>
      </c>
      <c r="J31" t="s">
        <v>16260</v>
      </c>
      <c r="M31" s="3">
        <v>1200</v>
      </c>
      <c r="N31" t="s">
        <v>16128</v>
      </c>
      <c r="O31" t="s">
        <v>7496</v>
      </c>
      <c r="P31" t="s">
        <v>16129</v>
      </c>
      <c r="Q31" t="s">
        <v>25</v>
      </c>
      <c r="R31" t="s">
        <v>16130</v>
      </c>
    </row>
    <row r="32" spans="1:22">
      <c r="A32" t="s">
        <v>16203</v>
      </c>
      <c r="B32" t="s">
        <v>16145</v>
      </c>
      <c r="C32" t="s">
        <v>16209</v>
      </c>
      <c r="D32" t="s">
        <v>4479</v>
      </c>
      <c r="E32" s="14" t="s">
        <v>11561</v>
      </c>
      <c r="F32" t="s">
        <v>16131</v>
      </c>
      <c r="G32" s="17" t="str">
        <f>Config!$B$3</f>
        <v>SCH/R_IEC.SchLib</v>
      </c>
      <c r="H32" t="s">
        <v>16149</v>
      </c>
      <c r="I32" s="18" t="s">
        <v>16150</v>
      </c>
      <c r="J32" t="s">
        <v>16260</v>
      </c>
      <c r="M32" s="3">
        <v>1400</v>
      </c>
      <c r="N32" t="s">
        <v>16159</v>
      </c>
      <c r="O32" t="s">
        <v>7496</v>
      </c>
      <c r="P32" t="s">
        <v>16160</v>
      </c>
      <c r="Q32" t="s">
        <v>25</v>
      </c>
      <c r="R32" t="s">
        <v>16161</v>
      </c>
      <c r="S32" t="s">
        <v>7496</v>
      </c>
      <c r="T32" t="s">
        <v>16137</v>
      </c>
      <c r="U32" t="s">
        <v>25</v>
      </c>
      <c r="V32" t="s">
        <v>16138</v>
      </c>
    </row>
    <row r="33" spans="1:22">
      <c r="A33" t="s">
        <v>16261</v>
      </c>
      <c r="B33" t="s">
        <v>16225</v>
      </c>
      <c r="C33" t="s">
        <v>16262</v>
      </c>
      <c r="D33" t="s">
        <v>4479</v>
      </c>
      <c r="E33" s="14" t="s">
        <v>11561</v>
      </c>
      <c r="F33" t="s">
        <v>16227</v>
      </c>
      <c r="G33" s="17" t="str">
        <f>Config!$B$3</f>
        <v>SCH/R_IEC.SchLib</v>
      </c>
      <c r="H33" t="s">
        <v>16149</v>
      </c>
      <c r="I33" s="18" t="s">
        <v>16150</v>
      </c>
      <c r="J33" t="s">
        <v>16260</v>
      </c>
      <c r="M33" s="3">
        <v>1600</v>
      </c>
      <c r="N33" t="s">
        <v>16228</v>
      </c>
      <c r="O33" t="s">
        <v>7496</v>
      </c>
      <c r="P33" t="s">
        <v>16229</v>
      </c>
      <c r="Q33" t="s">
        <v>25</v>
      </c>
      <c r="R33" t="s">
        <v>16230</v>
      </c>
      <c r="S33" t="s">
        <v>7496</v>
      </c>
      <c r="T33" t="s">
        <v>16231</v>
      </c>
      <c r="U33" t="s">
        <v>25</v>
      </c>
      <c r="V33" t="s">
        <v>16232</v>
      </c>
    </row>
    <row r="34" spans="1:22">
      <c r="A34" t="s">
        <v>16204</v>
      </c>
      <c r="B34" t="s">
        <v>16146</v>
      </c>
      <c r="C34" t="s">
        <v>16210</v>
      </c>
      <c r="D34" t="s">
        <v>4479</v>
      </c>
      <c r="E34" s="14" t="s">
        <v>11561</v>
      </c>
      <c r="F34" t="s">
        <v>16132</v>
      </c>
      <c r="G34" s="17" t="str">
        <f>Config!$B$3</f>
        <v>SCH/R_IEC.SchLib</v>
      </c>
      <c r="H34" t="s">
        <v>16149</v>
      </c>
      <c r="I34" s="18" t="s">
        <v>16150</v>
      </c>
      <c r="J34" t="s">
        <v>16260</v>
      </c>
      <c r="M34" s="3">
        <v>2500</v>
      </c>
      <c r="N34" t="s">
        <v>16135</v>
      </c>
      <c r="O34" t="s">
        <v>7496</v>
      </c>
      <c r="P34" t="s">
        <v>16139</v>
      </c>
      <c r="Q34" t="s">
        <v>25</v>
      </c>
      <c r="R34" t="s">
        <v>16140</v>
      </c>
    </row>
    <row r="35" spans="1:22">
      <c r="A35" t="s">
        <v>16205</v>
      </c>
      <c r="B35" t="s">
        <v>16147</v>
      </c>
      <c r="C35" t="s">
        <v>16211</v>
      </c>
      <c r="D35" t="s">
        <v>4479</v>
      </c>
      <c r="E35" s="14" t="s">
        <v>11561</v>
      </c>
      <c r="F35" t="s">
        <v>16133</v>
      </c>
      <c r="G35" s="17" t="str">
        <f>Config!$B$3</f>
        <v>SCH/R_IEC.SchLib</v>
      </c>
      <c r="H35" t="s">
        <v>16149</v>
      </c>
      <c r="I35" s="18" t="s">
        <v>16150</v>
      </c>
      <c r="J35" t="s">
        <v>16260</v>
      </c>
      <c r="M35" s="3">
        <v>3500</v>
      </c>
      <c r="N35" t="s">
        <v>16136</v>
      </c>
      <c r="O35" t="s">
        <v>7496</v>
      </c>
      <c r="P35" t="s">
        <v>16141</v>
      </c>
      <c r="Q35" t="s">
        <v>25</v>
      </c>
      <c r="R35" t="s">
        <v>16142</v>
      </c>
    </row>
    <row r="36" spans="1:22">
      <c r="A36" t="s">
        <v>16263</v>
      </c>
      <c r="B36" t="s">
        <v>16235</v>
      </c>
      <c r="C36" t="s">
        <v>16264</v>
      </c>
      <c r="D36" t="s">
        <v>4479</v>
      </c>
      <c r="E36" s="14" t="s">
        <v>11561</v>
      </c>
      <c r="F36" t="s">
        <v>16233</v>
      </c>
      <c r="G36" s="17" t="str">
        <f>Config!$B$3</f>
        <v>SCH/R_IEC.SchLib</v>
      </c>
      <c r="H36" t="s">
        <v>16149</v>
      </c>
      <c r="I36" s="18" t="s">
        <v>16150</v>
      </c>
      <c r="J36" t="s">
        <v>16260</v>
      </c>
      <c r="M36" s="3">
        <v>4500</v>
      </c>
      <c r="N36" t="s">
        <v>16241</v>
      </c>
      <c r="O36" t="s">
        <v>7496</v>
      </c>
      <c r="P36" t="s">
        <v>16242</v>
      </c>
      <c r="Q36" t="s">
        <v>25</v>
      </c>
      <c r="R36" t="s">
        <v>16243</v>
      </c>
    </row>
    <row r="37" spans="1:22">
      <c r="A37" t="s">
        <v>16265</v>
      </c>
      <c r="B37" t="s">
        <v>16238</v>
      </c>
      <c r="C37" t="s">
        <v>16266</v>
      </c>
      <c r="D37" t="s">
        <v>4479</v>
      </c>
      <c r="E37" s="14" t="s">
        <v>11561</v>
      </c>
      <c r="F37" t="s">
        <v>16240</v>
      </c>
      <c r="G37" s="17" t="str">
        <f>Config!$B$3</f>
        <v>SCH/R_IEC.SchLib</v>
      </c>
      <c r="H37" t="s">
        <v>16149</v>
      </c>
      <c r="I37" s="18" t="s">
        <v>16150</v>
      </c>
      <c r="J37" t="s">
        <v>16260</v>
      </c>
      <c r="M37" s="3">
        <v>5500</v>
      </c>
      <c r="N37" t="s">
        <v>16244</v>
      </c>
      <c r="O37" t="s">
        <v>7496</v>
      </c>
      <c r="P37" t="s">
        <v>16245</v>
      </c>
      <c r="Q37" t="s">
        <v>25</v>
      </c>
      <c r="R37" t="s">
        <v>16246</v>
      </c>
    </row>
    <row r="38" spans="1:22">
      <c r="A38" t="s">
        <v>16212</v>
      </c>
      <c r="B38" t="s">
        <v>16164</v>
      </c>
      <c r="C38" t="s">
        <v>16213</v>
      </c>
      <c r="D38" t="s">
        <v>4479</v>
      </c>
      <c r="E38" s="14" t="s">
        <v>11561</v>
      </c>
      <c r="F38" t="s">
        <v>16148</v>
      </c>
      <c r="G38" s="17" t="str">
        <f>Config!$B$3</f>
        <v>SCH/R_IEC.SchLib</v>
      </c>
      <c r="H38" t="s">
        <v>16149</v>
      </c>
      <c r="I38" s="18" t="s">
        <v>16150</v>
      </c>
      <c r="J38" t="s">
        <v>16267</v>
      </c>
      <c r="M38" s="3">
        <v>800</v>
      </c>
      <c r="N38" t="s">
        <v>16152</v>
      </c>
      <c r="O38" t="s">
        <v>7496</v>
      </c>
      <c r="P38" t="s">
        <v>16153</v>
      </c>
      <c r="Q38" t="s">
        <v>25</v>
      </c>
      <c r="R38" t="s">
        <v>16154</v>
      </c>
      <c r="S38" t="s">
        <v>7496</v>
      </c>
      <c r="T38" t="s">
        <v>16155</v>
      </c>
      <c r="U38" t="s">
        <v>25</v>
      </c>
      <c r="V38" t="s">
        <v>16156</v>
      </c>
    </row>
    <row r="39" spans="1:22">
      <c r="A39" t="s">
        <v>16214</v>
      </c>
      <c r="B39" t="s">
        <v>16143</v>
      </c>
      <c r="C39" t="s">
        <v>16215</v>
      </c>
      <c r="D39" t="s">
        <v>4479</v>
      </c>
      <c r="E39" s="14" t="s">
        <v>11561</v>
      </c>
      <c r="F39" t="s">
        <v>13999</v>
      </c>
      <c r="G39" s="17" t="str">
        <f>Config!$B$3</f>
        <v>SCH/R_IEC.SchLib</v>
      </c>
      <c r="H39" t="s">
        <v>16149</v>
      </c>
      <c r="I39" s="18" t="s">
        <v>16150</v>
      </c>
      <c r="J39" t="s">
        <v>16267</v>
      </c>
      <c r="M39" s="3">
        <v>1000</v>
      </c>
      <c r="N39" t="s">
        <v>16134</v>
      </c>
      <c r="O39" t="s">
        <v>7496</v>
      </c>
      <c r="P39" t="s">
        <v>16157</v>
      </c>
      <c r="Q39" t="s">
        <v>25</v>
      </c>
      <c r="R39" t="s">
        <v>16158</v>
      </c>
      <c r="S39" t="s">
        <v>7496</v>
      </c>
      <c r="T39" t="s">
        <v>16126</v>
      </c>
      <c r="U39" t="s">
        <v>25</v>
      </c>
      <c r="V39" t="s">
        <v>16127</v>
      </c>
    </row>
    <row r="40" spans="1:22">
      <c r="A40" t="s">
        <v>16216</v>
      </c>
      <c r="B40" t="s">
        <v>16144</v>
      </c>
      <c r="C40" t="s">
        <v>16217</v>
      </c>
      <c r="D40" t="s">
        <v>4479</v>
      </c>
      <c r="E40" s="14" t="s">
        <v>11561</v>
      </c>
      <c r="F40" t="s">
        <v>10749</v>
      </c>
      <c r="G40" s="17" t="str">
        <f>Config!$B$3</f>
        <v>SCH/R_IEC.SchLib</v>
      </c>
      <c r="H40" t="s">
        <v>16149</v>
      </c>
      <c r="I40" s="18" t="s">
        <v>16150</v>
      </c>
      <c r="J40" t="s">
        <v>16267</v>
      </c>
      <c r="M40" s="3">
        <v>1200</v>
      </c>
      <c r="N40" t="s">
        <v>16128</v>
      </c>
      <c r="O40" t="s">
        <v>7496</v>
      </c>
      <c r="P40" t="s">
        <v>16129</v>
      </c>
      <c r="Q40" t="s">
        <v>25</v>
      </c>
      <c r="R40" t="s">
        <v>16130</v>
      </c>
    </row>
    <row r="41" spans="1:22">
      <c r="A41" t="s">
        <v>16218</v>
      </c>
      <c r="B41" t="s">
        <v>16145</v>
      </c>
      <c r="C41" t="s">
        <v>16219</v>
      </c>
      <c r="D41" t="s">
        <v>4479</v>
      </c>
      <c r="E41" s="14" t="s">
        <v>11561</v>
      </c>
      <c r="F41" t="s">
        <v>16131</v>
      </c>
      <c r="G41" s="17" t="str">
        <f>Config!$B$3</f>
        <v>SCH/R_IEC.SchLib</v>
      </c>
      <c r="H41" t="s">
        <v>16149</v>
      </c>
      <c r="I41" s="18" t="s">
        <v>16150</v>
      </c>
      <c r="J41" t="s">
        <v>16267</v>
      </c>
      <c r="M41" s="3">
        <v>1400</v>
      </c>
      <c r="N41" t="s">
        <v>16159</v>
      </c>
      <c r="O41" t="s">
        <v>7496</v>
      </c>
      <c r="P41" t="s">
        <v>16160</v>
      </c>
      <c r="Q41" t="s">
        <v>25</v>
      </c>
      <c r="R41" t="s">
        <v>16161</v>
      </c>
      <c r="S41" t="s">
        <v>7496</v>
      </c>
      <c r="T41" t="s">
        <v>16137</v>
      </c>
      <c r="U41" t="s">
        <v>25</v>
      </c>
      <c r="V41" t="s">
        <v>16138</v>
      </c>
    </row>
    <row r="42" spans="1:22">
      <c r="A42" t="s">
        <v>16268</v>
      </c>
      <c r="B42" t="s">
        <v>16225</v>
      </c>
      <c r="C42" t="s">
        <v>16269</v>
      </c>
      <c r="D42" t="s">
        <v>4479</v>
      </c>
      <c r="E42" s="14" t="s">
        <v>11561</v>
      </c>
      <c r="F42" t="s">
        <v>16227</v>
      </c>
      <c r="G42" s="17" t="str">
        <f>Config!$B$3</f>
        <v>SCH/R_IEC.SchLib</v>
      </c>
      <c r="H42" t="s">
        <v>16149</v>
      </c>
      <c r="I42" s="18" t="s">
        <v>16150</v>
      </c>
      <c r="J42" t="s">
        <v>16267</v>
      </c>
      <c r="M42" s="3">
        <v>1600</v>
      </c>
      <c r="N42" t="s">
        <v>16228</v>
      </c>
      <c r="O42" t="s">
        <v>7496</v>
      </c>
      <c r="P42" t="s">
        <v>16229</v>
      </c>
      <c r="Q42" t="s">
        <v>25</v>
      </c>
      <c r="R42" t="s">
        <v>16230</v>
      </c>
      <c r="S42" t="s">
        <v>7496</v>
      </c>
      <c r="T42" t="s">
        <v>16231</v>
      </c>
      <c r="U42" t="s">
        <v>25</v>
      </c>
      <c r="V42" t="s">
        <v>16232</v>
      </c>
    </row>
    <row r="43" spans="1:22">
      <c r="A43" t="s">
        <v>16220</v>
      </c>
      <c r="B43" t="s">
        <v>16146</v>
      </c>
      <c r="C43" t="s">
        <v>16221</v>
      </c>
      <c r="D43" t="s">
        <v>4479</v>
      </c>
      <c r="E43" s="14" t="s">
        <v>11561</v>
      </c>
      <c r="F43" t="s">
        <v>16132</v>
      </c>
      <c r="G43" s="17" t="str">
        <f>Config!$B$3</f>
        <v>SCH/R_IEC.SchLib</v>
      </c>
      <c r="H43" t="s">
        <v>16149</v>
      </c>
      <c r="I43" s="18" t="s">
        <v>16150</v>
      </c>
      <c r="J43" t="s">
        <v>16267</v>
      </c>
      <c r="M43" s="3">
        <v>2500</v>
      </c>
      <c r="N43" t="s">
        <v>16135</v>
      </c>
      <c r="O43" t="s">
        <v>7496</v>
      </c>
      <c r="P43" t="s">
        <v>16139</v>
      </c>
      <c r="Q43" t="s">
        <v>25</v>
      </c>
      <c r="R43" t="s">
        <v>16140</v>
      </c>
    </row>
    <row r="44" spans="1:22">
      <c r="A44" t="s">
        <v>16222</v>
      </c>
      <c r="B44" t="s">
        <v>16147</v>
      </c>
      <c r="C44" t="s">
        <v>16223</v>
      </c>
      <c r="D44" t="s">
        <v>4479</v>
      </c>
      <c r="E44" s="14" t="s">
        <v>11561</v>
      </c>
      <c r="F44" t="s">
        <v>16133</v>
      </c>
      <c r="G44" s="17" t="str">
        <f>Config!$B$3</f>
        <v>SCH/R_IEC.SchLib</v>
      </c>
      <c r="H44" t="s">
        <v>16149</v>
      </c>
      <c r="I44" s="18" t="s">
        <v>16150</v>
      </c>
      <c r="J44" t="s">
        <v>16267</v>
      </c>
      <c r="M44" s="3">
        <v>3500</v>
      </c>
      <c r="N44" t="s">
        <v>16136</v>
      </c>
      <c r="O44" t="s">
        <v>7496</v>
      </c>
      <c r="P44" t="s">
        <v>16141</v>
      </c>
      <c r="Q44" t="s">
        <v>25</v>
      </c>
      <c r="R44" t="s">
        <v>16142</v>
      </c>
    </row>
    <row r="45" spans="1:22">
      <c r="A45" t="s">
        <v>16270</v>
      </c>
      <c r="B45" t="s">
        <v>16235</v>
      </c>
      <c r="C45" t="s">
        <v>16271</v>
      </c>
      <c r="D45" t="s">
        <v>4479</v>
      </c>
      <c r="E45" s="14" t="s">
        <v>11561</v>
      </c>
      <c r="F45" t="s">
        <v>16233</v>
      </c>
      <c r="G45" s="17" t="str">
        <f>Config!$B$3</f>
        <v>SCH/R_IEC.SchLib</v>
      </c>
      <c r="H45" t="s">
        <v>16149</v>
      </c>
      <c r="I45" s="18" t="s">
        <v>16150</v>
      </c>
      <c r="J45" t="s">
        <v>16267</v>
      </c>
      <c r="M45" s="3">
        <v>4500</v>
      </c>
      <c r="N45" t="s">
        <v>16241</v>
      </c>
      <c r="O45" t="s">
        <v>7496</v>
      </c>
      <c r="P45" t="s">
        <v>16242</v>
      </c>
      <c r="Q45" t="s">
        <v>25</v>
      </c>
      <c r="R45" t="s">
        <v>16243</v>
      </c>
    </row>
    <row r="46" spans="1:22">
      <c r="A46" t="s">
        <v>16272</v>
      </c>
      <c r="B46" t="s">
        <v>16238</v>
      </c>
      <c r="C46" t="s">
        <v>16273</v>
      </c>
      <c r="D46" t="s">
        <v>4479</v>
      </c>
      <c r="E46" s="14" t="s">
        <v>11561</v>
      </c>
      <c r="F46" t="s">
        <v>16240</v>
      </c>
      <c r="G46" s="17" t="str">
        <f>Config!$B$3</f>
        <v>SCH/R_IEC.SchLib</v>
      </c>
      <c r="H46" t="s">
        <v>16149</v>
      </c>
      <c r="I46" s="18" t="s">
        <v>16150</v>
      </c>
      <c r="J46" t="s">
        <v>16267</v>
      </c>
      <c r="M46" s="3">
        <v>5500</v>
      </c>
      <c r="N46" t="s">
        <v>16244</v>
      </c>
      <c r="O46" t="s">
        <v>7496</v>
      </c>
      <c r="P46" t="s">
        <v>16245</v>
      </c>
      <c r="Q46" t="s">
        <v>25</v>
      </c>
      <c r="R46" t="s">
        <v>16246</v>
      </c>
    </row>
    <row r="48" spans="1:22">
      <c r="A48" t="s">
        <v>16274</v>
      </c>
      <c r="B48" t="s">
        <v>16164</v>
      </c>
      <c r="C48" t="s">
        <v>16412</v>
      </c>
      <c r="D48" t="s">
        <v>4479</v>
      </c>
      <c r="E48" s="14" t="s">
        <v>11561</v>
      </c>
      <c r="F48" t="s">
        <v>16148</v>
      </c>
      <c r="G48" s="17" t="str">
        <f>Config!$B$3</f>
        <v>SCH/R_IEC.SchLib</v>
      </c>
      <c r="H48" t="s">
        <v>16149</v>
      </c>
      <c r="I48" s="18" t="s">
        <v>16150</v>
      </c>
      <c r="J48" t="s">
        <v>16319</v>
      </c>
      <c r="M48" s="3">
        <v>800</v>
      </c>
      <c r="N48" t="s">
        <v>16152</v>
      </c>
      <c r="O48" t="s">
        <v>7496</v>
      </c>
      <c r="P48" t="s">
        <v>16153</v>
      </c>
      <c r="Q48" t="s">
        <v>25</v>
      </c>
      <c r="R48" t="s">
        <v>16154</v>
      </c>
      <c r="S48" t="s">
        <v>7496</v>
      </c>
      <c r="T48" t="s">
        <v>16155</v>
      </c>
      <c r="U48" t="s">
        <v>25</v>
      </c>
      <c r="V48" t="s">
        <v>16156</v>
      </c>
    </row>
    <row r="49" spans="1:22">
      <c r="A49" t="s">
        <v>16275</v>
      </c>
      <c r="B49" t="s">
        <v>16143</v>
      </c>
      <c r="C49" t="s">
        <v>16413</v>
      </c>
      <c r="D49" t="s">
        <v>4479</v>
      </c>
      <c r="E49" s="14" t="s">
        <v>11561</v>
      </c>
      <c r="F49" t="s">
        <v>13999</v>
      </c>
      <c r="G49" s="17" t="str">
        <f>Config!$B$3</f>
        <v>SCH/R_IEC.SchLib</v>
      </c>
      <c r="H49" t="s">
        <v>16149</v>
      </c>
      <c r="I49" s="18" t="s">
        <v>16150</v>
      </c>
      <c r="J49" t="s">
        <v>16319</v>
      </c>
      <c r="M49" s="3">
        <v>1000</v>
      </c>
      <c r="N49" t="s">
        <v>16134</v>
      </c>
      <c r="O49" t="s">
        <v>7496</v>
      </c>
      <c r="P49" t="s">
        <v>16157</v>
      </c>
      <c r="Q49" t="s">
        <v>25</v>
      </c>
      <c r="R49" t="s">
        <v>16158</v>
      </c>
      <c r="S49" t="s">
        <v>7496</v>
      </c>
      <c r="T49" t="s">
        <v>16126</v>
      </c>
      <c r="U49" t="s">
        <v>25</v>
      </c>
      <c r="V49" t="s">
        <v>16127</v>
      </c>
    </row>
    <row r="50" spans="1:22">
      <c r="A50" t="s">
        <v>16276</v>
      </c>
      <c r="B50" t="s">
        <v>16144</v>
      </c>
      <c r="C50" t="s">
        <v>16414</v>
      </c>
      <c r="D50" t="s">
        <v>4479</v>
      </c>
      <c r="E50" s="14" t="s">
        <v>11561</v>
      </c>
      <c r="F50" t="s">
        <v>10749</v>
      </c>
      <c r="G50" s="17" t="str">
        <f>Config!$B$3</f>
        <v>SCH/R_IEC.SchLib</v>
      </c>
      <c r="H50" t="s">
        <v>16149</v>
      </c>
      <c r="I50" s="18" t="s">
        <v>16150</v>
      </c>
      <c r="J50" t="s">
        <v>16319</v>
      </c>
      <c r="M50" s="3">
        <v>1200</v>
      </c>
      <c r="N50" t="s">
        <v>16128</v>
      </c>
      <c r="O50" t="s">
        <v>7496</v>
      </c>
      <c r="P50" t="s">
        <v>16129</v>
      </c>
      <c r="Q50" t="s">
        <v>25</v>
      </c>
      <c r="R50" t="s">
        <v>16130</v>
      </c>
    </row>
    <row r="51" spans="1:22">
      <c r="A51" t="s">
        <v>16277</v>
      </c>
      <c r="B51" t="s">
        <v>16145</v>
      </c>
      <c r="C51" t="s">
        <v>16415</v>
      </c>
      <c r="D51" t="s">
        <v>4479</v>
      </c>
      <c r="E51" s="14" t="s">
        <v>11561</v>
      </c>
      <c r="F51" t="s">
        <v>16131</v>
      </c>
      <c r="G51" s="17" t="str">
        <f>Config!$B$3</f>
        <v>SCH/R_IEC.SchLib</v>
      </c>
      <c r="H51" t="s">
        <v>16149</v>
      </c>
      <c r="I51" s="18" t="s">
        <v>16150</v>
      </c>
      <c r="J51" t="s">
        <v>16319</v>
      </c>
      <c r="M51" s="3">
        <v>1400</v>
      </c>
      <c r="N51" t="s">
        <v>16159</v>
      </c>
      <c r="O51" t="s">
        <v>7496</v>
      </c>
      <c r="P51" t="s">
        <v>16160</v>
      </c>
      <c r="Q51" t="s">
        <v>25</v>
      </c>
      <c r="R51" t="s">
        <v>16161</v>
      </c>
      <c r="S51" t="s">
        <v>7496</v>
      </c>
      <c r="T51" t="s">
        <v>16137</v>
      </c>
      <c r="U51" t="s">
        <v>25</v>
      </c>
      <c r="V51" t="s">
        <v>16138</v>
      </c>
    </row>
    <row r="52" spans="1:22">
      <c r="A52" t="s">
        <v>16278</v>
      </c>
      <c r="B52" t="s">
        <v>16225</v>
      </c>
      <c r="C52" t="s">
        <v>16416</v>
      </c>
      <c r="D52" t="s">
        <v>4479</v>
      </c>
      <c r="E52" s="14" t="s">
        <v>11561</v>
      </c>
      <c r="F52" t="s">
        <v>16227</v>
      </c>
      <c r="G52" s="17" t="str">
        <f>Config!$B$3</f>
        <v>SCH/R_IEC.SchLib</v>
      </c>
      <c r="H52" t="s">
        <v>16149</v>
      </c>
      <c r="I52" s="18" t="s">
        <v>16150</v>
      </c>
      <c r="J52" t="s">
        <v>16319</v>
      </c>
      <c r="M52" s="3">
        <v>1600</v>
      </c>
      <c r="N52" t="s">
        <v>16228</v>
      </c>
      <c r="O52" t="s">
        <v>7496</v>
      </c>
      <c r="P52" t="s">
        <v>16229</v>
      </c>
      <c r="Q52" t="s">
        <v>25</v>
      </c>
      <c r="R52" t="s">
        <v>16230</v>
      </c>
      <c r="S52" t="s">
        <v>7496</v>
      </c>
      <c r="T52" t="s">
        <v>16231</v>
      </c>
      <c r="U52" t="s">
        <v>25</v>
      </c>
      <c r="V52" t="s">
        <v>16232</v>
      </c>
    </row>
    <row r="53" spans="1:22">
      <c r="A53" t="s">
        <v>16279</v>
      </c>
      <c r="B53" t="s">
        <v>16146</v>
      </c>
      <c r="C53" t="s">
        <v>16417</v>
      </c>
      <c r="D53" t="s">
        <v>4479</v>
      </c>
      <c r="E53" s="14" t="s">
        <v>11561</v>
      </c>
      <c r="F53" t="s">
        <v>16132</v>
      </c>
      <c r="G53" s="17" t="str">
        <f>Config!$B$3</f>
        <v>SCH/R_IEC.SchLib</v>
      </c>
      <c r="H53" t="s">
        <v>16149</v>
      </c>
      <c r="I53" s="18" t="s">
        <v>16150</v>
      </c>
      <c r="J53" t="s">
        <v>16319</v>
      </c>
      <c r="M53" s="3">
        <v>2500</v>
      </c>
      <c r="N53" t="s">
        <v>16135</v>
      </c>
      <c r="O53" t="s">
        <v>7496</v>
      </c>
      <c r="P53" t="s">
        <v>16139</v>
      </c>
      <c r="Q53" t="s">
        <v>25</v>
      </c>
      <c r="R53" t="s">
        <v>16140</v>
      </c>
    </row>
    <row r="54" spans="1:22">
      <c r="A54" t="s">
        <v>16280</v>
      </c>
      <c r="B54" t="s">
        <v>16147</v>
      </c>
      <c r="C54" t="s">
        <v>16418</v>
      </c>
      <c r="D54" t="s">
        <v>4479</v>
      </c>
      <c r="E54" s="14" t="s">
        <v>11561</v>
      </c>
      <c r="F54" t="s">
        <v>16133</v>
      </c>
      <c r="G54" s="17" t="str">
        <f>Config!$B$3</f>
        <v>SCH/R_IEC.SchLib</v>
      </c>
      <c r="H54" t="s">
        <v>16149</v>
      </c>
      <c r="I54" s="18" t="s">
        <v>16150</v>
      </c>
      <c r="J54" t="s">
        <v>16319</v>
      </c>
      <c r="M54" s="3">
        <v>3500</v>
      </c>
      <c r="N54" t="s">
        <v>16136</v>
      </c>
      <c r="O54" t="s">
        <v>7496</v>
      </c>
      <c r="P54" t="s">
        <v>16141</v>
      </c>
      <c r="Q54" t="s">
        <v>25</v>
      </c>
      <c r="R54" t="s">
        <v>16142</v>
      </c>
    </row>
    <row r="55" spans="1:22">
      <c r="A55" t="s">
        <v>16281</v>
      </c>
      <c r="B55" t="s">
        <v>16235</v>
      </c>
      <c r="C55" t="s">
        <v>16419</v>
      </c>
      <c r="D55" t="s">
        <v>4479</v>
      </c>
      <c r="E55" s="14" t="s">
        <v>11561</v>
      </c>
      <c r="F55" t="s">
        <v>16233</v>
      </c>
      <c r="G55" s="17" t="str">
        <f>Config!$B$3</f>
        <v>SCH/R_IEC.SchLib</v>
      </c>
      <c r="H55" t="s">
        <v>16149</v>
      </c>
      <c r="I55" s="18" t="s">
        <v>16150</v>
      </c>
      <c r="J55" t="s">
        <v>16319</v>
      </c>
      <c r="M55" s="3">
        <v>4500</v>
      </c>
      <c r="N55" t="s">
        <v>16241</v>
      </c>
      <c r="O55" t="s">
        <v>7496</v>
      </c>
      <c r="P55" t="s">
        <v>16242</v>
      </c>
      <c r="Q55" t="s">
        <v>25</v>
      </c>
      <c r="R55" t="s">
        <v>16243</v>
      </c>
    </row>
    <row r="56" spans="1:22">
      <c r="A56" t="s">
        <v>16282</v>
      </c>
      <c r="B56" t="s">
        <v>16238</v>
      </c>
      <c r="C56" t="s">
        <v>16420</v>
      </c>
      <c r="D56" t="s">
        <v>4479</v>
      </c>
      <c r="E56" s="14" t="s">
        <v>11561</v>
      </c>
      <c r="F56" t="s">
        <v>16240</v>
      </c>
      <c r="G56" s="17" t="str">
        <f>Config!$B$3</f>
        <v>SCH/R_IEC.SchLib</v>
      </c>
      <c r="H56" t="s">
        <v>16149</v>
      </c>
      <c r="I56" s="18" t="s">
        <v>16150</v>
      </c>
      <c r="J56" t="s">
        <v>16319</v>
      </c>
      <c r="M56" s="3">
        <v>5500</v>
      </c>
      <c r="N56" t="s">
        <v>16244</v>
      </c>
      <c r="O56" t="s">
        <v>7496</v>
      </c>
      <c r="P56" t="s">
        <v>16245</v>
      </c>
      <c r="Q56" t="s">
        <v>25</v>
      </c>
      <c r="R56" t="s">
        <v>16246</v>
      </c>
    </row>
    <row r="57" spans="1:22">
      <c r="A57" t="s">
        <v>16283</v>
      </c>
      <c r="B57" t="s">
        <v>16164</v>
      </c>
      <c r="C57" t="s">
        <v>16421</v>
      </c>
      <c r="D57" t="s">
        <v>4479</v>
      </c>
      <c r="E57" s="14" t="s">
        <v>11561</v>
      </c>
      <c r="F57" t="s">
        <v>16148</v>
      </c>
      <c r="G57" s="17" t="str">
        <f>Config!$B$3</f>
        <v>SCH/R_IEC.SchLib</v>
      </c>
      <c r="H57" t="s">
        <v>16149</v>
      </c>
      <c r="I57" s="18" t="s">
        <v>16150</v>
      </c>
      <c r="J57" t="s">
        <v>16319</v>
      </c>
      <c r="M57" s="3">
        <v>800</v>
      </c>
      <c r="N57" t="s">
        <v>16152</v>
      </c>
      <c r="O57" t="s">
        <v>7496</v>
      </c>
      <c r="P57" t="s">
        <v>16153</v>
      </c>
      <c r="Q57" t="s">
        <v>25</v>
      </c>
      <c r="R57" t="s">
        <v>16154</v>
      </c>
      <c r="S57" t="s">
        <v>7496</v>
      </c>
      <c r="T57" t="s">
        <v>16155</v>
      </c>
      <c r="U57" t="s">
        <v>25</v>
      </c>
      <c r="V57" t="s">
        <v>16156</v>
      </c>
    </row>
    <row r="58" spans="1:22">
      <c r="A58" t="s">
        <v>16284</v>
      </c>
      <c r="B58" t="s">
        <v>16143</v>
      </c>
      <c r="C58" t="s">
        <v>16422</v>
      </c>
      <c r="D58" t="s">
        <v>4479</v>
      </c>
      <c r="E58" s="14" t="s">
        <v>11561</v>
      </c>
      <c r="F58" t="s">
        <v>13999</v>
      </c>
      <c r="G58" s="17" t="str">
        <f>Config!$B$3</f>
        <v>SCH/R_IEC.SchLib</v>
      </c>
      <c r="H58" t="s">
        <v>16149</v>
      </c>
      <c r="I58" s="18" t="s">
        <v>16150</v>
      </c>
      <c r="J58" t="s">
        <v>16319</v>
      </c>
      <c r="M58" s="3">
        <v>1000</v>
      </c>
      <c r="N58" t="s">
        <v>16134</v>
      </c>
      <c r="O58" t="s">
        <v>7496</v>
      </c>
      <c r="P58" t="s">
        <v>16157</v>
      </c>
      <c r="Q58" t="s">
        <v>25</v>
      </c>
      <c r="R58" t="s">
        <v>16158</v>
      </c>
      <c r="S58" t="s">
        <v>7496</v>
      </c>
      <c r="T58" t="s">
        <v>16126</v>
      </c>
      <c r="U58" t="s">
        <v>25</v>
      </c>
      <c r="V58" t="s">
        <v>16127</v>
      </c>
    </row>
    <row r="59" spans="1:22">
      <c r="A59" t="s">
        <v>16285</v>
      </c>
      <c r="B59" t="s">
        <v>16144</v>
      </c>
      <c r="C59" t="s">
        <v>16423</v>
      </c>
      <c r="D59" t="s">
        <v>4479</v>
      </c>
      <c r="E59" s="14" t="s">
        <v>11561</v>
      </c>
      <c r="F59" t="s">
        <v>10749</v>
      </c>
      <c r="G59" s="17" t="str">
        <f>Config!$B$3</f>
        <v>SCH/R_IEC.SchLib</v>
      </c>
      <c r="H59" t="s">
        <v>16149</v>
      </c>
      <c r="I59" s="18" t="s">
        <v>16150</v>
      </c>
      <c r="J59" t="s">
        <v>16319</v>
      </c>
      <c r="M59" s="3">
        <v>1200</v>
      </c>
      <c r="N59" t="s">
        <v>16128</v>
      </c>
      <c r="O59" t="s">
        <v>7496</v>
      </c>
      <c r="P59" t="s">
        <v>16129</v>
      </c>
      <c r="Q59" t="s">
        <v>25</v>
      </c>
      <c r="R59" t="s">
        <v>16130</v>
      </c>
    </row>
    <row r="60" spans="1:22">
      <c r="A60" t="s">
        <v>16286</v>
      </c>
      <c r="B60" t="s">
        <v>16145</v>
      </c>
      <c r="C60" t="s">
        <v>16424</v>
      </c>
      <c r="D60" t="s">
        <v>4479</v>
      </c>
      <c r="E60" s="14" t="s">
        <v>11561</v>
      </c>
      <c r="F60" t="s">
        <v>16131</v>
      </c>
      <c r="G60" s="17" t="str">
        <f>Config!$B$3</f>
        <v>SCH/R_IEC.SchLib</v>
      </c>
      <c r="H60" t="s">
        <v>16149</v>
      </c>
      <c r="I60" s="18" t="s">
        <v>16150</v>
      </c>
      <c r="J60" t="s">
        <v>16319</v>
      </c>
      <c r="M60" s="3">
        <v>1400</v>
      </c>
      <c r="N60" t="s">
        <v>16159</v>
      </c>
      <c r="O60" t="s">
        <v>7496</v>
      </c>
      <c r="P60" t="s">
        <v>16160</v>
      </c>
      <c r="Q60" t="s">
        <v>25</v>
      </c>
      <c r="R60" t="s">
        <v>16161</v>
      </c>
      <c r="S60" t="s">
        <v>7496</v>
      </c>
      <c r="T60" t="s">
        <v>16137</v>
      </c>
      <c r="U60" t="s">
        <v>25</v>
      </c>
      <c r="V60" t="s">
        <v>16138</v>
      </c>
    </row>
    <row r="61" spans="1:22">
      <c r="A61" t="s">
        <v>16287</v>
      </c>
      <c r="B61" t="s">
        <v>16225</v>
      </c>
      <c r="C61" t="s">
        <v>16425</v>
      </c>
      <c r="D61" t="s">
        <v>4479</v>
      </c>
      <c r="E61" s="14" t="s">
        <v>11561</v>
      </c>
      <c r="F61" t="s">
        <v>16227</v>
      </c>
      <c r="G61" s="17" t="str">
        <f>Config!$B$3</f>
        <v>SCH/R_IEC.SchLib</v>
      </c>
      <c r="H61" t="s">
        <v>16149</v>
      </c>
      <c r="I61" s="18" t="s">
        <v>16150</v>
      </c>
      <c r="J61" t="s">
        <v>16319</v>
      </c>
      <c r="M61" s="3">
        <v>1600</v>
      </c>
      <c r="N61" t="s">
        <v>16228</v>
      </c>
      <c r="O61" t="s">
        <v>7496</v>
      </c>
      <c r="P61" t="s">
        <v>16229</v>
      </c>
      <c r="Q61" t="s">
        <v>25</v>
      </c>
      <c r="R61" t="s">
        <v>16230</v>
      </c>
      <c r="S61" t="s">
        <v>7496</v>
      </c>
      <c r="T61" t="s">
        <v>16231</v>
      </c>
      <c r="U61" t="s">
        <v>25</v>
      </c>
      <c r="V61" t="s">
        <v>16232</v>
      </c>
    </row>
    <row r="62" spans="1:22">
      <c r="A62" t="s">
        <v>16288</v>
      </c>
      <c r="B62" t="s">
        <v>16146</v>
      </c>
      <c r="C62" t="s">
        <v>16426</v>
      </c>
      <c r="D62" t="s">
        <v>4479</v>
      </c>
      <c r="E62" s="14" t="s">
        <v>11561</v>
      </c>
      <c r="F62" t="s">
        <v>16132</v>
      </c>
      <c r="G62" s="17" t="str">
        <f>Config!$B$3</f>
        <v>SCH/R_IEC.SchLib</v>
      </c>
      <c r="H62" t="s">
        <v>16149</v>
      </c>
      <c r="I62" s="18" t="s">
        <v>16150</v>
      </c>
      <c r="J62" t="s">
        <v>16319</v>
      </c>
      <c r="M62" s="3">
        <v>2500</v>
      </c>
      <c r="N62" t="s">
        <v>16135</v>
      </c>
      <c r="O62" t="s">
        <v>7496</v>
      </c>
      <c r="P62" t="s">
        <v>16139</v>
      </c>
      <c r="Q62" t="s">
        <v>25</v>
      </c>
      <c r="R62" t="s">
        <v>16140</v>
      </c>
    </row>
    <row r="63" spans="1:22">
      <c r="A63" t="s">
        <v>16289</v>
      </c>
      <c r="B63" t="s">
        <v>16147</v>
      </c>
      <c r="C63" t="s">
        <v>16427</v>
      </c>
      <c r="D63" t="s">
        <v>4479</v>
      </c>
      <c r="E63" s="14" t="s">
        <v>11561</v>
      </c>
      <c r="F63" t="s">
        <v>16133</v>
      </c>
      <c r="G63" s="17" t="str">
        <f>Config!$B$3</f>
        <v>SCH/R_IEC.SchLib</v>
      </c>
      <c r="H63" t="s">
        <v>16149</v>
      </c>
      <c r="I63" s="18" t="s">
        <v>16150</v>
      </c>
      <c r="J63" t="s">
        <v>16319</v>
      </c>
      <c r="M63" s="3">
        <v>3500</v>
      </c>
      <c r="N63" t="s">
        <v>16136</v>
      </c>
      <c r="O63" t="s">
        <v>7496</v>
      </c>
      <c r="P63" t="s">
        <v>16141</v>
      </c>
      <c r="Q63" t="s">
        <v>25</v>
      </c>
      <c r="R63" t="s">
        <v>16142</v>
      </c>
    </row>
    <row r="64" spans="1:22">
      <c r="A64" t="s">
        <v>16290</v>
      </c>
      <c r="B64" t="s">
        <v>16235</v>
      </c>
      <c r="C64" t="s">
        <v>16428</v>
      </c>
      <c r="D64" t="s">
        <v>4479</v>
      </c>
      <c r="E64" s="14" t="s">
        <v>11561</v>
      </c>
      <c r="F64" t="s">
        <v>16233</v>
      </c>
      <c r="G64" s="17" t="str">
        <f>Config!$B$3</f>
        <v>SCH/R_IEC.SchLib</v>
      </c>
      <c r="H64" t="s">
        <v>16149</v>
      </c>
      <c r="I64" s="18" t="s">
        <v>16150</v>
      </c>
      <c r="J64" t="s">
        <v>16319</v>
      </c>
      <c r="M64" s="3">
        <v>4500</v>
      </c>
      <c r="N64" t="s">
        <v>16241</v>
      </c>
      <c r="O64" t="s">
        <v>7496</v>
      </c>
      <c r="P64" t="s">
        <v>16242</v>
      </c>
      <c r="Q64" t="s">
        <v>25</v>
      </c>
      <c r="R64" t="s">
        <v>16243</v>
      </c>
    </row>
    <row r="65" spans="1:22">
      <c r="A65" t="s">
        <v>16291</v>
      </c>
      <c r="B65" t="s">
        <v>16238</v>
      </c>
      <c r="C65" t="s">
        <v>16429</v>
      </c>
      <c r="D65" t="s">
        <v>4479</v>
      </c>
      <c r="E65" s="14" t="s">
        <v>11561</v>
      </c>
      <c r="F65" t="s">
        <v>16240</v>
      </c>
      <c r="G65" s="17" t="str">
        <f>Config!$B$3</f>
        <v>SCH/R_IEC.SchLib</v>
      </c>
      <c r="H65" t="s">
        <v>16149</v>
      </c>
      <c r="I65" s="18" t="s">
        <v>16150</v>
      </c>
      <c r="J65" t="s">
        <v>16319</v>
      </c>
      <c r="M65" s="3">
        <v>5500</v>
      </c>
      <c r="N65" t="s">
        <v>16244</v>
      </c>
      <c r="O65" t="s">
        <v>7496</v>
      </c>
      <c r="P65" t="s">
        <v>16245</v>
      </c>
      <c r="Q65" t="s">
        <v>25</v>
      </c>
      <c r="R65" t="s">
        <v>16246</v>
      </c>
    </row>
    <row r="66" spans="1:22">
      <c r="A66" t="s">
        <v>16292</v>
      </c>
      <c r="B66" t="s">
        <v>16164</v>
      </c>
      <c r="C66" t="s">
        <v>16430</v>
      </c>
      <c r="D66" t="s">
        <v>4479</v>
      </c>
      <c r="E66" s="14" t="s">
        <v>11561</v>
      </c>
      <c r="F66" t="s">
        <v>16148</v>
      </c>
      <c r="G66" s="17" t="str">
        <f>Config!$B$3</f>
        <v>SCH/R_IEC.SchLib</v>
      </c>
      <c r="H66" t="s">
        <v>16149</v>
      </c>
      <c r="I66" s="18" t="s">
        <v>16150</v>
      </c>
      <c r="J66" t="s">
        <v>16319</v>
      </c>
      <c r="M66" s="3">
        <v>800</v>
      </c>
      <c r="N66" t="s">
        <v>16152</v>
      </c>
      <c r="O66" t="s">
        <v>7496</v>
      </c>
      <c r="P66" t="s">
        <v>16153</v>
      </c>
      <c r="Q66" t="s">
        <v>25</v>
      </c>
      <c r="R66" t="s">
        <v>16154</v>
      </c>
      <c r="S66" t="s">
        <v>7496</v>
      </c>
      <c r="T66" t="s">
        <v>16155</v>
      </c>
      <c r="U66" t="s">
        <v>25</v>
      </c>
      <c r="V66" t="s">
        <v>16156</v>
      </c>
    </row>
    <row r="67" spans="1:22">
      <c r="A67" t="s">
        <v>16293</v>
      </c>
      <c r="B67" t="s">
        <v>16143</v>
      </c>
      <c r="C67" t="s">
        <v>16431</v>
      </c>
      <c r="D67" t="s">
        <v>4479</v>
      </c>
      <c r="E67" s="14" t="s">
        <v>11561</v>
      </c>
      <c r="F67" t="s">
        <v>13999</v>
      </c>
      <c r="G67" s="17" t="str">
        <f>Config!$B$3</f>
        <v>SCH/R_IEC.SchLib</v>
      </c>
      <c r="H67" t="s">
        <v>16149</v>
      </c>
      <c r="I67" s="18" t="s">
        <v>16150</v>
      </c>
      <c r="J67" t="s">
        <v>16319</v>
      </c>
      <c r="M67" s="3">
        <v>1000</v>
      </c>
      <c r="N67" t="s">
        <v>16134</v>
      </c>
      <c r="O67" t="s">
        <v>7496</v>
      </c>
      <c r="P67" t="s">
        <v>16157</v>
      </c>
      <c r="Q67" t="s">
        <v>25</v>
      </c>
      <c r="R67" t="s">
        <v>16158</v>
      </c>
      <c r="S67" t="s">
        <v>7496</v>
      </c>
      <c r="T67" t="s">
        <v>16126</v>
      </c>
      <c r="U67" t="s">
        <v>25</v>
      </c>
      <c r="V67" t="s">
        <v>16127</v>
      </c>
    </row>
    <row r="68" spans="1:22">
      <c r="A68" t="s">
        <v>16294</v>
      </c>
      <c r="B68" t="s">
        <v>16144</v>
      </c>
      <c r="C68" t="s">
        <v>16432</v>
      </c>
      <c r="D68" t="s">
        <v>4479</v>
      </c>
      <c r="E68" s="14" t="s">
        <v>11561</v>
      </c>
      <c r="F68" t="s">
        <v>10749</v>
      </c>
      <c r="G68" s="17" t="str">
        <f>Config!$B$3</f>
        <v>SCH/R_IEC.SchLib</v>
      </c>
      <c r="H68" t="s">
        <v>16149</v>
      </c>
      <c r="I68" s="18" t="s">
        <v>16150</v>
      </c>
      <c r="J68" t="s">
        <v>16319</v>
      </c>
      <c r="M68" s="3">
        <v>1200</v>
      </c>
      <c r="N68" t="s">
        <v>16128</v>
      </c>
      <c r="O68" t="s">
        <v>7496</v>
      </c>
      <c r="P68" t="s">
        <v>16129</v>
      </c>
      <c r="Q68" t="s">
        <v>25</v>
      </c>
      <c r="R68" t="s">
        <v>16130</v>
      </c>
    </row>
    <row r="69" spans="1:22">
      <c r="A69" t="s">
        <v>16295</v>
      </c>
      <c r="B69" t="s">
        <v>16145</v>
      </c>
      <c r="C69" t="s">
        <v>16433</v>
      </c>
      <c r="D69" t="s">
        <v>4479</v>
      </c>
      <c r="E69" s="14" t="s">
        <v>11561</v>
      </c>
      <c r="F69" t="s">
        <v>16131</v>
      </c>
      <c r="G69" s="17" t="str">
        <f>Config!$B$3</f>
        <v>SCH/R_IEC.SchLib</v>
      </c>
      <c r="H69" t="s">
        <v>16149</v>
      </c>
      <c r="I69" s="18" t="s">
        <v>16150</v>
      </c>
      <c r="J69" t="s">
        <v>16319</v>
      </c>
      <c r="M69" s="3">
        <v>1400</v>
      </c>
      <c r="N69" t="s">
        <v>16159</v>
      </c>
      <c r="O69" t="s">
        <v>7496</v>
      </c>
      <c r="P69" t="s">
        <v>16160</v>
      </c>
      <c r="Q69" t="s">
        <v>25</v>
      </c>
      <c r="R69" t="s">
        <v>16161</v>
      </c>
      <c r="S69" t="s">
        <v>7496</v>
      </c>
      <c r="T69" t="s">
        <v>16137</v>
      </c>
      <c r="U69" t="s">
        <v>25</v>
      </c>
      <c r="V69" t="s">
        <v>16138</v>
      </c>
    </row>
    <row r="70" spans="1:22">
      <c r="A70" t="s">
        <v>16296</v>
      </c>
      <c r="B70" t="s">
        <v>16225</v>
      </c>
      <c r="C70" t="s">
        <v>16434</v>
      </c>
      <c r="D70" t="s">
        <v>4479</v>
      </c>
      <c r="E70" s="14" t="s">
        <v>11561</v>
      </c>
      <c r="F70" t="s">
        <v>16227</v>
      </c>
      <c r="G70" s="17" t="str">
        <f>Config!$B$3</f>
        <v>SCH/R_IEC.SchLib</v>
      </c>
      <c r="H70" t="s">
        <v>16149</v>
      </c>
      <c r="I70" s="18" t="s">
        <v>16150</v>
      </c>
      <c r="J70" t="s">
        <v>16319</v>
      </c>
      <c r="M70" s="3">
        <v>1600</v>
      </c>
      <c r="N70" t="s">
        <v>16228</v>
      </c>
      <c r="O70" t="s">
        <v>7496</v>
      </c>
      <c r="P70" t="s">
        <v>16229</v>
      </c>
      <c r="Q70" t="s">
        <v>25</v>
      </c>
      <c r="R70" t="s">
        <v>16230</v>
      </c>
      <c r="S70" t="s">
        <v>7496</v>
      </c>
      <c r="T70" t="s">
        <v>16231</v>
      </c>
      <c r="U70" t="s">
        <v>25</v>
      </c>
      <c r="V70" t="s">
        <v>16232</v>
      </c>
    </row>
    <row r="71" spans="1:22">
      <c r="A71" t="s">
        <v>16297</v>
      </c>
      <c r="B71" t="s">
        <v>16146</v>
      </c>
      <c r="C71" t="s">
        <v>16435</v>
      </c>
      <c r="D71" t="s">
        <v>4479</v>
      </c>
      <c r="E71" s="14" t="s">
        <v>11561</v>
      </c>
      <c r="F71" t="s">
        <v>16132</v>
      </c>
      <c r="G71" s="17" t="str">
        <f>Config!$B$3</f>
        <v>SCH/R_IEC.SchLib</v>
      </c>
      <c r="H71" t="s">
        <v>16149</v>
      </c>
      <c r="I71" s="18" t="s">
        <v>16150</v>
      </c>
      <c r="J71" t="s">
        <v>16319</v>
      </c>
      <c r="M71" s="3">
        <v>2500</v>
      </c>
      <c r="N71" t="s">
        <v>16135</v>
      </c>
      <c r="O71" t="s">
        <v>7496</v>
      </c>
      <c r="P71" t="s">
        <v>16139</v>
      </c>
      <c r="Q71" t="s">
        <v>25</v>
      </c>
      <c r="R71" t="s">
        <v>16140</v>
      </c>
    </row>
    <row r="72" spans="1:22">
      <c r="A72" t="s">
        <v>16298</v>
      </c>
      <c r="B72" t="s">
        <v>16147</v>
      </c>
      <c r="C72" t="s">
        <v>16436</v>
      </c>
      <c r="D72" t="s">
        <v>4479</v>
      </c>
      <c r="E72" s="14" t="s">
        <v>11561</v>
      </c>
      <c r="F72" t="s">
        <v>16133</v>
      </c>
      <c r="G72" s="17" t="str">
        <f>Config!$B$3</f>
        <v>SCH/R_IEC.SchLib</v>
      </c>
      <c r="H72" t="s">
        <v>16149</v>
      </c>
      <c r="I72" s="18" t="s">
        <v>16150</v>
      </c>
      <c r="J72" t="s">
        <v>16319</v>
      </c>
      <c r="M72" s="3">
        <v>3500</v>
      </c>
      <c r="N72" t="s">
        <v>16136</v>
      </c>
      <c r="O72" t="s">
        <v>7496</v>
      </c>
      <c r="P72" t="s">
        <v>16141</v>
      </c>
      <c r="Q72" t="s">
        <v>25</v>
      </c>
      <c r="R72" t="s">
        <v>16142</v>
      </c>
    </row>
    <row r="73" spans="1:22">
      <c r="A73" t="s">
        <v>16299</v>
      </c>
      <c r="B73" t="s">
        <v>16235</v>
      </c>
      <c r="C73" t="s">
        <v>16437</v>
      </c>
      <c r="D73" t="s">
        <v>4479</v>
      </c>
      <c r="E73" s="14" t="s">
        <v>11561</v>
      </c>
      <c r="F73" t="s">
        <v>16233</v>
      </c>
      <c r="G73" s="17" t="str">
        <f>Config!$B$3</f>
        <v>SCH/R_IEC.SchLib</v>
      </c>
      <c r="H73" t="s">
        <v>16149</v>
      </c>
      <c r="I73" s="18" t="s">
        <v>16150</v>
      </c>
      <c r="J73" t="s">
        <v>16319</v>
      </c>
      <c r="M73" s="3">
        <v>4500</v>
      </c>
      <c r="N73" t="s">
        <v>16241</v>
      </c>
      <c r="O73" t="s">
        <v>7496</v>
      </c>
      <c r="P73" t="s">
        <v>16242</v>
      </c>
      <c r="Q73" t="s">
        <v>25</v>
      </c>
      <c r="R73" t="s">
        <v>16243</v>
      </c>
    </row>
    <row r="74" spans="1:22">
      <c r="A74" t="s">
        <v>16300</v>
      </c>
      <c r="B74" t="s">
        <v>16238</v>
      </c>
      <c r="C74" t="s">
        <v>16438</v>
      </c>
      <c r="D74" t="s">
        <v>4479</v>
      </c>
      <c r="E74" s="14" t="s">
        <v>11561</v>
      </c>
      <c r="F74" t="s">
        <v>16240</v>
      </c>
      <c r="G74" s="17" t="str">
        <f>Config!$B$3</f>
        <v>SCH/R_IEC.SchLib</v>
      </c>
      <c r="H74" t="s">
        <v>16149</v>
      </c>
      <c r="I74" s="18" t="s">
        <v>16150</v>
      </c>
      <c r="J74" t="s">
        <v>16319</v>
      </c>
      <c r="M74" s="3">
        <v>5500</v>
      </c>
      <c r="N74" t="s">
        <v>16244</v>
      </c>
      <c r="O74" t="s">
        <v>7496</v>
      </c>
      <c r="P74" t="s">
        <v>16245</v>
      </c>
      <c r="Q74" t="s">
        <v>25</v>
      </c>
      <c r="R74" t="s">
        <v>16246</v>
      </c>
    </row>
    <row r="75" spans="1:22">
      <c r="A75" t="s">
        <v>16301</v>
      </c>
      <c r="B75" t="s">
        <v>16164</v>
      </c>
      <c r="C75" t="s">
        <v>16439</v>
      </c>
      <c r="D75" t="s">
        <v>4479</v>
      </c>
      <c r="E75" s="14" t="s">
        <v>11561</v>
      </c>
      <c r="F75" t="s">
        <v>16148</v>
      </c>
      <c r="G75" s="17" t="str">
        <f>Config!$B$3</f>
        <v>SCH/R_IEC.SchLib</v>
      </c>
      <c r="H75" t="s">
        <v>16149</v>
      </c>
      <c r="I75" s="18" t="s">
        <v>16150</v>
      </c>
      <c r="J75" t="s">
        <v>16319</v>
      </c>
      <c r="M75" s="3">
        <v>800</v>
      </c>
      <c r="N75" t="s">
        <v>16152</v>
      </c>
      <c r="O75" t="s">
        <v>7496</v>
      </c>
      <c r="P75" t="s">
        <v>16153</v>
      </c>
      <c r="Q75" t="s">
        <v>25</v>
      </c>
      <c r="R75" t="s">
        <v>16154</v>
      </c>
      <c r="S75" t="s">
        <v>7496</v>
      </c>
      <c r="T75" t="s">
        <v>16155</v>
      </c>
      <c r="U75" t="s">
        <v>25</v>
      </c>
      <c r="V75" t="s">
        <v>16156</v>
      </c>
    </row>
    <row r="76" spans="1:22">
      <c r="A76" t="s">
        <v>16302</v>
      </c>
      <c r="B76" t="s">
        <v>16143</v>
      </c>
      <c r="C76" t="s">
        <v>16440</v>
      </c>
      <c r="D76" t="s">
        <v>4479</v>
      </c>
      <c r="E76" s="14" t="s">
        <v>11561</v>
      </c>
      <c r="F76" t="s">
        <v>13999</v>
      </c>
      <c r="G76" s="17" t="str">
        <f>Config!$B$3</f>
        <v>SCH/R_IEC.SchLib</v>
      </c>
      <c r="H76" t="s">
        <v>16149</v>
      </c>
      <c r="I76" s="18" t="s">
        <v>16150</v>
      </c>
      <c r="J76" t="s">
        <v>16319</v>
      </c>
      <c r="M76" s="3">
        <v>1000</v>
      </c>
      <c r="N76" t="s">
        <v>16134</v>
      </c>
      <c r="O76" t="s">
        <v>7496</v>
      </c>
      <c r="P76" t="s">
        <v>16157</v>
      </c>
      <c r="Q76" t="s">
        <v>25</v>
      </c>
      <c r="R76" t="s">
        <v>16158</v>
      </c>
      <c r="S76" t="s">
        <v>7496</v>
      </c>
      <c r="T76" t="s">
        <v>16126</v>
      </c>
      <c r="U76" t="s">
        <v>25</v>
      </c>
      <c r="V76" t="s">
        <v>16127</v>
      </c>
    </row>
    <row r="77" spans="1:22">
      <c r="A77" t="s">
        <v>16303</v>
      </c>
      <c r="B77" t="s">
        <v>16144</v>
      </c>
      <c r="C77" t="s">
        <v>16441</v>
      </c>
      <c r="D77" t="s">
        <v>4479</v>
      </c>
      <c r="E77" s="14" t="s">
        <v>11561</v>
      </c>
      <c r="F77" t="s">
        <v>10749</v>
      </c>
      <c r="G77" s="17" t="str">
        <f>Config!$B$3</f>
        <v>SCH/R_IEC.SchLib</v>
      </c>
      <c r="H77" t="s">
        <v>16149</v>
      </c>
      <c r="I77" s="18" t="s">
        <v>16150</v>
      </c>
      <c r="J77" t="s">
        <v>16319</v>
      </c>
      <c r="M77" s="3">
        <v>1200</v>
      </c>
      <c r="N77" t="s">
        <v>16128</v>
      </c>
      <c r="O77" t="s">
        <v>7496</v>
      </c>
      <c r="P77" t="s">
        <v>16129</v>
      </c>
      <c r="Q77" t="s">
        <v>25</v>
      </c>
      <c r="R77" t="s">
        <v>16130</v>
      </c>
    </row>
    <row r="78" spans="1:22">
      <c r="A78" t="s">
        <v>16304</v>
      </c>
      <c r="B78" t="s">
        <v>16145</v>
      </c>
      <c r="C78" t="s">
        <v>16442</v>
      </c>
      <c r="D78" t="s">
        <v>4479</v>
      </c>
      <c r="E78" s="14" t="s">
        <v>11561</v>
      </c>
      <c r="F78" t="s">
        <v>16131</v>
      </c>
      <c r="G78" s="17" t="str">
        <f>Config!$B$3</f>
        <v>SCH/R_IEC.SchLib</v>
      </c>
      <c r="H78" t="s">
        <v>16149</v>
      </c>
      <c r="I78" s="18" t="s">
        <v>16150</v>
      </c>
      <c r="J78" t="s">
        <v>16319</v>
      </c>
      <c r="M78" s="3">
        <v>1400</v>
      </c>
      <c r="N78" t="s">
        <v>16159</v>
      </c>
      <c r="O78" t="s">
        <v>7496</v>
      </c>
      <c r="P78" t="s">
        <v>16160</v>
      </c>
      <c r="Q78" t="s">
        <v>25</v>
      </c>
      <c r="R78" t="s">
        <v>16161</v>
      </c>
      <c r="S78" t="s">
        <v>7496</v>
      </c>
      <c r="T78" t="s">
        <v>16137</v>
      </c>
      <c r="U78" t="s">
        <v>25</v>
      </c>
      <c r="V78" t="s">
        <v>16138</v>
      </c>
    </row>
    <row r="79" spans="1:22">
      <c r="A79" t="s">
        <v>16305</v>
      </c>
      <c r="B79" t="s">
        <v>16225</v>
      </c>
      <c r="C79" t="s">
        <v>16443</v>
      </c>
      <c r="D79" t="s">
        <v>4479</v>
      </c>
      <c r="E79" s="14" t="s">
        <v>11561</v>
      </c>
      <c r="F79" t="s">
        <v>16227</v>
      </c>
      <c r="G79" s="17" t="str">
        <f>Config!$B$3</f>
        <v>SCH/R_IEC.SchLib</v>
      </c>
      <c r="H79" t="s">
        <v>16149</v>
      </c>
      <c r="I79" s="18" t="s">
        <v>16150</v>
      </c>
      <c r="J79" t="s">
        <v>16319</v>
      </c>
      <c r="M79" s="3">
        <v>1600</v>
      </c>
      <c r="N79" t="s">
        <v>16228</v>
      </c>
      <c r="O79" t="s">
        <v>7496</v>
      </c>
      <c r="P79" t="s">
        <v>16229</v>
      </c>
      <c r="Q79" t="s">
        <v>25</v>
      </c>
      <c r="R79" t="s">
        <v>16230</v>
      </c>
      <c r="S79" t="s">
        <v>7496</v>
      </c>
      <c r="T79" t="s">
        <v>16231</v>
      </c>
      <c r="U79" t="s">
        <v>25</v>
      </c>
      <c r="V79" t="s">
        <v>16232</v>
      </c>
    </row>
    <row r="80" spans="1:22">
      <c r="A80" t="s">
        <v>16306</v>
      </c>
      <c r="B80" t="s">
        <v>16146</v>
      </c>
      <c r="C80" t="s">
        <v>16444</v>
      </c>
      <c r="D80" t="s">
        <v>4479</v>
      </c>
      <c r="E80" s="14" t="s">
        <v>11561</v>
      </c>
      <c r="F80" t="s">
        <v>16132</v>
      </c>
      <c r="G80" s="17" t="str">
        <f>Config!$B$3</f>
        <v>SCH/R_IEC.SchLib</v>
      </c>
      <c r="H80" t="s">
        <v>16149</v>
      </c>
      <c r="I80" s="18" t="s">
        <v>16150</v>
      </c>
      <c r="J80" t="s">
        <v>16319</v>
      </c>
      <c r="M80" s="3">
        <v>2500</v>
      </c>
      <c r="N80" t="s">
        <v>16135</v>
      </c>
      <c r="O80" t="s">
        <v>7496</v>
      </c>
      <c r="P80" t="s">
        <v>16139</v>
      </c>
      <c r="Q80" t="s">
        <v>25</v>
      </c>
      <c r="R80" t="s">
        <v>16140</v>
      </c>
    </row>
    <row r="81" spans="1:22">
      <c r="A81" t="s">
        <v>16307</v>
      </c>
      <c r="B81" t="s">
        <v>16147</v>
      </c>
      <c r="C81" t="s">
        <v>16445</v>
      </c>
      <c r="D81" t="s">
        <v>4479</v>
      </c>
      <c r="E81" s="14" t="s">
        <v>11561</v>
      </c>
      <c r="F81" t="s">
        <v>16133</v>
      </c>
      <c r="G81" s="17" t="str">
        <f>Config!$B$3</f>
        <v>SCH/R_IEC.SchLib</v>
      </c>
      <c r="H81" t="s">
        <v>16149</v>
      </c>
      <c r="I81" s="18" t="s">
        <v>16150</v>
      </c>
      <c r="J81" t="s">
        <v>16319</v>
      </c>
      <c r="M81" s="3">
        <v>3500</v>
      </c>
      <c r="N81" t="s">
        <v>16136</v>
      </c>
      <c r="O81" t="s">
        <v>7496</v>
      </c>
      <c r="P81" t="s">
        <v>16141</v>
      </c>
      <c r="Q81" t="s">
        <v>25</v>
      </c>
      <c r="R81" t="s">
        <v>16142</v>
      </c>
    </row>
    <row r="82" spans="1:22">
      <c r="A82" t="s">
        <v>16308</v>
      </c>
      <c r="B82" t="s">
        <v>16235</v>
      </c>
      <c r="C82" t="s">
        <v>16446</v>
      </c>
      <c r="D82" t="s">
        <v>4479</v>
      </c>
      <c r="E82" s="14" t="s">
        <v>11561</v>
      </c>
      <c r="F82" t="s">
        <v>16233</v>
      </c>
      <c r="G82" s="17" t="str">
        <f>Config!$B$3</f>
        <v>SCH/R_IEC.SchLib</v>
      </c>
      <c r="H82" t="s">
        <v>16149</v>
      </c>
      <c r="I82" s="18" t="s">
        <v>16150</v>
      </c>
      <c r="J82" t="s">
        <v>16319</v>
      </c>
      <c r="M82" s="3">
        <v>4500</v>
      </c>
      <c r="N82" t="s">
        <v>16241</v>
      </c>
      <c r="O82" t="s">
        <v>7496</v>
      </c>
      <c r="P82" t="s">
        <v>16242</v>
      </c>
      <c r="Q82" t="s">
        <v>25</v>
      </c>
      <c r="R82" t="s">
        <v>16243</v>
      </c>
    </row>
    <row r="83" spans="1:22">
      <c r="A83" t="s">
        <v>16309</v>
      </c>
      <c r="B83" t="s">
        <v>16238</v>
      </c>
      <c r="C83" t="s">
        <v>16447</v>
      </c>
      <c r="D83" t="s">
        <v>4479</v>
      </c>
      <c r="E83" s="14" t="s">
        <v>11561</v>
      </c>
      <c r="F83" t="s">
        <v>16240</v>
      </c>
      <c r="G83" s="17" t="str">
        <f>Config!$B$3</f>
        <v>SCH/R_IEC.SchLib</v>
      </c>
      <c r="H83" t="s">
        <v>16149</v>
      </c>
      <c r="I83" s="18" t="s">
        <v>16150</v>
      </c>
      <c r="J83" t="s">
        <v>16319</v>
      </c>
      <c r="M83" s="3">
        <v>5500</v>
      </c>
      <c r="N83" t="s">
        <v>16244</v>
      </c>
      <c r="O83" t="s">
        <v>7496</v>
      </c>
      <c r="P83" t="s">
        <v>16245</v>
      </c>
      <c r="Q83" t="s">
        <v>25</v>
      </c>
      <c r="R83" t="s">
        <v>16246</v>
      </c>
    </row>
    <row r="84" spans="1:22">
      <c r="A84" t="s">
        <v>16310</v>
      </c>
      <c r="B84" t="s">
        <v>16164</v>
      </c>
      <c r="C84" t="s">
        <v>16448</v>
      </c>
      <c r="D84" t="s">
        <v>4479</v>
      </c>
      <c r="E84" s="14" t="s">
        <v>11561</v>
      </c>
      <c r="F84" t="s">
        <v>16148</v>
      </c>
      <c r="G84" s="17" t="str">
        <f>Config!$B$3</f>
        <v>SCH/R_IEC.SchLib</v>
      </c>
      <c r="H84" t="s">
        <v>16149</v>
      </c>
      <c r="I84" s="18" t="s">
        <v>16150</v>
      </c>
      <c r="J84" t="s">
        <v>16319</v>
      </c>
      <c r="M84" s="3">
        <v>800</v>
      </c>
      <c r="N84" t="s">
        <v>16152</v>
      </c>
      <c r="O84" t="s">
        <v>7496</v>
      </c>
      <c r="P84" t="s">
        <v>16153</v>
      </c>
      <c r="Q84" t="s">
        <v>25</v>
      </c>
      <c r="R84" t="s">
        <v>16154</v>
      </c>
      <c r="S84" t="s">
        <v>7496</v>
      </c>
      <c r="T84" t="s">
        <v>16155</v>
      </c>
      <c r="U84" t="s">
        <v>25</v>
      </c>
      <c r="V84" t="s">
        <v>16156</v>
      </c>
    </row>
    <row r="85" spans="1:22">
      <c r="A85" t="s">
        <v>16311</v>
      </c>
      <c r="B85" t="s">
        <v>16143</v>
      </c>
      <c r="C85" t="s">
        <v>16449</v>
      </c>
      <c r="D85" t="s">
        <v>4479</v>
      </c>
      <c r="E85" s="14" t="s">
        <v>11561</v>
      </c>
      <c r="F85" t="s">
        <v>13999</v>
      </c>
      <c r="G85" s="17" t="str">
        <f>Config!$B$3</f>
        <v>SCH/R_IEC.SchLib</v>
      </c>
      <c r="H85" t="s">
        <v>16149</v>
      </c>
      <c r="I85" s="18" t="s">
        <v>16150</v>
      </c>
      <c r="J85" t="s">
        <v>16319</v>
      </c>
      <c r="M85" s="3">
        <v>1000</v>
      </c>
      <c r="N85" t="s">
        <v>16134</v>
      </c>
      <c r="O85" t="s">
        <v>7496</v>
      </c>
      <c r="P85" t="s">
        <v>16157</v>
      </c>
      <c r="Q85" t="s">
        <v>25</v>
      </c>
      <c r="R85" t="s">
        <v>16158</v>
      </c>
      <c r="S85" t="s">
        <v>7496</v>
      </c>
      <c r="T85" t="s">
        <v>16126</v>
      </c>
      <c r="U85" t="s">
        <v>25</v>
      </c>
      <c r="V85" t="s">
        <v>16127</v>
      </c>
    </row>
    <row r="86" spans="1:22">
      <c r="A86" t="s">
        <v>16312</v>
      </c>
      <c r="B86" t="s">
        <v>16144</v>
      </c>
      <c r="C86" t="s">
        <v>16450</v>
      </c>
      <c r="D86" t="s">
        <v>4479</v>
      </c>
      <c r="E86" s="14" t="s">
        <v>11561</v>
      </c>
      <c r="F86" t="s">
        <v>10749</v>
      </c>
      <c r="G86" s="17" t="str">
        <f>Config!$B$3</f>
        <v>SCH/R_IEC.SchLib</v>
      </c>
      <c r="H86" t="s">
        <v>16149</v>
      </c>
      <c r="I86" s="18" t="s">
        <v>16150</v>
      </c>
      <c r="J86" t="s">
        <v>16319</v>
      </c>
      <c r="M86" s="3">
        <v>1200</v>
      </c>
      <c r="N86" t="s">
        <v>16128</v>
      </c>
      <c r="O86" t="s">
        <v>7496</v>
      </c>
      <c r="P86" t="s">
        <v>16129</v>
      </c>
      <c r="Q86" t="s">
        <v>25</v>
      </c>
      <c r="R86" t="s">
        <v>16130</v>
      </c>
    </row>
    <row r="87" spans="1:22">
      <c r="A87" t="s">
        <v>16313</v>
      </c>
      <c r="B87" t="s">
        <v>16145</v>
      </c>
      <c r="C87" t="s">
        <v>16451</v>
      </c>
      <c r="D87" t="s">
        <v>4479</v>
      </c>
      <c r="E87" s="14" t="s">
        <v>11561</v>
      </c>
      <c r="F87" t="s">
        <v>16131</v>
      </c>
      <c r="G87" s="17" t="str">
        <f>Config!$B$3</f>
        <v>SCH/R_IEC.SchLib</v>
      </c>
      <c r="H87" t="s">
        <v>16149</v>
      </c>
      <c r="I87" s="18" t="s">
        <v>16150</v>
      </c>
      <c r="J87" t="s">
        <v>16319</v>
      </c>
      <c r="M87" s="3">
        <v>1400</v>
      </c>
      <c r="N87" t="s">
        <v>16159</v>
      </c>
      <c r="O87" t="s">
        <v>7496</v>
      </c>
      <c r="P87" t="s">
        <v>16160</v>
      </c>
      <c r="Q87" t="s">
        <v>25</v>
      </c>
      <c r="R87" t="s">
        <v>16161</v>
      </c>
      <c r="S87" t="s">
        <v>7496</v>
      </c>
      <c r="T87" t="s">
        <v>16137</v>
      </c>
      <c r="U87" t="s">
        <v>25</v>
      </c>
      <c r="V87" t="s">
        <v>16138</v>
      </c>
    </row>
    <row r="88" spans="1:22">
      <c r="A88" t="s">
        <v>16314</v>
      </c>
      <c r="B88" t="s">
        <v>16225</v>
      </c>
      <c r="C88" t="s">
        <v>16452</v>
      </c>
      <c r="D88" t="s">
        <v>4479</v>
      </c>
      <c r="E88" s="14" t="s">
        <v>11561</v>
      </c>
      <c r="F88" t="s">
        <v>16227</v>
      </c>
      <c r="G88" s="17" t="str">
        <f>Config!$B$3</f>
        <v>SCH/R_IEC.SchLib</v>
      </c>
      <c r="H88" t="s">
        <v>16149</v>
      </c>
      <c r="I88" s="18" t="s">
        <v>16150</v>
      </c>
      <c r="J88" t="s">
        <v>16319</v>
      </c>
      <c r="M88" s="3">
        <v>1600</v>
      </c>
      <c r="N88" t="s">
        <v>16228</v>
      </c>
      <c r="O88" t="s">
        <v>7496</v>
      </c>
      <c r="P88" t="s">
        <v>16229</v>
      </c>
      <c r="Q88" t="s">
        <v>25</v>
      </c>
      <c r="R88" t="s">
        <v>16230</v>
      </c>
      <c r="S88" t="s">
        <v>7496</v>
      </c>
      <c r="T88" t="s">
        <v>16231</v>
      </c>
      <c r="U88" t="s">
        <v>25</v>
      </c>
      <c r="V88" t="s">
        <v>16232</v>
      </c>
    </row>
    <row r="89" spans="1:22">
      <c r="A89" t="s">
        <v>16315</v>
      </c>
      <c r="B89" t="s">
        <v>16146</v>
      </c>
      <c r="C89" t="s">
        <v>16453</v>
      </c>
      <c r="D89" t="s">
        <v>4479</v>
      </c>
      <c r="E89" s="14" t="s">
        <v>11561</v>
      </c>
      <c r="F89" t="s">
        <v>16132</v>
      </c>
      <c r="G89" s="17" t="str">
        <f>Config!$B$3</f>
        <v>SCH/R_IEC.SchLib</v>
      </c>
      <c r="H89" t="s">
        <v>16149</v>
      </c>
      <c r="I89" s="18" t="s">
        <v>16150</v>
      </c>
      <c r="J89" t="s">
        <v>16319</v>
      </c>
      <c r="M89" s="3">
        <v>2500</v>
      </c>
      <c r="N89" t="s">
        <v>16135</v>
      </c>
      <c r="O89" t="s">
        <v>7496</v>
      </c>
      <c r="P89" t="s">
        <v>16139</v>
      </c>
      <c r="Q89" t="s">
        <v>25</v>
      </c>
      <c r="R89" t="s">
        <v>16140</v>
      </c>
    </row>
    <row r="90" spans="1:22">
      <c r="A90" t="s">
        <v>16316</v>
      </c>
      <c r="B90" t="s">
        <v>16147</v>
      </c>
      <c r="C90" t="s">
        <v>16454</v>
      </c>
      <c r="D90" t="s">
        <v>4479</v>
      </c>
      <c r="E90" s="14" t="s">
        <v>11561</v>
      </c>
      <c r="F90" t="s">
        <v>16133</v>
      </c>
      <c r="G90" s="17" t="str">
        <f>Config!$B$3</f>
        <v>SCH/R_IEC.SchLib</v>
      </c>
      <c r="H90" t="s">
        <v>16149</v>
      </c>
      <c r="I90" s="18" t="s">
        <v>16150</v>
      </c>
      <c r="J90" t="s">
        <v>16319</v>
      </c>
      <c r="M90" s="3">
        <v>3500</v>
      </c>
      <c r="N90" t="s">
        <v>16136</v>
      </c>
      <c r="O90" t="s">
        <v>7496</v>
      </c>
      <c r="P90" t="s">
        <v>16141</v>
      </c>
      <c r="Q90" t="s">
        <v>25</v>
      </c>
      <c r="R90" t="s">
        <v>16142</v>
      </c>
    </row>
    <row r="91" spans="1:22">
      <c r="A91" t="s">
        <v>16317</v>
      </c>
      <c r="B91" t="s">
        <v>16235</v>
      </c>
      <c r="C91" t="s">
        <v>16455</v>
      </c>
      <c r="D91" t="s">
        <v>4479</v>
      </c>
      <c r="E91" s="14" t="s">
        <v>11561</v>
      </c>
      <c r="F91" t="s">
        <v>16233</v>
      </c>
      <c r="G91" s="17" t="str">
        <f>Config!$B$3</f>
        <v>SCH/R_IEC.SchLib</v>
      </c>
      <c r="H91" t="s">
        <v>16149</v>
      </c>
      <c r="I91" s="18" t="s">
        <v>16150</v>
      </c>
      <c r="J91" t="s">
        <v>16319</v>
      </c>
      <c r="M91" s="3">
        <v>4500</v>
      </c>
      <c r="N91" t="s">
        <v>16241</v>
      </c>
      <c r="O91" t="s">
        <v>7496</v>
      </c>
      <c r="P91" t="s">
        <v>16242</v>
      </c>
      <c r="Q91" t="s">
        <v>25</v>
      </c>
      <c r="R91" t="s">
        <v>16243</v>
      </c>
    </row>
    <row r="92" spans="1:22">
      <c r="A92" t="s">
        <v>16318</v>
      </c>
      <c r="B92" t="s">
        <v>16238</v>
      </c>
      <c r="C92" t="s">
        <v>16456</v>
      </c>
      <c r="D92" t="s">
        <v>4479</v>
      </c>
      <c r="E92" s="14" t="s">
        <v>11561</v>
      </c>
      <c r="F92" t="s">
        <v>16240</v>
      </c>
      <c r="G92" s="17" t="str">
        <f>Config!$B$3</f>
        <v>SCH/R_IEC.SchLib</v>
      </c>
      <c r="H92" t="s">
        <v>16149</v>
      </c>
      <c r="I92" s="18" t="s">
        <v>16150</v>
      </c>
      <c r="J92" t="s">
        <v>16319</v>
      </c>
      <c r="M92" s="3">
        <v>5500</v>
      </c>
      <c r="N92" t="s">
        <v>16244</v>
      </c>
      <c r="O92" t="s">
        <v>7496</v>
      </c>
      <c r="P92" t="s">
        <v>16245</v>
      </c>
      <c r="Q92" t="s">
        <v>25</v>
      </c>
      <c r="R92" t="s">
        <v>16246</v>
      </c>
    </row>
    <row r="94" spans="1:22">
      <c r="A94" t="s">
        <v>16320</v>
      </c>
      <c r="B94" t="s">
        <v>16164</v>
      </c>
      <c r="C94" t="s">
        <v>16457</v>
      </c>
      <c r="D94" t="s">
        <v>4479</v>
      </c>
      <c r="E94" s="14" t="s">
        <v>11561</v>
      </c>
      <c r="F94" t="s">
        <v>16148</v>
      </c>
      <c r="G94" s="17" t="str">
        <f>Config!$B$3</f>
        <v>SCH/R_IEC.SchLib</v>
      </c>
      <c r="H94" t="s">
        <v>16149</v>
      </c>
      <c r="I94" s="18" t="s">
        <v>16150</v>
      </c>
      <c r="J94" t="s">
        <v>16365</v>
      </c>
      <c r="M94" s="3">
        <v>800</v>
      </c>
      <c r="N94" t="s">
        <v>16152</v>
      </c>
      <c r="O94" t="s">
        <v>7496</v>
      </c>
      <c r="P94" t="s">
        <v>16153</v>
      </c>
      <c r="Q94" t="s">
        <v>25</v>
      </c>
      <c r="R94" t="s">
        <v>16154</v>
      </c>
      <c r="S94" t="s">
        <v>7496</v>
      </c>
      <c r="T94" t="s">
        <v>16155</v>
      </c>
      <c r="U94" t="s">
        <v>25</v>
      </c>
      <c r="V94" t="s">
        <v>16156</v>
      </c>
    </row>
    <row r="95" spans="1:22">
      <c r="A95" t="s">
        <v>16321</v>
      </c>
      <c r="B95" t="s">
        <v>16143</v>
      </c>
      <c r="C95" t="s">
        <v>16458</v>
      </c>
      <c r="D95" t="s">
        <v>4479</v>
      </c>
      <c r="E95" s="14" t="s">
        <v>11561</v>
      </c>
      <c r="F95" t="s">
        <v>13999</v>
      </c>
      <c r="G95" s="17" t="str">
        <f>Config!$B$3</f>
        <v>SCH/R_IEC.SchLib</v>
      </c>
      <c r="H95" t="s">
        <v>16149</v>
      </c>
      <c r="I95" s="18" t="s">
        <v>16150</v>
      </c>
      <c r="J95" t="s">
        <v>16365</v>
      </c>
      <c r="M95" s="3">
        <v>1000</v>
      </c>
      <c r="N95" t="s">
        <v>16134</v>
      </c>
      <c r="O95" t="s">
        <v>7496</v>
      </c>
      <c r="P95" t="s">
        <v>16157</v>
      </c>
      <c r="Q95" t="s">
        <v>25</v>
      </c>
      <c r="R95" t="s">
        <v>16158</v>
      </c>
      <c r="S95" t="s">
        <v>7496</v>
      </c>
      <c r="T95" t="s">
        <v>16126</v>
      </c>
      <c r="U95" t="s">
        <v>25</v>
      </c>
      <c r="V95" t="s">
        <v>16127</v>
      </c>
    </row>
    <row r="96" spans="1:22">
      <c r="A96" t="s">
        <v>16322</v>
      </c>
      <c r="B96" t="s">
        <v>16144</v>
      </c>
      <c r="C96" t="s">
        <v>16459</v>
      </c>
      <c r="D96" t="s">
        <v>4479</v>
      </c>
      <c r="E96" s="14" t="s">
        <v>11561</v>
      </c>
      <c r="F96" t="s">
        <v>10749</v>
      </c>
      <c r="G96" s="17" t="str">
        <f>Config!$B$3</f>
        <v>SCH/R_IEC.SchLib</v>
      </c>
      <c r="H96" t="s">
        <v>16149</v>
      </c>
      <c r="I96" s="18" t="s">
        <v>16150</v>
      </c>
      <c r="J96" t="s">
        <v>16365</v>
      </c>
      <c r="M96" s="3">
        <v>1200</v>
      </c>
      <c r="N96" t="s">
        <v>16128</v>
      </c>
      <c r="O96" t="s">
        <v>7496</v>
      </c>
      <c r="P96" t="s">
        <v>16129</v>
      </c>
      <c r="Q96" t="s">
        <v>25</v>
      </c>
      <c r="R96" t="s">
        <v>16130</v>
      </c>
    </row>
    <row r="97" spans="1:22">
      <c r="A97" t="s">
        <v>16323</v>
      </c>
      <c r="B97" t="s">
        <v>16145</v>
      </c>
      <c r="C97" t="s">
        <v>16460</v>
      </c>
      <c r="D97" t="s">
        <v>4479</v>
      </c>
      <c r="E97" s="14" t="s">
        <v>11561</v>
      </c>
      <c r="F97" t="s">
        <v>16131</v>
      </c>
      <c r="G97" s="17" t="str">
        <f>Config!$B$3</f>
        <v>SCH/R_IEC.SchLib</v>
      </c>
      <c r="H97" t="s">
        <v>16149</v>
      </c>
      <c r="I97" s="18" t="s">
        <v>16150</v>
      </c>
      <c r="J97" t="s">
        <v>16365</v>
      </c>
      <c r="M97" s="3">
        <v>1400</v>
      </c>
      <c r="N97" t="s">
        <v>16159</v>
      </c>
      <c r="O97" t="s">
        <v>7496</v>
      </c>
      <c r="P97" t="s">
        <v>16160</v>
      </c>
      <c r="Q97" t="s">
        <v>25</v>
      </c>
      <c r="R97" t="s">
        <v>16161</v>
      </c>
      <c r="S97" t="s">
        <v>7496</v>
      </c>
      <c r="T97" t="s">
        <v>16137</v>
      </c>
      <c r="U97" t="s">
        <v>25</v>
      </c>
      <c r="V97" t="s">
        <v>16138</v>
      </c>
    </row>
    <row r="98" spans="1:22">
      <c r="A98" t="s">
        <v>16324</v>
      </c>
      <c r="B98" t="s">
        <v>16225</v>
      </c>
      <c r="C98" t="s">
        <v>16461</v>
      </c>
      <c r="D98" t="s">
        <v>4479</v>
      </c>
      <c r="E98" s="14" t="s">
        <v>11561</v>
      </c>
      <c r="F98" t="s">
        <v>16227</v>
      </c>
      <c r="G98" s="17" t="str">
        <f>Config!$B$3</f>
        <v>SCH/R_IEC.SchLib</v>
      </c>
      <c r="H98" t="s">
        <v>16149</v>
      </c>
      <c r="I98" s="18" t="s">
        <v>16150</v>
      </c>
      <c r="J98" t="s">
        <v>16365</v>
      </c>
      <c r="M98" s="3">
        <v>1600</v>
      </c>
      <c r="N98" t="s">
        <v>16228</v>
      </c>
      <c r="O98" t="s">
        <v>7496</v>
      </c>
      <c r="P98" t="s">
        <v>16229</v>
      </c>
      <c r="Q98" t="s">
        <v>25</v>
      </c>
      <c r="R98" t="s">
        <v>16230</v>
      </c>
      <c r="S98" t="s">
        <v>7496</v>
      </c>
      <c r="T98" t="s">
        <v>16231</v>
      </c>
      <c r="U98" t="s">
        <v>25</v>
      </c>
      <c r="V98" t="s">
        <v>16232</v>
      </c>
    </row>
    <row r="99" spans="1:22">
      <c r="A99" t="s">
        <v>16325</v>
      </c>
      <c r="B99" t="s">
        <v>16146</v>
      </c>
      <c r="C99" t="s">
        <v>16462</v>
      </c>
      <c r="D99" t="s">
        <v>4479</v>
      </c>
      <c r="E99" s="14" t="s">
        <v>11561</v>
      </c>
      <c r="F99" t="s">
        <v>16132</v>
      </c>
      <c r="G99" s="17" t="str">
        <f>Config!$B$3</f>
        <v>SCH/R_IEC.SchLib</v>
      </c>
      <c r="H99" t="s">
        <v>16149</v>
      </c>
      <c r="I99" s="18" t="s">
        <v>16150</v>
      </c>
      <c r="J99" t="s">
        <v>16365</v>
      </c>
      <c r="M99" s="3">
        <v>2500</v>
      </c>
      <c r="N99" t="s">
        <v>16135</v>
      </c>
      <c r="O99" t="s">
        <v>7496</v>
      </c>
      <c r="P99" t="s">
        <v>16139</v>
      </c>
      <c r="Q99" t="s">
        <v>25</v>
      </c>
      <c r="R99" t="s">
        <v>16140</v>
      </c>
    </row>
    <row r="100" spans="1:22">
      <c r="A100" t="s">
        <v>16326</v>
      </c>
      <c r="B100" t="s">
        <v>16147</v>
      </c>
      <c r="C100" t="s">
        <v>16463</v>
      </c>
      <c r="D100" t="s">
        <v>4479</v>
      </c>
      <c r="E100" s="14" t="s">
        <v>11561</v>
      </c>
      <c r="F100" t="s">
        <v>16133</v>
      </c>
      <c r="G100" s="17" t="str">
        <f>Config!$B$3</f>
        <v>SCH/R_IEC.SchLib</v>
      </c>
      <c r="H100" t="s">
        <v>16149</v>
      </c>
      <c r="I100" s="18" t="s">
        <v>16150</v>
      </c>
      <c r="J100" t="s">
        <v>16365</v>
      </c>
      <c r="M100" s="3">
        <v>3500</v>
      </c>
      <c r="N100" t="s">
        <v>16136</v>
      </c>
      <c r="O100" t="s">
        <v>7496</v>
      </c>
      <c r="P100" t="s">
        <v>16141</v>
      </c>
      <c r="Q100" t="s">
        <v>25</v>
      </c>
      <c r="R100" t="s">
        <v>16142</v>
      </c>
    </row>
    <row r="101" spans="1:22">
      <c r="A101" t="s">
        <v>16327</v>
      </c>
      <c r="B101" t="s">
        <v>16235</v>
      </c>
      <c r="C101" t="s">
        <v>16464</v>
      </c>
      <c r="D101" t="s">
        <v>4479</v>
      </c>
      <c r="E101" s="14" t="s">
        <v>11561</v>
      </c>
      <c r="F101" t="s">
        <v>16233</v>
      </c>
      <c r="G101" s="17" t="str">
        <f>Config!$B$3</f>
        <v>SCH/R_IEC.SchLib</v>
      </c>
      <c r="H101" t="s">
        <v>16149</v>
      </c>
      <c r="I101" s="18" t="s">
        <v>16150</v>
      </c>
      <c r="J101" t="s">
        <v>16365</v>
      </c>
      <c r="M101" s="3">
        <v>4500</v>
      </c>
      <c r="N101" t="s">
        <v>16241</v>
      </c>
      <c r="O101" t="s">
        <v>7496</v>
      </c>
      <c r="P101" t="s">
        <v>16242</v>
      </c>
      <c r="Q101" t="s">
        <v>25</v>
      </c>
      <c r="R101" t="s">
        <v>16243</v>
      </c>
    </row>
    <row r="102" spans="1:22">
      <c r="A102" t="s">
        <v>16328</v>
      </c>
      <c r="B102" t="s">
        <v>16238</v>
      </c>
      <c r="C102" t="s">
        <v>16465</v>
      </c>
      <c r="D102" t="s">
        <v>4479</v>
      </c>
      <c r="E102" s="14" t="s">
        <v>11561</v>
      </c>
      <c r="F102" t="s">
        <v>16240</v>
      </c>
      <c r="G102" s="17" t="str">
        <f>Config!$B$3</f>
        <v>SCH/R_IEC.SchLib</v>
      </c>
      <c r="H102" t="s">
        <v>16149</v>
      </c>
      <c r="I102" s="18" t="s">
        <v>16150</v>
      </c>
      <c r="J102" t="s">
        <v>16365</v>
      </c>
      <c r="M102" s="3">
        <v>5500</v>
      </c>
      <c r="N102" t="s">
        <v>16244</v>
      </c>
      <c r="O102" t="s">
        <v>7496</v>
      </c>
      <c r="P102" t="s">
        <v>16245</v>
      </c>
      <c r="Q102" t="s">
        <v>25</v>
      </c>
      <c r="R102" t="s">
        <v>16246</v>
      </c>
    </row>
    <row r="103" spans="1:22">
      <c r="A103" t="s">
        <v>16329</v>
      </c>
      <c r="B103" t="s">
        <v>16164</v>
      </c>
      <c r="C103" t="s">
        <v>16466</v>
      </c>
      <c r="D103" t="s">
        <v>4479</v>
      </c>
      <c r="E103" s="14" t="s">
        <v>11561</v>
      </c>
      <c r="F103" t="s">
        <v>16148</v>
      </c>
      <c r="G103" s="17" t="str">
        <f>Config!$B$3</f>
        <v>SCH/R_IEC.SchLib</v>
      </c>
      <c r="H103" t="s">
        <v>16149</v>
      </c>
      <c r="I103" s="18" t="s">
        <v>16150</v>
      </c>
      <c r="J103" t="s">
        <v>16365</v>
      </c>
      <c r="M103" s="3">
        <v>800</v>
      </c>
      <c r="N103" t="s">
        <v>16152</v>
      </c>
      <c r="O103" t="s">
        <v>7496</v>
      </c>
      <c r="P103" t="s">
        <v>16153</v>
      </c>
      <c r="Q103" t="s">
        <v>25</v>
      </c>
      <c r="R103" t="s">
        <v>16154</v>
      </c>
      <c r="S103" t="s">
        <v>7496</v>
      </c>
      <c r="T103" t="s">
        <v>16155</v>
      </c>
      <c r="U103" t="s">
        <v>25</v>
      </c>
      <c r="V103" t="s">
        <v>16156</v>
      </c>
    </row>
    <row r="104" spans="1:22">
      <c r="A104" t="s">
        <v>16330</v>
      </c>
      <c r="B104" t="s">
        <v>16143</v>
      </c>
      <c r="C104" t="s">
        <v>16467</v>
      </c>
      <c r="D104" t="s">
        <v>4479</v>
      </c>
      <c r="E104" s="14" t="s">
        <v>11561</v>
      </c>
      <c r="F104" t="s">
        <v>13999</v>
      </c>
      <c r="G104" s="17" t="str">
        <f>Config!$B$3</f>
        <v>SCH/R_IEC.SchLib</v>
      </c>
      <c r="H104" t="s">
        <v>16149</v>
      </c>
      <c r="I104" s="18" t="s">
        <v>16150</v>
      </c>
      <c r="J104" t="s">
        <v>16365</v>
      </c>
      <c r="M104" s="3">
        <v>1000</v>
      </c>
      <c r="N104" t="s">
        <v>16134</v>
      </c>
      <c r="O104" t="s">
        <v>7496</v>
      </c>
      <c r="P104" t="s">
        <v>16157</v>
      </c>
      <c r="Q104" t="s">
        <v>25</v>
      </c>
      <c r="R104" t="s">
        <v>16158</v>
      </c>
      <c r="S104" t="s">
        <v>7496</v>
      </c>
      <c r="T104" t="s">
        <v>16126</v>
      </c>
      <c r="U104" t="s">
        <v>25</v>
      </c>
      <c r="V104" t="s">
        <v>16127</v>
      </c>
    </row>
    <row r="105" spans="1:22">
      <c r="A105" t="s">
        <v>16331</v>
      </c>
      <c r="B105" t="s">
        <v>16144</v>
      </c>
      <c r="C105" t="s">
        <v>16468</v>
      </c>
      <c r="D105" t="s">
        <v>4479</v>
      </c>
      <c r="E105" s="14" t="s">
        <v>11561</v>
      </c>
      <c r="F105" t="s">
        <v>10749</v>
      </c>
      <c r="G105" s="17" t="str">
        <f>Config!$B$3</f>
        <v>SCH/R_IEC.SchLib</v>
      </c>
      <c r="H105" t="s">
        <v>16149</v>
      </c>
      <c r="I105" s="18" t="s">
        <v>16150</v>
      </c>
      <c r="J105" t="s">
        <v>16365</v>
      </c>
      <c r="M105" s="3">
        <v>1200</v>
      </c>
      <c r="N105" t="s">
        <v>16128</v>
      </c>
      <c r="O105" t="s">
        <v>7496</v>
      </c>
      <c r="P105" t="s">
        <v>16129</v>
      </c>
      <c r="Q105" t="s">
        <v>25</v>
      </c>
      <c r="R105" t="s">
        <v>16130</v>
      </c>
    </row>
    <row r="106" spans="1:22">
      <c r="A106" t="s">
        <v>16332</v>
      </c>
      <c r="B106" t="s">
        <v>16145</v>
      </c>
      <c r="C106" t="s">
        <v>16469</v>
      </c>
      <c r="D106" t="s">
        <v>4479</v>
      </c>
      <c r="E106" s="14" t="s">
        <v>11561</v>
      </c>
      <c r="F106" t="s">
        <v>16131</v>
      </c>
      <c r="G106" s="17" t="str">
        <f>Config!$B$3</f>
        <v>SCH/R_IEC.SchLib</v>
      </c>
      <c r="H106" t="s">
        <v>16149</v>
      </c>
      <c r="I106" s="18" t="s">
        <v>16150</v>
      </c>
      <c r="J106" t="s">
        <v>16365</v>
      </c>
      <c r="M106" s="3">
        <v>1400</v>
      </c>
      <c r="N106" t="s">
        <v>16159</v>
      </c>
      <c r="O106" t="s">
        <v>7496</v>
      </c>
      <c r="P106" t="s">
        <v>16160</v>
      </c>
      <c r="Q106" t="s">
        <v>25</v>
      </c>
      <c r="R106" t="s">
        <v>16161</v>
      </c>
      <c r="S106" t="s">
        <v>7496</v>
      </c>
      <c r="T106" t="s">
        <v>16137</v>
      </c>
      <c r="U106" t="s">
        <v>25</v>
      </c>
      <c r="V106" t="s">
        <v>16138</v>
      </c>
    </row>
    <row r="107" spans="1:22">
      <c r="A107" t="s">
        <v>16333</v>
      </c>
      <c r="B107" t="s">
        <v>16225</v>
      </c>
      <c r="C107" t="s">
        <v>16470</v>
      </c>
      <c r="D107" t="s">
        <v>4479</v>
      </c>
      <c r="E107" s="14" t="s">
        <v>11561</v>
      </c>
      <c r="F107" t="s">
        <v>16227</v>
      </c>
      <c r="G107" s="17" t="str">
        <f>Config!$B$3</f>
        <v>SCH/R_IEC.SchLib</v>
      </c>
      <c r="H107" t="s">
        <v>16149</v>
      </c>
      <c r="I107" s="18" t="s">
        <v>16150</v>
      </c>
      <c r="J107" t="s">
        <v>16365</v>
      </c>
      <c r="M107" s="3">
        <v>1600</v>
      </c>
      <c r="N107" t="s">
        <v>16228</v>
      </c>
      <c r="O107" t="s">
        <v>7496</v>
      </c>
      <c r="P107" t="s">
        <v>16229</v>
      </c>
      <c r="Q107" t="s">
        <v>25</v>
      </c>
      <c r="R107" t="s">
        <v>16230</v>
      </c>
      <c r="S107" t="s">
        <v>7496</v>
      </c>
      <c r="T107" t="s">
        <v>16231</v>
      </c>
      <c r="U107" t="s">
        <v>25</v>
      </c>
      <c r="V107" t="s">
        <v>16232</v>
      </c>
    </row>
    <row r="108" spans="1:22">
      <c r="A108" t="s">
        <v>16334</v>
      </c>
      <c r="B108" t="s">
        <v>16146</v>
      </c>
      <c r="C108" t="s">
        <v>16471</v>
      </c>
      <c r="D108" t="s">
        <v>4479</v>
      </c>
      <c r="E108" s="14" t="s">
        <v>11561</v>
      </c>
      <c r="F108" t="s">
        <v>16132</v>
      </c>
      <c r="G108" s="17" t="str">
        <f>Config!$B$3</f>
        <v>SCH/R_IEC.SchLib</v>
      </c>
      <c r="H108" t="s">
        <v>16149</v>
      </c>
      <c r="I108" s="18" t="s">
        <v>16150</v>
      </c>
      <c r="J108" t="s">
        <v>16365</v>
      </c>
      <c r="M108" s="3">
        <v>2500</v>
      </c>
      <c r="N108" t="s">
        <v>16135</v>
      </c>
      <c r="O108" t="s">
        <v>7496</v>
      </c>
      <c r="P108" t="s">
        <v>16139</v>
      </c>
      <c r="Q108" t="s">
        <v>25</v>
      </c>
      <c r="R108" t="s">
        <v>16140</v>
      </c>
    </row>
    <row r="109" spans="1:22">
      <c r="A109" t="s">
        <v>16335</v>
      </c>
      <c r="B109" t="s">
        <v>16147</v>
      </c>
      <c r="C109" t="s">
        <v>16472</v>
      </c>
      <c r="D109" t="s">
        <v>4479</v>
      </c>
      <c r="E109" s="14" t="s">
        <v>11561</v>
      </c>
      <c r="F109" t="s">
        <v>16133</v>
      </c>
      <c r="G109" s="17" t="str">
        <f>Config!$B$3</f>
        <v>SCH/R_IEC.SchLib</v>
      </c>
      <c r="H109" t="s">
        <v>16149</v>
      </c>
      <c r="I109" s="18" t="s">
        <v>16150</v>
      </c>
      <c r="J109" t="s">
        <v>16365</v>
      </c>
      <c r="M109" s="3">
        <v>3500</v>
      </c>
      <c r="N109" t="s">
        <v>16136</v>
      </c>
      <c r="O109" t="s">
        <v>7496</v>
      </c>
      <c r="P109" t="s">
        <v>16141</v>
      </c>
      <c r="Q109" t="s">
        <v>25</v>
      </c>
      <c r="R109" t="s">
        <v>16142</v>
      </c>
    </row>
    <row r="110" spans="1:22">
      <c r="A110" t="s">
        <v>16336</v>
      </c>
      <c r="B110" t="s">
        <v>16235</v>
      </c>
      <c r="C110" t="s">
        <v>16473</v>
      </c>
      <c r="D110" t="s">
        <v>4479</v>
      </c>
      <c r="E110" s="14" t="s">
        <v>11561</v>
      </c>
      <c r="F110" t="s">
        <v>16233</v>
      </c>
      <c r="G110" s="17" t="str">
        <f>Config!$B$3</f>
        <v>SCH/R_IEC.SchLib</v>
      </c>
      <c r="H110" t="s">
        <v>16149</v>
      </c>
      <c r="I110" s="18" t="s">
        <v>16150</v>
      </c>
      <c r="J110" t="s">
        <v>16365</v>
      </c>
      <c r="M110" s="3">
        <v>4500</v>
      </c>
      <c r="N110" t="s">
        <v>16241</v>
      </c>
      <c r="O110" t="s">
        <v>7496</v>
      </c>
      <c r="P110" t="s">
        <v>16242</v>
      </c>
      <c r="Q110" t="s">
        <v>25</v>
      </c>
      <c r="R110" t="s">
        <v>16243</v>
      </c>
    </row>
    <row r="111" spans="1:22">
      <c r="A111" t="s">
        <v>16337</v>
      </c>
      <c r="B111" t="s">
        <v>16238</v>
      </c>
      <c r="C111" t="s">
        <v>16474</v>
      </c>
      <c r="D111" t="s">
        <v>4479</v>
      </c>
      <c r="E111" s="14" t="s">
        <v>11561</v>
      </c>
      <c r="F111" t="s">
        <v>16240</v>
      </c>
      <c r="G111" s="17" t="str">
        <f>Config!$B$3</f>
        <v>SCH/R_IEC.SchLib</v>
      </c>
      <c r="H111" t="s">
        <v>16149</v>
      </c>
      <c r="I111" s="18" t="s">
        <v>16150</v>
      </c>
      <c r="J111" t="s">
        <v>16365</v>
      </c>
      <c r="M111" s="3">
        <v>5500</v>
      </c>
      <c r="N111" t="s">
        <v>16244</v>
      </c>
      <c r="O111" t="s">
        <v>7496</v>
      </c>
      <c r="P111" t="s">
        <v>16245</v>
      </c>
      <c r="Q111" t="s">
        <v>25</v>
      </c>
      <c r="R111" t="s">
        <v>16246</v>
      </c>
    </row>
    <row r="112" spans="1:22">
      <c r="A112" t="s">
        <v>16338</v>
      </c>
      <c r="B112" t="s">
        <v>16164</v>
      </c>
      <c r="C112" t="s">
        <v>16475</v>
      </c>
      <c r="D112" t="s">
        <v>4479</v>
      </c>
      <c r="E112" s="14" t="s">
        <v>11561</v>
      </c>
      <c r="F112" t="s">
        <v>16148</v>
      </c>
      <c r="G112" s="17" t="str">
        <f>Config!$B$3</f>
        <v>SCH/R_IEC.SchLib</v>
      </c>
      <c r="H112" t="s">
        <v>16149</v>
      </c>
      <c r="I112" s="18" t="s">
        <v>16150</v>
      </c>
      <c r="J112" t="s">
        <v>16365</v>
      </c>
      <c r="M112" s="3">
        <v>800</v>
      </c>
      <c r="N112" t="s">
        <v>16152</v>
      </c>
      <c r="O112" t="s">
        <v>7496</v>
      </c>
      <c r="P112" t="s">
        <v>16153</v>
      </c>
      <c r="Q112" t="s">
        <v>25</v>
      </c>
      <c r="R112" t="s">
        <v>16154</v>
      </c>
      <c r="S112" t="s">
        <v>7496</v>
      </c>
      <c r="T112" t="s">
        <v>16155</v>
      </c>
      <c r="U112" t="s">
        <v>25</v>
      </c>
      <c r="V112" t="s">
        <v>16156</v>
      </c>
    </row>
    <row r="113" spans="1:22">
      <c r="A113" t="s">
        <v>16339</v>
      </c>
      <c r="B113" t="s">
        <v>16143</v>
      </c>
      <c r="C113" t="s">
        <v>16476</v>
      </c>
      <c r="D113" t="s">
        <v>4479</v>
      </c>
      <c r="E113" s="14" t="s">
        <v>11561</v>
      </c>
      <c r="F113" t="s">
        <v>13999</v>
      </c>
      <c r="G113" s="17" t="str">
        <f>Config!$B$3</f>
        <v>SCH/R_IEC.SchLib</v>
      </c>
      <c r="H113" t="s">
        <v>16149</v>
      </c>
      <c r="I113" s="18" t="s">
        <v>16150</v>
      </c>
      <c r="J113" t="s">
        <v>16365</v>
      </c>
      <c r="M113" s="3">
        <v>1000</v>
      </c>
      <c r="N113" t="s">
        <v>16134</v>
      </c>
      <c r="O113" t="s">
        <v>7496</v>
      </c>
      <c r="P113" t="s">
        <v>16157</v>
      </c>
      <c r="Q113" t="s">
        <v>25</v>
      </c>
      <c r="R113" t="s">
        <v>16158</v>
      </c>
      <c r="S113" t="s">
        <v>7496</v>
      </c>
      <c r="T113" t="s">
        <v>16126</v>
      </c>
      <c r="U113" t="s">
        <v>25</v>
      </c>
      <c r="V113" t="s">
        <v>16127</v>
      </c>
    </row>
    <row r="114" spans="1:22">
      <c r="A114" t="s">
        <v>16340</v>
      </c>
      <c r="B114" t="s">
        <v>16144</v>
      </c>
      <c r="C114" t="s">
        <v>16477</v>
      </c>
      <c r="D114" t="s">
        <v>4479</v>
      </c>
      <c r="E114" s="14" t="s">
        <v>11561</v>
      </c>
      <c r="F114" t="s">
        <v>10749</v>
      </c>
      <c r="G114" s="17" t="str">
        <f>Config!$B$3</f>
        <v>SCH/R_IEC.SchLib</v>
      </c>
      <c r="H114" t="s">
        <v>16149</v>
      </c>
      <c r="I114" s="18" t="s">
        <v>16150</v>
      </c>
      <c r="J114" t="s">
        <v>16365</v>
      </c>
      <c r="M114" s="3">
        <v>1200</v>
      </c>
      <c r="N114" t="s">
        <v>16128</v>
      </c>
      <c r="O114" t="s">
        <v>7496</v>
      </c>
      <c r="P114" t="s">
        <v>16129</v>
      </c>
      <c r="Q114" t="s">
        <v>25</v>
      </c>
      <c r="R114" t="s">
        <v>16130</v>
      </c>
    </row>
    <row r="115" spans="1:22">
      <c r="A115" t="s">
        <v>16341</v>
      </c>
      <c r="B115" t="s">
        <v>16145</v>
      </c>
      <c r="C115" t="s">
        <v>16478</v>
      </c>
      <c r="D115" t="s">
        <v>4479</v>
      </c>
      <c r="E115" s="14" t="s">
        <v>11561</v>
      </c>
      <c r="F115" t="s">
        <v>16131</v>
      </c>
      <c r="G115" s="17" t="str">
        <f>Config!$B$3</f>
        <v>SCH/R_IEC.SchLib</v>
      </c>
      <c r="H115" t="s">
        <v>16149</v>
      </c>
      <c r="I115" s="18" t="s">
        <v>16150</v>
      </c>
      <c r="J115" t="s">
        <v>16365</v>
      </c>
      <c r="M115" s="3">
        <v>1400</v>
      </c>
      <c r="N115" t="s">
        <v>16159</v>
      </c>
      <c r="O115" t="s">
        <v>7496</v>
      </c>
      <c r="P115" t="s">
        <v>16160</v>
      </c>
      <c r="Q115" t="s">
        <v>25</v>
      </c>
      <c r="R115" t="s">
        <v>16161</v>
      </c>
      <c r="S115" t="s">
        <v>7496</v>
      </c>
      <c r="T115" t="s">
        <v>16137</v>
      </c>
      <c r="U115" t="s">
        <v>25</v>
      </c>
      <c r="V115" t="s">
        <v>16138</v>
      </c>
    </row>
    <row r="116" spans="1:22">
      <c r="A116" t="s">
        <v>16342</v>
      </c>
      <c r="B116" t="s">
        <v>16225</v>
      </c>
      <c r="C116" t="s">
        <v>16479</v>
      </c>
      <c r="D116" t="s">
        <v>4479</v>
      </c>
      <c r="E116" s="14" t="s">
        <v>11561</v>
      </c>
      <c r="F116" t="s">
        <v>16227</v>
      </c>
      <c r="G116" s="17" t="str">
        <f>Config!$B$3</f>
        <v>SCH/R_IEC.SchLib</v>
      </c>
      <c r="H116" t="s">
        <v>16149</v>
      </c>
      <c r="I116" s="18" t="s">
        <v>16150</v>
      </c>
      <c r="J116" t="s">
        <v>16365</v>
      </c>
      <c r="M116" s="3">
        <v>1600</v>
      </c>
      <c r="N116" t="s">
        <v>16228</v>
      </c>
      <c r="O116" t="s">
        <v>7496</v>
      </c>
      <c r="P116" t="s">
        <v>16229</v>
      </c>
      <c r="Q116" t="s">
        <v>25</v>
      </c>
      <c r="R116" t="s">
        <v>16230</v>
      </c>
      <c r="S116" t="s">
        <v>7496</v>
      </c>
      <c r="T116" t="s">
        <v>16231</v>
      </c>
      <c r="U116" t="s">
        <v>25</v>
      </c>
      <c r="V116" t="s">
        <v>16232</v>
      </c>
    </row>
    <row r="117" spans="1:22">
      <c r="A117" t="s">
        <v>16343</v>
      </c>
      <c r="B117" t="s">
        <v>16146</v>
      </c>
      <c r="C117" t="s">
        <v>16480</v>
      </c>
      <c r="D117" t="s">
        <v>4479</v>
      </c>
      <c r="E117" s="14" t="s">
        <v>11561</v>
      </c>
      <c r="F117" t="s">
        <v>16132</v>
      </c>
      <c r="G117" s="17" t="str">
        <f>Config!$B$3</f>
        <v>SCH/R_IEC.SchLib</v>
      </c>
      <c r="H117" t="s">
        <v>16149</v>
      </c>
      <c r="I117" s="18" t="s">
        <v>16150</v>
      </c>
      <c r="J117" t="s">
        <v>16365</v>
      </c>
      <c r="M117" s="3">
        <v>2500</v>
      </c>
      <c r="N117" t="s">
        <v>16135</v>
      </c>
      <c r="O117" t="s">
        <v>7496</v>
      </c>
      <c r="P117" t="s">
        <v>16139</v>
      </c>
      <c r="Q117" t="s">
        <v>25</v>
      </c>
      <c r="R117" t="s">
        <v>16140</v>
      </c>
    </row>
    <row r="118" spans="1:22">
      <c r="A118" t="s">
        <v>16344</v>
      </c>
      <c r="B118" t="s">
        <v>16147</v>
      </c>
      <c r="C118" t="s">
        <v>16481</v>
      </c>
      <c r="D118" t="s">
        <v>4479</v>
      </c>
      <c r="E118" s="14" t="s">
        <v>11561</v>
      </c>
      <c r="F118" t="s">
        <v>16133</v>
      </c>
      <c r="G118" s="17" t="str">
        <f>Config!$B$3</f>
        <v>SCH/R_IEC.SchLib</v>
      </c>
      <c r="H118" t="s">
        <v>16149</v>
      </c>
      <c r="I118" s="18" t="s">
        <v>16150</v>
      </c>
      <c r="J118" t="s">
        <v>16365</v>
      </c>
      <c r="M118" s="3">
        <v>3500</v>
      </c>
      <c r="N118" t="s">
        <v>16136</v>
      </c>
      <c r="O118" t="s">
        <v>7496</v>
      </c>
      <c r="P118" t="s">
        <v>16141</v>
      </c>
      <c r="Q118" t="s">
        <v>25</v>
      </c>
      <c r="R118" t="s">
        <v>16142</v>
      </c>
    </row>
    <row r="119" spans="1:22">
      <c r="A119" t="s">
        <v>16345</v>
      </c>
      <c r="B119" t="s">
        <v>16235</v>
      </c>
      <c r="C119" t="s">
        <v>16482</v>
      </c>
      <c r="D119" t="s">
        <v>4479</v>
      </c>
      <c r="E119" s="14" t="s">
        <v>11561</v>
      </c>
      <c r="F119" t="s">
        <v>16233</v>
      </c>
      <c r="G119" s="17" t="str">
        <f>Config!$B$3</f>
        <v>SCH/R_IEC.SchLib</v>
      </c>
      <c r="H119" t="s">
        <v>16149</v>
      </c>
      <c r="I119" s="18" t="s">
        <v>16150</v>
      </c>
      <c r="J119" t="s">
        <v>16365</v>
      </c>
      <c r="M119" s="3">
        <v>4500</v>
      </c>
      <c r="N119" t="s">
        <v>16241</v>
      </c>
      <c r="O119" t="s">
        <v>7496</v>
      </c>
      <c r="P119" t="s">
        <v>16242</v>
      </c>
      <c r="Q119" t="s">
        <v>25</v>
      </c>
      <c r="R119" t="s">
        <v>16243</v>
      </c>
    </row>
    <row r="120" spans="1:22">
      <c r="A120" t="s">
        <v>16346</v>
      </c>
      <c r="B120" t="s">
        <v>16238</v>
      </c>
      <c r="C120" t="s">
        <v>16483</v>
      </c>
      <c r="D120" t="s">
        <v>4479</v>
      </c>
      <c r="E120" s="14" t="s">
        <v>11561</v>
      </c>
      <c r="F120" t="s">
        <v>16240</v>
      </c>
      <c r="G120" s="17" t="str">
        <f>Config!$B$3</f>
        <v>SCH/R_IEC.SchLib</v>
      </c>
      <c r="H120" t="s">
        <v>16149</v>
      </c>
      <c r="I120" s="18" t="s">
        <v>16150</v>
      </c>
      <c r="J120" t="s">
        <v>16365</v>
      </c>
      <c r="M120" s="3">
        <v>5500</v>
      </c>
      <c r="N120" t="s">
        <v>16244</v>
      </c>
      <c r="O120" t="s">
        <v>7496</v>
      </c>
      <c r="P120" t="s">
        <v>16245</v>
      </c>
      <c r="Q120" t="s">
        <v>25</v>
      </c>
      <c r="R120" t="s">
        <v>16246</v>
      </c>
    </row>
    <row r="121" spans="1:22">
      <c r="A121" t="s">
        <v>16347</v>
      </c>
      <c r="B121" t="s">
        <v>16164</v>
      </c>
      <c r="C121" t="s">
        <v>16484</v>
      </c>
      <c r="D121" t="s">
        <v>4479</v>
      </c>
      <c r="E121" s="14" t="s">
        <v>11561</v>
      </c>
      <c r="F121" t="s">
        <v>16148</v>
      </c>
      <c r="G121" s="17" t="str">
        <f>Config!$B$3</f>
        <v>SCH/R_IEC.SchLib</v>
      </c>
      <c r="H121" t="s">
        <v>16149</v>
      </c>
      <c r="I121" s="18" t="s">
        <v>16150</v>
      </c>
      <c r="J121" t="s">
        <v>16365</v>
      </c>
      <c r="M121" s="3">
        <v>800</v>
      </c>
      <c r="N121" t="s">
        <v>16152</v>
      </c>
      <c r="O121" t="s">
        <v>7496</v>
      </c>
      <c r="P121" t="s">
        <v>16153</v>
      </c>
      <c r="Q121" t="s">
        <v>25</v>
      </c>
      <c r="R121" t="s">
        <v>16154</v>
      </c>
      <c r="S121" t="s">
        <v>7496</v>
      </c>
      <c r="T121" t="s">
        <v>16155</v>
      </c>
      <c r="U121" t="s">
        <v>25</v>
      </c>
      <c r="V121" t="s">
        <v>16156</v>
      </c>
    </row>
    <row r="122" spans="1:22">
      <c r="A122" t="s">
        <v>16348</v>
      </c>
      <c r="B122" t="s">
        <v>16143</v>
      </c>
      <c r="C122" t="s">
        <v>16485</v>
      </c>
      <c r="D122" t="s">
        <v>4479</v>
      </c>
      <c r="E122" s="14" t="s">
        <v>11561</v>
      </c>
      <c r="F122" t="s">
        <v>13999</v>
      </c>
      <c r="G122" s="17" t="str">
        <f>Config!$B$3</f>
        <v>SCH/R_IEC.SchLib</v>
      </c>
      <c r="H122" t="s">
        <v>16149</v>
      </c>
      <c r="I122" s="18" t="s">
        <v>16150</v>
      </c>
      <c r="J122" t="s">
        <v>16365</v>
      </c>
      <c r="M122" s="3">
        <v>1000</v>
      </c>
      <c r="N122" t="s">
        <v>16134</v>
      </c>
      <c r="O122" t="s">
        <v>7496</v>
      </c>
      <c r="P122" t="s">
        <v>16157</v>
      </c>
      <c r="Q122" t="s">
        <v>25</v>
      </c>
      <c r="R122" t="s">
        <v>16158</v>
      </c>
      <c r="S122" t="s">
        <v>7496</v>
      </c>
      <c r="T122" t="s">
        <v>16126</v>
      </c>
      <c r="U122" t="s">
        <v>25</v>
      </c>
      <c r="V122" t="s">
        <v>16127</v>
      </c>
    </row>
    <row r="123" spans="1:22">
      <c r="A123" t="s">
        <v>16349</v>
      </c>
      <c r="B123" t="s">
        <v>16144</v>
      </c>
      <c r="C123" t="s">
        <v>16486</v>
      </c>
      <c r="D123" t="s">
        <v>4479</v>
      </c>
      <c r="E123" s="14" t="s">
        <v>11561</v>
      </c>
      <c r="F123" t="s">
        <v>10749</v>
      </c>
      <c r="G123" s="17" t="str">
        <f>Config!$B$3</f>
        <v>SCH/R_IEC.SchLib</v>
      </c>
      <c r="H123" t="s">
        <v>16149</v>
      </c>
      <c r="I123" s="18" t="s">
        <v>16150</v>
      </c>
      <c r="J123" t="s">
        <v>16365</v>
      </c>
      <c r="M123" s="3">
        <v>1200</v>
      </c>
      <c r="N123" t="s">
        <v>16128</v>
      </c>
      <c r="O123" t="s">
        <v>7496</v>
      </c>
      <c r="P123" t="s">
        <v>16129</v>
      </c>
      <c r="Q123" t="s">
        <v>25</v>
      </c>
      <c r="R123" t="s">
        <v>16130</v>
      </c>
    </row>
    <row r="124" spans="1:22">
      <c r="A124" t="s">
        <v>16350</v>
      </c>
      <c r="B124" t="s">
        <v>16145</v>
      </c>
      <c r="C124" t="s">
        <v>16487</v>
      </c>
      <c r="D124" t="s">
        <v>4479</v>
      </c>
      <c r="E124" s="14" t="s">
        <v>11561</v>
      </c>
      <c r="F124" t="s">
        <v>16131</v>
      </c>
      <c r="G124" s="17" t="str">
        <f>Config!$B$3</f>
        <v>SCH/R_IEC.SchLib</v>
      </c>
      <c r="H124" t="s">
        <v>16149</v>
      </c>
      <c r="I124" s="18" t="s">
        <v>16150</v>
      </c>
      <c r="J124" t="s">
        <v>16365</v>
      </c>
      <c r="M124" s="3">
        <v>1400</v>
      </c>
      <c r="N124" t="s">
        <v>16159</v>
      </c>
      <c r="O124" t="s">
        <v>7496</v>
      </c>
      <c r="P124" t="s">
        <v>16160</v>
      </c>
      <c r="Q124" t="s">
        <v>25</v>
      </c>
      <c r="R124" t="s">
        <v>16161</v>
      </c>
      <c r="S124" t="s">
        <v>7496</v>
      </c>
      <c r="T124" t="s">
        <v>16137</v>
      </c>
      <c r="U124" t="s">
        <v>25</v>
      </c>
      <c r="V124" t="s">
        <v>16138</v>
      </c>
    </row>
    <row r="125" spans="1:22">
      <c r="A125" t="s">
        <v>16351</v>
      </c>
      <c r="B125" t="s">
        <v>16225</v>
      </c>
      <c r="C125" t="s">
        <v>16488</v>
      </c>
      <c r="D125" t="s">
        <v>4479</v>
      </c>
      <c r="E125" s="14" t="s">
        <v>11561</v>
      </c>
      <c r="F125" t="s">
        <v>16227</v>
      </c>
      <c r="G125" s="17" t="str">
        <f>Config!$B$3</f>
        <v>SCH/R_IEC.SchLib</v>
      </c>
      <c r="H125" t="s">
        <v>16149</v>
      </c>
      <c r="I125" s="18" t="s">
        <v>16150</v>
      </c>
      <c r="J125" t="s">
        <v>16365</v>
      </c>
      <c r="M125" s="3">
        <v>1600</v>
      </c>
      <c r="N125" t="s">
        <v>16228</v>
      </c>
      <c r="O125" t="s">
        <v>7496</v>
      </c>
      <c r="P125" t="s">
        <v>16229</v>
      </c>
      <c r="Q125" t="s">
        <v>25</v>
      </c>
      <c r="R125" t="s">
        <v>16230</v>
      </c>
      <c r="S125" t="s">
        <v>7496</v>
      </c>
      <c r="T125" t="s">
        <v>16231</v>
      </c>
      <c r="U125" t="s">
        <v>25</v>
      </c>
      <c r="V125" t="s">
        <v>16232</v>
      </c>
    </row>
    <row r="126" spans="1:22">
      <c r="A126" t="s">
        <v>16352</v>
      </c>
      <c r="B126" t="s">
        <v>16146</v>
      </c>
      <c r="C126" t="s">
        <v>16489</v>
      </c>
      <c r="D126" t="s">
        <v>4479</v>
      </c>
      <c r="E126" s="14" t="s">
        <v>11561</v>
      </c>
      <c r="F126" t="s">
        <v>16132</v>
      </c>
      <c r="G126" s="17" t="str">
        <f>Config!$B$3</f>
        <v>SCH/R_IEC.SchLib</v>
      </c>
      <c r="H126" t="s">
        <v>16149</v>
      </c>
      <c r="I126" s="18" t="s">
        <v>16150</v>
      </c>
      <c r="J126" t="s">
        <v>16365</v>
      </c>
      <c r="M126" s="3">
        <v>2500</v>
      </c>
      <c r="N126" t="s">
        <v>16135</v>
      </c>
      <c r="O126" t="s">
        <v>7496</v>
      </c>
      <c r="P126" t="s">
        <v>16139</v>
      </c>
      <c r="Q126" t="s">
        <v>25</v>
      </c>
      <c r="R126" t="s">
        <v>16140</v>
      </c>
    </row>
    <row r="127" spans="1:22">
      <c r="A127" t="s">
        <v>16353</v>
      </c>
      <c r="B127" t="s">
        <v>16147</v>
      </c>
      <c r="C127" t="s">
        <v>16490</v>
      </c>
      <c r="D127" t="s">
        <v>4479</v>
      </c>
      <c r="E127" s="14" t="s">
        <v>11561</v>
      </c>
      <c r="F127" t="s">
        <v>16133</v>
      </c>
      <c r="G127" s="17" t="str">
        <f>Config!$B$3</f>
        <v>SCH/R_IEC.SchLib</v>
      </c>
      <c r="H127" t="s">
        <v>16149</v>
      </c>
      <c r="I127" s="18" t="s">
        <v>16150</v>
      </c>
      <c r="J127" t="s">
        <v>16365</v>
      </c>
      <c r="M127" s="3">
        <v>3500</v>
      </c>
      <c r="N127" t="s">
        <v>16136</v>
      </c>
      <c r="O127" t="s">
        <v>7496</v>
      </c>
      <c r="P127" t="s">
        <v>16141</v>
      </c>
      <c r="Q127" t="s">
        <v>25</v>
      </c>
      <c r="R127" t="s">
        <v>16142</v>
      </c>
    </row>
    <row r="128" spans="1:22">
      <c r="A128" t="s">
        <v>16354</v>
      </c>
      <c r="B128" t="s">
        <v>16235</v>
      </c>
      <c r="C128" t="s">
        <v>16491</v>
      </c>
      <c r="D128" t="s">
        <v>4479</v>
      </c>
      <c r="E128" s="14" t="s">
        <v>11561</v>
      </c>
      <c r="F128" t="s">
        <v>16233</v>
      </c>
      <c r="G128" s="17" t="str">
        <f>Config!$B$3</f>
        <v>SCH/R_IEC.SchLib</v>
      </c>
      <c r="H128" t="s">
        <v>16149</v>
      </c>
      <c r="I128" s="18" t="s">
        <v>16150</v>
      </c>
      <c r="J128" t="s">
        <v>16365</v>
      </c>
      <c r="M128" s="3">
        <v>4500</v>
      </c>
      <c r="N128" t="s">
        <v>16241</v>
      </c>
      <c r="O128" t="s">
        <v>7496</v>
      </c>
      <c r="P128" t="s">
        <v>16242</v>
      </c>
      <c r="Q128" t="s">
        <v>25</v>
      </c>
      <c r="R128" t="s">
        <v>16243</v>
      </c>
    </row>
    <row r="129" spans="1:22">
      <c r="A129" t="s">
        <v>16355</v>
      </c>
      <c r="B129" t="s">
        <v>16238</v>
      </c>
      <c r="C129" t="s">
        <v>16492</v>
      </c>
      <c r="D129" t="s">
        <v>4479</v>
      </c>
      <c r="E129" s="14" t="s">
        <v>11561</v>
      </c>
      <c r="F129" t="s">
        <v>16240</v>
      </c>
      <c r="G129" s="17" t="str">
        <f>Config!$B$3</f>
        <v>SCH/R_IEC.SchLib</v>
      </c>
      <c r="H129" t="s">
        <v>16149</v>
      </c>
      <c r="I129" s="18" t="s">
        <v>16150</v>
      </c>
      <c r="J129" t="s">
        <v>16365</v>
      </c>
      <c r="M129" s="3">
        <v>5500</v>
      </c>
      <c r="N129" t="s">
        <v>16244</v>
      </c>
      <c r="O129" t="s">
        <v>7496</v>
      </c>
      <c r="P129" t="s">
        <v>16245</v>
      </c>
      <c r="Q129" t="s">
        <v>25</v>
      </c>
      <c r="R129" t="s">
        <v>16246</v>
      </c>
    </row>
    <row r="130" spans="1:22">
      <c r="A130" t="s">
        <v>16356</v>
      </c>
      <c r="B130" t="s">
        <v>16164</v>
      </c>
      <c r="C130" t="s">
        <v>16493</v>
      </c>
      <c r="D130" t="s">
        <v>4479</v>
      </c>
      <c r="E130" s="14" t="s">
        <v>11561</v>
      </c>
      <c r="F130" t="s">
        <v>16148</v>
      </c>
      <c r="G130" s="17" t="str">
        <f>Config!$B$3</f>
        <v>SCH/R_IEC.SchLib</v>
      </c>
      <c r="H130" t="s">
        <v>16149</v>
      </c>
      <c r="I130" s="18" t="s">
        <v>16150</v>
      </c>
      <c r="J130" t="s">
        <v>16365</v>
      </c>
      <c r="M130" s="3">
        <v>800</v>
      </c>
      <c r="N130" t="s">
        <v>16152</v>
      </c>
      <c r="O130" t="s">
        <v>7496</v>
      </c>
      <c r="P130" t="s">
        <v>16153</v>
      </c>
      <c r="Q130" t="s">
        <v>25</v>
      </c>
      <c r="R130" t="s">
        <v>16154</v>
      </c>
      <c r="S130" t="s">
        <v>7496</v>
      </c>
      <c r="T130" t="s">
        <v>16155</v>
      </c>
      <c r="U130" t="s">
        <v>25</v>
      </c>
      <c r="V130" t="s">
        <v>16156</v>
      </c>
    </row>
    <row r="131" spans="1:22">
      <c r="A131" t="s">
        <v>16357</v>
      </c>
      <c r="B131" t="s">
        <v>16143</v>
      </c>
      <c r="C131" t="s">
        <v>16494</v>
      </c>
      <c r="D131" t="s">
        <v>4479</v>
      </c>
      <c r="E131" s="14" t="s">
        <v>11561</v>
      </c>
      <c r="F131" t="s">
        <v>13999</v>
      </c>
      <c r="G131" s="17" t="str">
        <f>Config!$B$3</f>
        <v>SCH/R_IEC.SchLib</v>
      </c>
      <c r="H131" t="s">
        <v>16149</v>
      </c>
      <c r="I131" s="18" t="s">
        <v>16150</v>
      </c>
      <c r="J131" t="s">
        <v>16365</v>
      </c>
      <c r="M131" s="3">
        <v>1000</v>
      </c>
      <c r="N131" t="s">
        <v>16134</v>
      </c>
      <c r="O131" t="s">
        <v>7496</v>
      </c>
      <c r="P131" t="s">
        <v>16157</v>
      </c>
      <c r="Q131" t="s">
        <v>25</v>
      </c>
      <c r="R131" t="s">
        <v>16158</v>
      </c>
      <c r="S131" t="s">
        <v>7496</v>
      </c>
      <c r="T131" t="s">
        <v>16126</v>
      </c>
      <c r="U131" t="s">
        <v>25</v>
      </c>
      <c r="V131" t="s">
        <v>16127</v>
      </c>
    </row>
    <row r="132" spans="1:22">
      <c r="A132" t="s">
        <v>16358</v>
      </c>
      <c r="B132" t="s">
        <v>16144</v>
      </c>
      <c r="C132" t="s">
        <v>16495</v>
      </c>
      <c r="D132" t="s">
        <v>4479</v>
      </c>
      <c r="E132" s="14" t="s">
        <v>11561</v>
      </c>
      <c r="F132" t="s">
        <v>10749</v>
      </c>
      <c r="G132" s="17" t="str">
        <f>Config!$B$3</f>
        <v>SCH/R_IEC.SchLib</v>
      </c>
      <c r="H132" t="s">
        <v>16149</v>
      </c>
      <c r="I132" s="18" t="s">
        <v>16150</v>
      </c>
      <c r="J132" t="s">
        <v>16365</v>
      </c>
      <c r="M132" s="3">
        <v>1200</v>
      </c>
      <c r="N132" t="s">
        <v>16128</v>
      </c>
      <c r="O132" t="s">
        <v>7496</v>
      </c>
      <c r="P132" t="s">
        <v>16129</v>
      </c>
      <c r="Q132" t="s">
        <v>25</v>
      </c>
      <c r="R132" t="s">
        <v>16130</v>
      </c>
    </row>
    <row r="133" spans="1:22">
      <c r="A133" t="s">
        <v>16359</v>
      </c>
      <c r="B133" t="s">
        <v>16145</v>
      </c>
      <c r="C133" t="s">
        <v>16496</v>
      </c>
      <c r="D133" t="s">
        <v>4479</v>
      </c>
      <c r="E133" s="14" t="s">
        <v>11561</v>
      </c>
      <c r="F133" t="s">
        <v>16131</v>
      </c>
      <c r="G133" s="17" t="str">
        <f>Config!$B$3</f>
        <v>SCH/R_IEC.SchLib</v>
      </c>
      <c r="H133" t="s">
        <v>16149</v>
      </c>
      <c r="I133" s="18" t="s">
        <v>16150</v>
      </c>
      <c r="J133" t="s">
        <v>16365</v>
      </c>
      <c r="M133" s="3">
        <v>1400</v>
      </c>
      <c r="N133" t="s">
        <v>16159</v>
      </c>
      <c r="O133" t="s">
        <v>7496</v>
      </c>
      <c r="P133" t="s">
        <v>16160</v>
      </c>
      <c r="Q133" t="s">
        <v>25</v>
      </c>
      <c r="R133" t="s">
        <v>16161</v>
      </c>
      <c r="S133" t="s">
        <v>7496</v>
      </c>
      <c r="T133" t="s">
        <v>16137</v>
      </c>
      <c r="U133" t="s">
        <v>25</v>
      </c>
      <c r="V133" t="s">
        <v>16138</v>
      </c>
    </row>
    <row r="134" spans="1:22">
      <c r="A134" t="s">
        <v>16360</v>
      </c>
      <c r="B134" t="s">
        <v>16225</v>
      </c>
      <c r="C134" t="s">
        <v>16497</v>
      </c>
      <c r="D134" t="s">
        <v>4479</v>
      </c>
      <c r="E134" s="14" t="s">
        <v>11561</v>
      </c>
      <c r="F134" t="s">
        <v>16227</v>
      </c>
      <c r="G134" s="17" t="str">
        <f>Config!$B$3</f>
        <v>SCH/R_IEC.SchLib</v>
      </c>
      <c r="H134" t="s">
        <v>16149</v>
      </c>
      <c r="I134" s="18" t="s">
        <v>16150</v>
      </c>
      <c r="J134" t="s">
        <v>16365</v>
      </c>
      <c r="M134" s="3">
        <v>1600</v>
      </c>
      <c r="N134" t="s">
        <v>16228</v>
      </c>
      <c r="O134" t="s">
        <v>7496</v>
      </c>
      <c r="P134" t="s">
        <v>16229</v>
      </c>
      <c r="Q134" t="s">
        <v>25</v>
      </c>
      <c r="R134" t="s">
        <v>16230</v>
      </c>
      <c r="S134" t="s">
        <v>7496</v>
      </c>
      <c r="T134" t="s">
        <v>16231</v>
      </c>
      <c r="U134" t="s">
        <v>25</v>
      </c>
      <c r="V134" t="s">
        <v>16232</v>
      </c>
    </row>
    <row r="135" spans="1:22">
      <c r="A135" t="s">
        <v>16361</v>
      </c>
      <c r="B135" t="s">
        <v>16146</v>
      </c>
      <c r="C135" t="s">
        <v>16498</v>
      </c>
      <c r="D135" t="s">
        <v>4479</v>
      </c>
      <c r="E135" s="14" t="s">
        <v>11561</v>
      </c>
      <c r="F135" t="s">
        <v>16132</v>
      </c>
      <c r="G135" s="17" t="str">
        <f>Config!$B$3</f>
        <v>SCH/R_IEC.SchLib</v>
      </c>
      <c r="H135" t="s">
        <v>16149</v>
      </c>
      <c r="I135" s="18" t="s">
        <v>16150</v>
      </c>
      <c r="J135" t="s">
        <v>16365</v>
      </c>
      <c r="M135" s="3">
        <v>2500</v>
      </c>
      <c r="N135" t="s">
        <v>16135</v>
      </c>
      <c r="O135" t="s">
        <v>7496</v>
      </c>
      <c r="P135" t="s">
        <v>16139</v>
      </c>
      <c r="Q135" t="s">
        <v>25</v>
      </c>
      <c r="R135" t="s">
        <v>16140</v>
      </c>
    </row>
    <row r="136" spans="1:22">
      <c r="A136" t="s">
        <v>16362</v>
      </c>
      <c r="B136" t="s">
        <v>16147</v>
      </c>
      <c r="C136" t="s">
        <v>16499</v>
      </c>
      <c r="D136" t="s">
        <v>4479</v>
      </c>
      <c r="E136" s="14" t="s">
        <v>11561</v>
      </c>
      <c r="F136" t="s">
        <v>16133</v>
      </c>
      <c r="G136" s="17" t="str">
        <f>Config!$B$3</f>
        <v>SCH/R_IEC.SchLib</v>
      </c>
      <c r="H136" t="s">
        <v>16149</v>
      </c>
      <c r="I136" s="18" t="s">
        <v>16150</v>
      </c>
      <c r="J136" t="s">
        <v>16365</v>
      </c>
      <c r="M136" s="3">
        <v>3500</v>
      </c>
      <c r="N136" t="s">
        <v>16136</v>
      </c>
      <c r="O136" t="s">
        <v>7496</v>
      </c>
      <c r="P136" t="s">
        <v>16141</v>
      </c>
      <c r="Q136" t="s">
        <v>25</v>
      </c>
      <c r="R136" t="s">
        <v>16142</v>
      </c>
    </row>
    <row r="137" spans="1:22">
      <c r="A137" t="s">
        <v>16363</v>
      </c>
      <c r="B137" t="s">
        <v>16235</v>
      </c>
      <c r="C137" t="s">
        <v>16500</v>
      </c>
      <c r="D137" t="s">
        <v>4479</v>
      </c>
      <c r="E137" s="14" t="s">
        <v>11561</v>
      </c>
      <c r="F137" t="s">
        <v>16233</v>
      </c>
      <c r="G137" s="17" t="str">
        <f>Config!$B$3</f>
        <v>SCH/R_IEC.SchLib</v>
      </c>
      <c r="H137" t="s">
        <v>16149</v>
      </c>
      <c r="I137" s="18" t="s">
        <v>16150</v>
      </c>
      <c r="J137" t="s">
        <v>16365</v>
      </c>
      <c r="M137" s="3">
        <v>4500</v>
      </c>
      <c r="N137" t="s">
        <v>16241</v>
      </c>
      <c r="O137" t="s">
        <v>7496</v>
      </c>
      <c r="P137" t="s">
        <v>16242</v>
      </c>
      <c r="Q137" t="s">
        <v>25</v>
      </c>
      <c r="R137" t="s">
        <v>16243</v>
      </c>
    </row>
    <row r="138" spans="1:22">
      <c r="A138" t="s">
        <v>16364</v>
      </c>
      <c r="B138" t="s">
        <v>16238</v>
      </c>
      <c r="C138" t="s">
        <v>16501</v>
      </c>
      <c r="D138" t="s">
        <v>4479</v>
      </c>
      <c r="E138" s="14" t="s">
        <v>11561</v>
      </c>
      <c r="F138" t="s">
        <v>16240</v>
      </c>
      <c r="G138" s="17" t="str">
        <f>Config!$B$3</f>
        <v>SCH/R_IEC.SchLib</v>
      </c>
      <c r="H138" t="s">
        <v>16149</v>
      </c>
      <c r="I138" s="18" t="s">
        <v>16150</v>
      </c>
      <c r="J138" t="s">
        <v>16365</v>
      </c>
      <c r="M138" s="3">
        <v>5500</v>
      </c>
      <c r="N138" t="s">
        <v>16244</v>
      </c>
      <c r="O138" t="s">
        <v>7496</v>
      </c>
      <c r="P138" t="s">
        <v>16245</v>
      </c>
      <c r="Q138" t="s">
        <v>25</v>
      </c>
      <c r="R138" t="s">
        <v>16246</v>
      </c>
    </row>
    <row r="140" spans="1:22">
      <c r="A140" t="s">
        <v>16367</v>
      </c>
      <c r="B140" t="s">
        <v>16164</v>
      </c>
      <c r="C140" t="s">
        <v>16502</v>
      </c>
      <c r="D140" t="s">
        <v>4479</v>
      </c>
      <c r="E140" s="14" t="s">
        <v>11561</v>
      </c>
      <c r="F140" t="s">
        <v>16148</v>
      </c>
      <c r="G140" s="17" t="str">
        <f>Config!$B$3</f>
        <v>SCH/R_IEC.SchLib</v>
      </c>
      <c r="H140" t="s">
        <v>16149</v>
      </c>
      <c r="I140" s="18" t="s">
        <v>16150</v>
      </c>
      <c r="J140" t="s">
        <v>16366</v>
      </c>
      <c r="M140" s="3">
        <v>800</v>
      </c>
      <c r="N140" t="s">
        <v>16152</v>
      </c>
      <c r="O140" t="s">
        <v>7496</v>
      </c>
      <c r="P140" t="s">
        <v>16153</v>
      </c>
      <c r="Q140" t="s">
        <v>25</v>
      </c>
      <c r="R140" t="s">
        <v>16154</v>
      </c>
      <c r="S140" t="s">
        <v>7496</v>
      </c>
      <c r="T140" t="s">
        <v>16155</v>
      </c>
      <c r="U140" t="s">
        <v>25</v>
      </c>
      <c r="V140" t="s">
        <v>16156</v>
      </c>
    </row>
    <row r="141" spans="1:22">
      <c r="A141" t="s">
        <v>16368</v>
      </c>
      <c r="B141" t="s">
        <v>16143</v>
      </c>
      <c r="C141" t="s">
        <v>16503</v>
      </c>
      <c r="D141" t="s">
        <v>4479</v>
      </c>
      <c r="E141" s="14" t="s">
        <v>11561</v>
      </c>
      <c r="F141" t="s">
        <v>13999</v>
      </c>
      <c r="G141" s="17" t="str">
        <f>Config!$B$3</f>
        <v>SCH/R_IEC.SchLib</v>
      </c>
      <c r="H141" t="s">
        <v>16149</v>
      </c>
      <c r="I141" s="18" t="s">
        <v>16150</v>
      </c>
      <c r="J141" t="s">
        <v>16366</v>
      </c>
      <c r="M141" s="3">
        <v>1000</v>
      </c>
      <c r="N141" t="s">
        <v>16134</v>
      </c>
      <c r="O141" t="s">
        <v>7496</v>
      </c>
      <c r="P141" t="s">
        <v>16157</v>
      </c>
      <c r="Q141" t="s">
        <v>25</v>
      </c>
      <c r="R141" t="s">
        <v>16158</v>
      </c>
      <c r="S141" t="s">
        <v>7496</v>
      </c>
      <c r="T141" t="s">
        <v>16126</v>
      </c>
      <c r="U141" t="s">
        <v>25</v>
      </c>
      <c r="V141" t="s">
        <v>16127</v>
      </c>
    </row>
    <row r="142" spans="1:22">
      <c r="A142" t="s">
        <v>16369</v>
      </c>
      <c r="B142" t="s">
        <v>16144</v>
      </c>
      <c r="C142" t="s">
        <v>16504</v>
      </c>
      <c r="D142" t="s">
        <v>4479</v>
      </c>
      <c r="E142" s="14" t="s">
        <v>11561</v>
      </c>
      <c r="F142" t="s">
        <v>10749</v>
      </c>
      <c r="G142" s="17" t="str">
        <f>Config!$B$3</f>
        <v>SCH/R_IEC.SchLib</v>
      </c>
      <c r="H142" t="s">
        <v>16149</v>
      </c>
      <c r="I142" s="18" t="s">
        <v>16150</v>
      </c>
      <c r="J142" t="s">
        <v>16366</v>
      </c>
      <c r="M142" s="3">
        <v>1200</v>
      </c>
      <c r="N142" t="s">
        <v>16128</v>
      </c>
      <c r="O142" t="s">
        <v>7496</v>
      </c>
      <c r="P142" t="s">
        <v>16129</v>
      </c>
      <c r="Q142" t="s">
        <v>25</v>
      </c>
      <c r="R142" t="s">
        <v>16130</v>
      </c>
    </row>
    <row r="143" spans="1:22">
      <c r="A143" t="s">
        <v>16370</v>
      </c>
      <c r="B143" t="s">
        <v>16145</v>
      </c>
      <c r="C143" t="s">
        <v>16505</v>
      </c>
      <c r="D143" t="s">
        <v>4479</v>
      </c>
      <c r="E143" s="14" t="s">
        <v>11561</v>
      </c>
      <c r="F143" t="s">
        <v>16131</v>
      </c>
      <c r="G143" s="17" t="str">
        <f>Config!$B$3</f>
        <v>SCH/R_IEC.SchLib</v>
      </c>
      <c r="H143" t="s">
        <v>16149</v>
      </c>
      <c r="I143" s="18" t="s">
        <v>16150</v>
      </c>
      <c r="J143" t="s">
        <v>16366</v>
      </c>
      <c r="M143" s="3">
        <v>1400</v>
      </c>
      <c r="N143" t="s">
        <v>16159</v>
      </c>
      <c r="O143" t="s">
        <v>7496</v>
      </c>
      <c r="P143" t="s">
        <v>16160</v>
      </c>
      <c r="Q143" t="s">
        <v>25</v>
      </c>
      <c r="R143" t="s">
        <v>16161</v>
      </c>
      <c r="S143" t="s">
        <v>7496</v>
      </c>
      <c r="T143" t="s">
        <v>16137</v>
      </c>
      <c r="U143" t="s">
        <v>25</v>
      </c>
      <c r="V143" t="s">
        <v>16138</v>
      </c>
    </row>
    <row r="144" spans="1:22">
      <c r="A144" t="s">
        <v>16371</v>
      </c>
      <c r="B144" t="s">
        <v>16225</v>
      </c>
      <c r="C144" t="s">
        <v>16506</v>
      </c>
      <c r="D144" t="s">
        <v>4479</v>
      </c>
      <c r="E144" s="14" t="s">
        <v>11561</v>
      </c>
      <c r="F144" t="s">
        <v>16227</v>
      </c>
      <c r="G144" s="17" t="str">
        <f>Config!$B$3</f>
        <v>SCH/R_IEC.SchLib</v>
      </c>
      <c r="H144" t="s">
        <v>16149</v>
      </c>
      <c r="I144" s="18" t="s">
        <v>16150</v>
      </c>
      <c r="J144" t="s">
        <v>16366</v>
      </c>
      <c r="M144" s="3">
        <v>1600</v>
      </c>
      <c r="N144" t="s">
        <v>16228</v>
      </c>
      <c r="O144" t="s">
        <v>7496</v>
      </c>
      <c r="P144" t="s">
        <v>16229</v>
      </c>
      <c r="Q144" t="s">
        <v>25</v>
      </c>
      <c r="R144" t="s">
        <v>16230</v>
      </c>
      <c r="S144" t="s">
        <v>7496</v>
      </c>
      <c r="T144" t="s">
        <v>16231</v>
      </c>
      <c r="U144" t="s">
        <v>25</v>
      </c>
      <c r="V144" t="s">
        <v>16232</v>
      </c>
    </row>
    <row r="145" spans="1:22">
      <c r="A145" t="s">
        <v>16372</v>
      </c>
      <c r="B145" t="s">
        <v>16146</v>
      </c>
      <c r="C145" t="s">
        <v>16507</v>
      </c>
      <c r="D145" t="s">
        <v>4479</v>
      </c>
      <c r="E145" s="14" t="s">
        <v>11561</v>
      </c>
      <c r="F145" t="s">
        <v>16132</v>
      </c>
      <c r="G145" s="17" t="str">
        <f>Config!$B$3</f>
        <v>SCH/R_IEC.SchLib</v>
      </c>
      <c r="H145" t="s">
        <v>16149</v>
      </c>
      <c r="I145" s="18" t="s">
        <v>16150</v>
      </c>
      <c r="J145" t="s">
        <v>16366</v>
      </c>
      <c r="M145" s="3">
        <v>2500</v>
      </c>
      <c r="N145" t="s">
        <v>16135</v>
      </c>
      <c r="O145" t="s">
        <v>7496</v>
      </c>
      <c r="P145" t="s">
        <v>16139</v>
      </c>
      <c r="Q145" t="s">
        <v>25</v>
      </c>
      <c r="R145" t="s">
        <v>16140</v>
      </c>
    </row>
    <row r="146" spans="1:22">
      <c r="A146" t="s">
        <v>16373</v>
      </c>
      <c r="B146" t="s">
        <v>16147</v>
      </c>
      <c r="C146" t="s">
        <v>16508</v>
      </c>
      <c r="D146" t="s">
        <v>4479</v>
      </c>
      <c r="E146" s="14" t="s">
        <v>11561</v>
      </c>
      <c r="F146" t="s">
        <v>16133</v>
      </c>
      <c r="G146" s="17" t="str">
        <f>Config!$B$3</f>
        <v>SCH/R_IEC.SchLib</v>
      </c>
      <c r="H146" t="s">
        <v>16149</v>
      </c>
      <c r="I146" s="18" t="s">
        <v>16150</v>
      </c>
      <c r="J146" t="s">
        <v>16366</v>
      </c>
      <c r="M146" s="3">
        <v>3500</v>
      </c>
      <c r="N146" t="s">
        <v>16136</v>
      </c>
      <c r="O146" t="s">
        <v>7496</v>
      </c>
      <c r="P146" t="s">
        <v>16141</v>
      </c>
      <c r="Q146" t="s">
        <v>25</v>
      </c>
      <c r="R146" t="s">
        <v>16142</v>
      </c>
    </row>
    <row r="147" spans="1:22">
      <c r="A147" t="s">
        <v>16374</v>
      </c>
      <c r="B147" t="s">
        <v>16235</v>
      </c>
      <c r="C147" t="s">
        <v>16509</v>
      </c>
      <c r="D147" t="s">
        <v>4479</v>
      </c>
      <c r="E147" s="14" t="s">
        <v>11561</v>
      </c>
      <c r="F147" t="s">
        <v>16233</v>
      </c>
      <c r="G147" s="17" t="str">
        <f>Config!$B$3</f>
        <v>SCH/R_IEC.SchLib</v>
      </c>
      <c r="H147" t="s">
        <v>16149</v>
      </c>
      <c r="I147" s="18" t="s">
        <v>16150</v>
      </c>
      <c r="J147" t="s">
        <v>16366</v>
      </c>
      <c r="M147" s="3">
        <v>4500</v>
      </c>
      <c r="N147" t="s">
        <v>16241</v>
      </c>
      <c r="O147" t="s">
        <v>7496</v>
      </c>
      <c r="P147" t="s">
        <v>16242</v>
      </c>
      <c r="Q147" t="s">
        <v>25</v>
      </c>
      <c r="R147" t="s">
        <v>16243</v>
      </c>
    </row>
    <row r="148" spans="1:22">
      <c r="A148" t="s">
        <v>16375</v>
      </c>
      <c r="B148" t="s">
        <v>16238</v>
      </c>
      <c r="C148" t="s">
        <v>16510</v>
      </c>
      <c r="D148" t="s">
        <v>4479</v>
      </c>
      <c r="E148" s="14" t="s">
        <v>11561</v>
      </c>
      <c r="F148" t="s">
        <v>16240</v>
      </c>
      <c r="G148" s="17" t="str">
        <f>Config!$B$3</f>
        <v>SCH/R_IEC.SchLib</v>
      </c>
      <c r="H148" t="s">
        <v>16149</v>
      </c>
      <c r="I148" s="18" t="s">
        <v>16150</v>
      </c>
      <c r="J148" t="s">
        <v>16366</v>
      </c>
      <c r="M148" s="3">
        <v>5500</v>
      </c>
      <c r="N148" t="s">
        <v>16244</v>
      </c>
      <c r="O148" t="s">
        <v>7496</v>
      </c>
      <c r="P148" t="s">
        <v>16245</v>
      </c>
      <c r="Q148" t="s">
        <v>25</v>
      </c>
      <c r="R148" t="s">
        <v>16246</v>
      </c>
    </row>
    <row r="149" spans="1:22">
      <c r="A149" t="s">
        <v>16376</v>
      </c>
      <c r="B149" t="s">
        <v>16164</v>
      </c>
      <c r="C149" t="s">
        <v>16511</v>
      </c>
      <c r="D149" t="s">
        <v>4479</v>
      </c>
      <c r="E149" s="14" t="s">
        <v>11561</v>
      </c>
      <c r="F149" t="s">
        <v>16148</v>
      </c>
      <c r="G149" s="17" t="str">
        <f>Config!$B$3</f>
        <v>SCH/R_IEC.SchLib</v>
      </c>
      <c r="H149" t="s">
        <v>16149</v>
      </c>
      <c r="I149" s="18" t="s">
        <v>16150</v>
      </c>
      <c r="J149" t="s">
        <v>16366</v>
      </c>
      <c r="M149" s="3">
        <v>800</v>
      </c>
      <c r="N149" t="s">
        <v>16152</v>
      </c>
      <c r="O149" t="s">
        <v>7496</v>
      </c>
      <c r="P149" t="s">
        <v>16153</v>
      </c>
      <c r="Q149" t="s">
        <v>25</v>
      </c>
      <c r="R149" t="s">
        <v>16154</v>
      </c>
      <c r="S149" t="s">
        <v>7496</v>
      </c>
      <c r="T149" t="s">
        <v>16155</v>
      </c>
      <c r="U149" t="s">
        <v>25</v>
      </c>
      <c r="V149" t="s">
        <v>16156</v>
      </c>
    </row>
    <row r="150" spans="1:22">
      <c r="A150" t="s">
        <v>16377</v>
      </c>
      <c r="B150" t="s">
        <v>16143</v>
      </c>
      <c r="C150" t="s">
        <v>16512</v>
      </c>
      <c r="D150" t="s">
        <v>4479</v>
      </c>
      <c r="E150" s="14" t="s">
        <v>11561</v>
      </c>
      <c r="F150" t="s">
        <v>13999</v>
      </c>
      <c r="G150" s="17" t="str">
        <f>Config!$B$3</f>
        <v>SCH/R_IEC.SchLib</v>
      </c>
      <c r="H150" t="s">
        <v>16149</v>
      </c>
      <c r="I150" s="18" t="s">
        <v>16150</v>
      </c>
      <c r="J150" t="s">
        <v>16366</v>
      </c>
      <c r="M150" s="3">
        <v>1000</v>
      </c>
      <c r="N150" t="s">
        <v>16134</v>
      </c>
      <c r="O150" t="s">
        <v>7496</v>
      </c>
      <c r="P150" t="s">
        <v>16157</v>
      </c>
      <c r="Q150" t="s">
        <v>25</v>
      </c>
      <c r="R150" t="s">
        <v>16158</v>
      </c>
      <c r="S150" t="s">
        <v>7496</v>
      </c>
      <c r="T150" t="s">
        <v>16126</v>
      </c>
      <c r="U150" t="s">
        <v>25</v>
      </c>
      <c r="V150" t="s">
        <v>16127</v>
      </c>
    </row>
    <row r="151" spans="1:22">
      <c r="A151" t="s">
        <v>16378</v>
      </c>
      <c r="B151" t="s">
        <v>16144</v>
      </c>
      <c r="C151" t="s">
        <v>16513</v>
      </c>
      <c r="D151" t="s">
        <v>4479</v>
      </c>
      <c r="E151" s="14" t="s">
        <v>11561</v>
      </c>
      <c r="F151" t="s">
        <v>10749</v>
      </c>
      <c r="G151" s="17" t="str">
        <f>Config!$B$3</f>
        <v>SCH/R_IEC.SchLib</v>
      </c>
      <c r="H151" t="s">
        <v>16149</v>
      </c>
      <c r="I151" s="18" t="s">
        <v>16150</v>
      </c>
      <c r="J151" t="s">
        <v>16366</v>
      </c>
      <c r="M151" s="3">
        <v>1200</v>
      </c>
      <c r="N151" t="s">
        <v>16128</v>
      </c>
      <c r="O151" t="s">
        <v>7496</v>
      </c>
      <c r="P151" t="s">
        <v>16129</v>
      </c>
      <c r="Q151" t="s">
        <v>25</v>
      </c>
      <c r="R151" t="s">
        <v>16130</v>
      </c>
    </row>
    <row r="152" spans="1:22">
      <c r="A152" t="s">
        <v>16379</v>
      </c>
      <c r="B152" t="s">
        <v>16145</v>
      </c>
      <c r="C152" t="s">
        <v>16514</v>
      </c>
      <c r="D152" t="s">
        <v>4479</v>
      </c>
      <c r="E152" s="14" t="s">
        <v>11561</v>
      </c>
      <c r="F152" t="s">
        <v>16131</v>
      </c>
      <c r="G152" s="17" t="str">
        <f>Config!$B$3</f>
        <v>SCH/R_IEC.SchLib</v>
      </c>
      <c r="H152" t="s">
        <v>16149</v>
      </c>
      <c r="I152" s="18" t="s">
        <v>16150</v>
      </c>
      <c r="J152" t="s">
        <v>16366</v>
      </c>
      <c r="M152" s="3">
        <v>1400</v>
      </c>
      <c r="N152" t="s">
        <v>16159</v>
      </c>
      <c r="O152" t="s">
        <v>7496</v>
      </c>
      <c r="P152" t="s">
        <v>16160</v>
      </c>
      <c r="Q152" t="s">
        <v>25</v>
      </c>
      <c r="R152" t="s">
        <v>16161</v>
      </c>
      <c r="S152" t="s">
        <v>7496</v>
      </c>
      <c r="T152" t="s">
        <v>16137</v>
      </c>
      <c r="U152" t="s">
        <v>25</v>
      </c>
      <c r="V152" t="s">
        <v>16138</v>
      </c>
    </row>
    <row r="153" spans="1:22">
      <c r="A153" t="s">
        <v>16380</v>
      </c>
      <c r="B153" t="s">
        <v>16225</v>
      </c>
      <c r="C153" t="s">
        <v>16515</v>
      </c>
      <c r="D153" t="s">
        <v>4479</v>
      </c>
      <c r="E153" s="14" t="s">
        <v>11561</v>
      </c>
      <c r="F153" t="s">
        <v>16227</v>
      </c>
      <c r="G153" s="17" t="str">
        <f>Config!$B$3</f>
        <v>SCH/R_IEC.SchLib</v>
      </c>
      <c r="H153" t="s">
        <v>16149</v>
      </c>
      <c r="I153" s="18" t="s">
        <v>16150</v>
      </c>
      <c r="J153" t="s">
        <v>16366</v>
      </c>
      <c r="M153" s="3">
        <v>1600</v>
      </c>
      <c r="N153" t="s">
        <v>16228</v>
      </c>
      <c r="O153" t="s">
        <v>7496</v>
      </c>
      <c r="P153" t="s">
        <v>16229</v>
      </c>
      <c r="Q153" t="s">
        <v>25</v>
      </c>
      <c r="R153" t="s">
        <v>16230</v>
      </c>
      <c r="S153" t="s">
        <v>7496</v>
      </c>
      <c r="T153" t="s">
        <v>16231</v>
      </c>
      <c r="U153" t="s">
        <v>25</v>
      </c>
      <c r="V153" t="s">
        <v>16232</v>
      </c>
    </row>
    <row r="154" spans="1:22">
      <c r="A154" t="s">
        <v>16381</v>
      </c>
      <c r="B154" t="s">
        <v>16146</v>
      </c>
      <c r="C154" t="s">
        <v>16516</v>
      </c>
      <c r="D154" t="s">
        <v>4479</v>
      </c>
      <c r="E154" s="14" t="s">
        <v>11561</v>
      </c>
      <c r="F154" t="s">
        <v>16132</v>
      </c>
      <c r="G154" s="17" t="str">
        <f>Config!$B$3</f>
        <v>SCH/R_IEC.SchLib</v>
      </c>
      <c r="H154" t="s">
        <v>16149</v>
      </c>
      <c r="I154" s="18" t="s">
        <v>16150</v>
      </c>
      <c r="J154" t="s">
        <v>16366</v>
      </c>
      <c r="M154" s="3">
        <v>2500</v>
      </c>
      <c r="N154" t="s">
        <v>16135</v>
      </c>
      <c r="O154" t="s">
        <v>7496</v>
      </c>
      <c r="P154" t="s">
        <v>16139</v>
      </c>
      <c r="Q154" t="s">
        <v>25</v>
      </c>
      <c r="R154" t="s">
        <v>16140</v>
      </c>
    </row>
    <row r="155" spans="1:22">
      <c r="A155" t="s">
        <v>16382</v>
      </c>
      <c r="B155" t="s">
        <v>16147</v>
      </c>
      <c r="C155" t="s">
        <v>16517</v>
      </c>
      <c r="D155" t="s">
        <v>4479</v>
      </c>
      <c r="E155" s="14" t="s">
        <v>11561</v>
      </c>
      <c r="F155" t="s">
        <v>16133</v>
      </c>
      <c r="G155" s="17" t="str">
        <f>Config!$B$3</f>
        <v>SCH/R_IEC.SchLib</v>
      </c>
      <c r="H155" t="s">
        <v>16149</v>
      </c>
      <c r="I155" s="18" t="s">
        <v>16150</v>
      </c>
      <c r="J155" t="s">
        <v>16366</v>
      </c>
      <c r="M155" s="3">
        <v>3500</v>
      </c>
      <c r="N155" t="s">
        <v>16136</v>
      </c>
      <c r="O155" t="s">
        <v>7496</v>
      </c>
      <c r="P155" t="s">
        <v>16141</v>
      </c>
      <c r="Q155" t="s">
        <v>25</v>
      </c>
      <c r="R155" t="s">
        <v>16142</v>
      </c>
    </row>
    <row r="156" spans="1:22">
      <c r="A156" t="s">
        <v>16383</v>
      </c>
      <c r="B156" t="s">
        <v>16235</v>
      </c>
      <c r="C156" t="s">
        <v>16518</v>
      </c>
      <c r="D156" t="s">
        <v>4479</v>
      </c>
      <c r="E156" s="14" t="s">
        <v>11561</v>
      </c>
      <c r="F156" t="s">
        <v>16233</v>
      </c>
      <c r="G156" s="17" t="str">
        <f>Config!$B$3</f>
        <v>SCH/R_IEC.SchLib</v>
      </c>
      <c r="H156" t="s">
        <v>16149</v>
      </c>
      <c r="I156" s="18" t="s">
        <v>16150</v>
      </c>
      <c r="J156" t="s">
        <v>16366</v>
      </c>
      <c r="M156" s="3">
        <v>4500</v>
      </c>
      <c r="N156" t="s">
        <v>16241</v>
      </c>
      <c r="O156" t="s">
        <v>7496</v>
      </c>
      <c r="P156" t="s">
        <v>16242</v>
      </c>
      <c r="Q156" t="s">
        <v>25</v>
      </c>
      <c r="R156" t="s">
        <v>16243</v>
      </c>
    </row>
    <row r="157" spans="1:22">
      <c r="A157" t="s">
        <v>16384</v>
      </c>
      <c r="B157" t="s">
        <v>16238</v>
      </c>
      <c r="C157" t="s">
        <v>16519</v>
      </c>
      <c r="D157" t="s">
        <v>4479</v>
      </c>
      <c r="E157" s="14" t="s">
        <v>11561</v>
      </c>
      <c r="F157" t="s">
        <v>16240</v>
      </c>
      <c r="G157" s="17" t="str">
        <f>Config!$B$3</f>
        <v>SCH/R_IEC.SchLib</v>
      </c>
      <c r="H157" t="s">
        <v>16149</v>
      </c>
      <c r="I157" s="18" t="s">
        <v>16150</v>
      </c>
      <c r="J157" t="s">
        <v>16366</v>
      </c>
      <c r="M157" s="3">
        <v>5500</v>
      </c>
      <c r="N157" t="s">
        <v>16244</v>
      </c>
      <c r="O157" t="s">
        <v>7496</v>
      </c>
      <c r="P157" t="s">
        <v>16245</v>
      </c>
      <c r="Q157" t="s">
        <v>25</v>
      </c>
      <c r="R157" t="s">
        <v>16246</v>
      </c>
    </row>
    <row r="158" spans="1:22">
      <c r="A158" t="s">
        <v>16385</v>
      </c>
      <c r="B158" t="s">
        <v>16164</v>
      </c>
      <c r="C158" t="s">
        <v>16520</v>
      </c>
      <c r="D158" t="s">
        <v>4479</v>
      </c>
      <c r="E158" s="14" t="s">
        <v>11561</v>
      </c>
      <c r="F158" t="s">
        <v>16148</v>
      </c>
      <c r="G158" s="17" t="str">
        <f>Config!$B$3</f>
        <v>SCH/R_IEC.SchLib</v>
      </c>
      <c r="H158" t="s">
        <v>16149</v>
      </c>
      <c r="I158" s="18" t="s">
        <v>16150</v>
      </c>
      <c r="J158" t="s">
        <v>16366</v>
      </c>
      <c r="M158" s="3">
        <v>800</v>
      </c>
      <c r="N158" t="s">
        <v>16152</v>
      </c>
      <c r="O158" t="s">
        <v>7496</v>
      </c>
      <c r="P158" t="s">
        <v>16153</v>
      </c>
      <c r="Q158" t="s">
        <v>25</v>
      </c>
      <c r="R158" t="s">
        <v>16154</v>
      </c>
      <c r="S158" t="s">
        <v>7496</v>
      </c>
      <c r="T158" t="s">
        <v>16155</v>
      </c>
      <c r="U158" t="s">
        <v>25</v>
      </c>
      <c r="V158" t="s">
        <v>16156</v>
      </c>
    </row>
    <row r="159" spans="1:22">
      <c r="A159" t="s">
        <v>16386</v>
      </c>
      <c r="B159" t="s">
        <v>16143</v>
      </c>
      <c r="C159" t="s">
        <v>16521</v>
      </c>
      <c r="D159" t="s">
        <v>4479</v>
      </c>
      <c r="E159" s="14" t="s">
        <v>11561</v>
      </c>
      <c r="F159" t="s">
        <v>13999</v>
      </c>
      <c r="G159" s="17" t="str">
        <f>Config!$B$3</f>
        <v>SCH/R_IEC.SchLib</v>
      </c>
      <c r="H159" t="s">
        <v>16149</v>
      </c>
      <c r="I159" s="18" t="s">
        <v>16150</v>
      </c>
      <c r="J159" t="s">
        <v>16366</v>
      </c>
      <c r="M159" s="3">
        <v>1000</v>
      </c>
      <c r="N159" t="s">
        <v>16134</v>
      </c>
      <c r="O159" t="s">
        <v>7496</v>
      </c>
      <c r="P159" t="s">
        <v>16157</v>
      </c>
      <c r="Q159" t="s">
        <v>25</v>
      </c>
      <c r="R159" t="s">
        <v>16158</v>
      </c>
      <c r="S159" t="s">
        <v>7496</v>
      </c>
      <c r="T159" t="s">
        <v>16126</v>
      </c>
      <c r="U159" t="s">
        <v>25</v>
      </c>
      <c r="V159" t="s">
        <v>16127</v>
      </c>
    </row>
    <row r="160" spans="1:22">
      <c r="A160" t="s">
        <v>16387</v>
      </c>
      <c r="B160" t="s">
        <v>16144</v>
      </c>
      <c r="C160" t="s">
        <v>16522</v>
      </c>
      <c r="D160" t="s">
        <v>4479</v>
      </c>
      <c r="E160" s="14" t="s">
        <v>11561</v>
      </c>
      <c r="F160" t="s">
        <v>10749</v>
      </c>
      <c r="G160" s="17" t="str">
        <f>Config!$B$3</f>
        <v>SCH/R_IEC.SchLib</v>
      </c>
      <c r="H160" t="s">
        <v>16149</v>
      </c>
      <c r="I160" s="18" t="s">
        <v>16150</v>
      </c>
      <c r="J160" t="s">
        <v>16366</v>
      </c>
      <c r="M160" s="3">
        <v>1200</v>
      </c>
      <c r="N160" t="s">
        <v>16128</v>
      </c>
      <c r="O160" t="s">
        <v>7496</v>
      </c>
      <c r="P160" t="s">
        <v>16129</v>
      </c>
      <c r="Q160" t="s">
        <v>25</v>
      </c>
      <c r="R160" t="s">
        <v>16130</v>
      </c>
    </row>
    <row r="161" spans="1:22">
      <c r="A161" t="s">
        <v>16388</v>
      </c>
      <c r="B161" t="s">
        <v>16145</v>
      </c>
      <c r="C161" t="s">
        <v>16523</v>
      </c>
      <c r="D161" t="s">
        <v>4479</v>
      </c>
      <c r="E161" s="14" t="s">
        <v>11561</v>
      </c>
      <c r="F161" t="s">
        <v>16131</v>
      </c>
      <c r="G161" s="17" t="str">
        <f>Config!$B$3</f>
        <v>SCH/R_IEC.SchLib</v>
      </c>
      <c r="H161" t="s">
        <v>16149</v>
      </c>
      <c r="I161" s="18" t="s">
        <v>16150</v>
      </c>
      <c r="J161" t="s">
        <v>16366</v>
      </c>
      <c r="M161" s="3">
        <v>1400</v>
      </c>
      <c r="N161" t="s">
        <v>16159</v>
      </c>
      <c r="O161" t="s">
        <v>7496</v>
      </c>
      <c r="P161" t="s">
        <v>16160</v>
      </c>
      <c r="Q161" t="s">
        <v>25</v>
      </c>
      <c r="R161" t="s">
        <v>16161</v>
      </c>
      <c r="S161" t="s">
        <v>7496</v>
      </c>
      <c r="T161" t="s">
        <v>16137</v>
      </c>
      <c r="U161" t="s">
        <v>25</v>
      </c>
      <c r="V161" t="s">
        <v>16138</v>
      </c>
    </row>
    <row r="162" spans="1:22">
      <c r="A162" t="s">
        <v>16389</v>
      </c>
      <c r="B162" t="s">
        <v>16225</v>
      </c>
      <c r="C162" t="s">
        <v>16524</v>
      </c>
      <c r="D162" t="s">
        <v>4479</v>
      </c>
      <c r="E162" s="14" t="s">
        <v>11561</v>
      </c>
      <c r="F162" t="s">
        <v>16227</v>
      </c>
      <c r="G162" s="17" t="str">
        <f>Config!$B$3</f>
        <v>SCH/R_IEC.SchLib</v>
      </c>
      <c r="H162" t="s">
        <v>16149</v>
      </c>
      <c r="I162" s="18" t="s">
        <v>16150</v>
      </c>
      <c r="J162" t="s">
        <v>16366</v>
      </c>
      <c r="M162" s="3">
        <v>1600</v>
      </c>
      <c r="N162" t="s">
        <v>16228</v>
      </c>
      <c r="O162" t="s">
        <v>7496</v>
      </c>
      <c r="P162" t="s">
        <v>16229</v>
      </c>
      <c r="Q162" t="s">
        <v>25</v>
      </c>
      <c r="R162" t="s">
        <v>16230</v>
      </c>
      <c r="S162" t="s">
        <v>7496</v>
      </c>
      <c r="T162" t="s">
        <v>16231</v>
      </c>
      <c r="U162" t="s">
        <v>25</v>
      </c>
      <c r="V162" t="s">
        <v>16232</v>
      </c>
    </row>
    <row r="163" spans="1:22">
      <c r="A163" t="s">
        <v>16390</v>
      </c>
      <c r="B163" t="s">
        <v>16146</v>
      </c>
      <c r="C163" t="s">
        <v>16525</v>
      </c>
      <c r="D163" t="s">
        <v>4479</v>
      </c>
      <c r="E163" s="14" t="s">
        <v>11561</v>
      </c>
      <c r="F163" t="s">
        <v>16132</v>
      </c>
      <c r="G163" s="17" t="str">
        <f>Config!$B$3</f>
        <v>SCH/R_IEC.SchLib</v>
      </c>
      <c r="H163" t="s">
        <v>16149</v>
      </c>
      <c r="I163" s="18" t="s">
        <v>16150</v>
      </c>
      <c r="J163" t="s">
        <v>16366</v>
      </c>
      <c r="M163" s="3">
        <v>2500</v>
      </c>
      <c r="N163" t="s">
        <v>16135</v>
      </c>
      <c r="O163" t="s">
        <v>7496</v>
      </c>
      <c r="P163" t="s">
        <v>16139</v>
      </c>
      <c r="Q163" t="s">
        <v>25</v>
      </c>
      <c r="R163" t="s">
        <v>16140</v>
      </c>
    </row>
    <row r="164" spans="1:22">
      <c r="A164" t="s">
        <v>16391</v>
      </c>
      <c r="B164" t="s">
        <v>16147</v>
      </c>
      <c r="C164" t="s">
        <v>16526</v>
      </c>
      <c r="D164" t="s">
        <v>4479</v>
      </c>
      <c r="E164" s="14" t="s">
        <v>11561</v>
      </c>
      <c r="F164" t="s">
        <v>16133</v>
      </c>
      <c r="G164" s="17" t="str">
        <f>Config!$B$3</f>
        <v>SCH/R_IEC.SchLib</v>
      </c>
      <c r="H164" t="s">
        <v>16149</v>
      </c>
      <c r="I164" s="18" t="s">
        <v>16150</v>
      </c>
      <c r="J164" t="s">
        <v>16366</v>
      </c>
      <c r="M164" s="3">
        <v>3500</v>
      </c>
      <c r="N164" t="s">
        <v>16136</v>
      </c>
      <c r="O164" t="s">
        <v>7496</v>
      </c>
      <c r="P164" t="s">
        <v>16141</v>
      </c>
      <c r="Q164" t="s">
        <v>25</v>
      </c>
      <c r="R164" t="s">
        <v>16142</v>
      </c>
    </row>
    <row r="165" spans="1:22">
      <c r="A165" t="s">
        <v>16392</v>
      </c>
      <c r="B165" t="s">
        <v>16235</v>
      </c>
      <c r="C165" t="s">
        <v>16527</v>
      </c>
      <c r="D165" t="s">
        <v>4479</v>
      </c>
      <c r="E165" s="14" t="s">
        <v>11561</v>
      </c>
      <c r="F165" t="s">
        <v>16233</v>
      </c>
      <c r="G165" s="17" t="str">
        <f>Config!$B$3</f>
        <v>SCH/R_IEC.SchLib</v>
      </c>
      <c r="H165" t="s">
        <v>16149</v>
      </c>
      <c r="I165" s="18" t="s">
        <v>16150</v>
      </c>
      <c r="J165" t="s">
        <v>16366</v>
      </c>
      <c r="M165" s="3">
        <v>4500</v>
      </c>
      <c r="N165" t="s">
        <v>16241</v>
      </c>
      <c r="O165" t="s">
        <v>7496</v>
      </c>
      <c r="P165" t="s">
        <v>16242</v>
      </c>
      <c r="Q165" t="s">
        <v>25</v>
      </c>
      <c r="R165" t="s">
        <v>16243</v>
      </c>
    </row>
    <row r="166" spans="1:22">
      <c r="A166" t="s">
        <v>16393</v>
      </c>
      <c r="B166" t="s">
        <v>16238</v>
      </c>
      <c r="C166" t="s">
        <v>16528</v>
      </c>
      <c r="D166" t="s">
        <v>4479</v>
      </c>
      <c r="E166" s="14" t="s">
        <v>11561</v>
      </c>
      <c r="F166" t="s">
        <v>16240</v>
      </c>
      <c r="G166" s="17" t="str">
        <f>Config!$B$3</f>
        <v>SCH/R_IEC.SchLib</v>
      </c>
      <c r="H166" t="s">
        <v>16149</v>
      </c>
      <c r="I166" s="18" t="s">
        <v>16150</v>
      </c>
      <c r="J166" t="s">
        <v>16366</v>
      </c>
      <c r="M166" s="3">
        <v>5500</v>
      </c>
      <c r="N166" t="s">
        <v>16244</v>
      </c>
      <c r="O166" t="s">
        <v>7496</v>
      </c>
      <c r="P166" t="s">
        <v>16245</v>
      </c>
      <c r="Q166" t="s">
        <v>25</v>
      </c>
      <c r="R166" t="s">
        <v>16246</v>
      </c>
    </row>
    <row r="167" spans="1:22">
      <c r="A167" t="s">
        <v>16394</v>
      </c>
      <c r="B167" t="s">
        <v>16164</v>
      </c>
      <c r="C167" t="s">
        <v>16529</v>
      </c>
      <c r="D167" t="s">
        <v>4479</v>
      </c>
      <c r="E167" s="14" t="s">
        <v>11561</v>
      </c>
      <c r="F167" t="s">
        <v>16148</v>
      </c>
      <c r="G167" s="17" t="str">
        <f>Config!$B$3</f>
        <v>SCH/R_IEC.SchLib</v>
      </c>
      <c r="H167" t="s">
        <v>16149</v>
      </c>
      <c r="I167" s="18" t="s">
        <v>16150</v>
      </c>
      <c r="J167" t="s">
        <v>16366</v>
      </c>
      <c r="M167" s="3">
        <v>800</v>
      </c>
      <c r="N167" t="s">
        <v>16152</v>
      </c>
      <c r="O167" t="s">
        <v>7496</v>
      </c>
      <c r="P167" t="s">
        <v>16153</v>
      </c>
      <c r="Q167" t="s">
        <v>25</v>
      </c>
      <c r="R167" t="s">
        <v>16154</v>
      </c>
      <c r="S167" t="s">
        <v>7496</v>
      </c>
      <c r="T167" t="s">
        <v>16155</v>
      </c>
      <c r="U167" t="s">
        <v>25</v>
      </c>
      <c r="V167" t="s">
        <v>16156</v>
      </c>
    </row>
    <row r="168" spans="1:22">
      <c r="A168" t="s">
        <v>16395</v>
      </c>
      <c r="B168" t="s">
        <v>16143</v>
      </c>
      <c r="C168" t="s">
        <v>16530</v>
      </c>
      <c r="D168" t="s">
        <v>4479</v>
      </c>
      <c r="E168" s="14" t="s">
        <v>11561</v>
      </c>
      <c r="F168" t="s">
        <v>13999</v>
      </c>
      <c r="G168" s="17" t="str">
        <f>Config!$B$3</f>
        <v>SCH/R_IEC.SchLib</v>
      </c>
      <c r="H168" t="s">
        <v>16149</v>
      </c>
      <c r="I168" s="18" t="s">
        <v>16150</v>
      </c>
      <c r="J168" t="s">
        <v>16366</v>
      </c>
      <c r="M168" s="3">
        <v>1000</v>
      </c>
      <c r="N168" t="s">
        <v>16134</v>
      </c>
      <c r="O168" t="s">
        <v>7496</v>
      </c>
      <c r="P168" t="s">
        <v>16157</v>
      </c>
      <c r="Q168" t="s">
        <v>25</v>
      </c>
      <c r="R168" t="s">
        <v>16158</v>
      </c>
      <c r="S168" t="s">
        <v>7496</v>
      </c>
      <c r="T168" t="s">
        <v>16126</v>
      </c>
      <c r="U168" t="s">
        <v>25</v>
      </c>
      <c r="V168" t="s">
        <v>16127</v>
      </c>
    </row>
    <row r="169" spans="1:22">
      <c r="A169" t="s">
        <v>16396</v>
      </c>
      <c r="B169" t="s">
        <v>16144</v>
      </c>
      <c r="C169" t="s">
        <v>16531</v>
      </c>
      <c r="D169" t="s">
        <v>4479</v>
      </c>
      <c r="E169" s="14" t="s">
        <v>11561</v>
      </c>
      <c r="F169" t="s">
        <v>10749</v>
      </c>
      <c r="G169" s="17" t="str">
        <f>Config!$B$3</f>
        <v>SCH/R_IEC.SchLib</v>
      </c>
      <c r="H169" t="s">
        <v>16149</v>
      </c>
      <c r="I169" s="18" t="s">
        <v>16150</v>
      </c>
      <c r="J169" t="s">
        <v>16366</v>
      </c>
      <c r="M169" s="3">
        <v>1200</v>
      </c>
      <c r="N169" t="s">
        <v>16128</v>
      </c>
      <c r="O169" t="s">
        <v>7496</v>
      </c>
      <c r="P169" t="s">
        <v>16129</v>
      </c>
      <c r="Q169" t="s">
        <v>25</v>
      </c>
      <c r="R169" t="s">
        <v>16130</v>
      </c>
    </row>
    <row r="170" spans="1:22">
      <c r="A170" t="s">
        <v>16397</v>
      </c>
      <c r="B170" t="s">
        <v>16145</v>
      </c>
      <c r="C170" t="s">
        <v>16532</v>
      </c>
      <c r="D170" t="s">
        <v>4479</v>
      </c>
      <c r="E170" s="14" t="s">
        <v>11561</v>
      </c>
      <c r="F170" t="s">
        <v>16131</v>
      </c>
      <c r="G170" s="17" t="str">
        <f>Config!$B$3</f>
        <v>SCH/R_IEC.SchLib</v>
      </c>
      <c r="H170" t="s">
        <v>16149</v>
      </c>
      <c r="I170" s="18" t="s">
        <v>16150</v>
      </c>
      <c r="J170" t="s">
        <v>16366</v>
      </c>
      <c r="M170" s="3">
        <v>1400</v>
      </c>
      <c r="N170" t="s">
        <v>16159</v>
      </c>
      <c r="O170" t="s">
        <v>7496</v>
      </c>
      <c r="P170" t="s">
        <v>16160</v>
      </c>
      <c r="Q170" t="s">
        <v>25</v>
      </c>
      <c r="R170" t="s">
        <v>16161</v>
      </c>
      <c r="S170" t="s">
        <v>7496</v>
      </c>
      <c r="T170" t="s">
        <v>16137</v>
      </c>
      <c r="U170" t="s">
        <v>25</v>
      </c>
      <c r="V170" t="s">
        <v>16138</v>
      </c>
    </row>
    <row r="171" spans="1:22">
      <c r="A171" t="s">
        <v>16398</v>
      </c>
      <c r="B171" t="s">
        <v>16225</v>
      </c>
      <c r="C171" t="s">
        <v>16533</v>
      </c>
      <c r="D171" t="s">
        <v>4479</v>
      </c>
      <c r="E171" s="14" t="s">
        <v>11561</v>
      </c>
      <c r="F171" t="s">
        <v>16227</v>
      </c>
      <c r="G171" s="17" t="str">
        <f>Config!$B$3</f>
        <v>SCH/R_IEC.SchLib</v>
      </c>
      <c r="H171" t="s">
        <v>16149</v>
      </c>
      <c r="I171" s="18" t="s">
        <v>16150</v>
      </c>
      <c r="J171" t="s">
        <v>16366</v>
      </c>
      <c r="M171" s="3">
        <v>1600</v>
      </c>
      <c r="N171" t="s">
        <v>16228</v>
      </c>
      <c r="O171" t="s">
        <v>7496</v>
      </c>
      <c r="P171" t="s">
        <v>16229</v>
      </c>
      <c r="Q171" t="s">
        <v>25</v>
      </c>
      <c r="R171" t="s">
        <v>16230</v>
      </c>
      <c r="S171" t="s">
        <v>7496</v>
      </c>
      <c r="T171" t="s">
        <v>16231</v>
      </c>
      <c r="U171" t="s">
        <v>25</v>
      </c>
      <c r="V171" t="s">
        <v>16232</v>
      </c>
    </row>
    <row r="172" spans="1:22">
      <c r="A172" t="s">
        <v>16399</v>
      </c>
      <c r="B172" t="s">
        <v>16146</v>
      </c>
      <c r="C172" t="s">
        <v>16534</v>
      </c>
      <c r="D172" t="s">
        <v>4479</v>
      </c>
      <c r="E172" s="14" t="s">
        <v>11561</v>
      </c>
      <c r="F172" t="s">
        <v>16132</v>
      </c>
      <c r="G172" s="17" t="str">
        <f>Config!$B$3</f>
        <v>SCH/R_IEC.SchLib</v>
      </c>
      <c r="H172" t="s">
        <v>16149</v>
      </c>
      <c r="I172" s="18" t="s">
        <v>16150</v>
      </c>
      <c r="J172" t="s">
        <v>16366</v>
      </c>
      <c r="M172" s="3">
        <v>2500</v>
      </c>
      <c r="N172" t="s">
        <v>16135</v>
      </c>
      <c r="O172" t="s">
        <v>7496</v>
      </c>
      <c r="P172" t="s">
        <v>16139</v>
      </c>
      <c r="Q172" t="s">
        <v>25</v>
      </c>
      <c r="R172" t="s">
        <v>16140</v>
      </c>
    </row>
    <row r="173" spans="1:22">
      <c r="A173" t="s">
        <v>16400</v>
      </c>
      <c r="B173" t="s">
        <v>16147</v>
      </c>
      <c r="C173" t="s">
        <v>16535</v>
      </c>
      <c r="D173" t="s">
        <v>4479</v>
      </c>
      <c r="E173" s="14" t="s">
        <v>11561</v>
      </c>
      <c r="F173" t="s">
        <v>16133</v>
      </c>
      <c r="G173" s="17" t="str">
        <f>Config!$B$3</f>
        <v>SCH/R_IEC.SchLib</v>
      </c>
      <c r="H173" t="s">
        <v>16149</v>
      </c>
      <c r="I173" s="18" t="s">
        <v>16150</v>
      </c>
      <c r="J173" t="s">
        <v>16366</v>
      </c>
      <c r="M173" s="3">
        <v>3500</v>
      </c>
      <c r="N173" t="s">
        <v>16136</v>
      </c>
      <c r="O173" t="s">
        <v>7496</v>
      </c>
      <c r="P173" t="s">
        <v>16141</v>
      </c>
      <c r="Q173" t="s">
        <v>25</v>
      </c>
      <c r="R173" t="s">
        <v>16142</v>
      </c>
    </row>
    <row r="174" spans="1:22">
      <c r="A174" t="s">
        <v>16401</v>
      </c>
      <c r="B174" t="s">
        <v>16235</v>
      </c>
      <c r="C174" t="s">
        <v>16536</v>
      </c>
      <c r="D174" t="s">
        <v>4479</v>
      </c>
      <c r="E174" s="14" t="s">
        <v>11561</v>
      </c>
      <c r="F174" t="s">
        <v>16233</v>
      </c>
      <c r="G174" s="17" t="str">
        <f>Config!$B$3</f>
        <v>SCH/R_IEC.SchLib</v>
      </c>
      <c r="H174" t="s">
        <v>16149</v>
      </c>
      <c r="I174" s="18" t="s">
        <v>16150</v>
      </c>
      <c r="J174" t="s">
        <v>16366</v>
      </c>
      <c r="M174" s="3">
        <v>4500</v>
      </c>
      <c r="N174" t="s">
        <v>16241</v>
      </c>
      <c r="O174" t="s">
        <v>7496</v>
      </c>
      <c r="P174" t="s">
        <v>16242</v>
      </c>
      <c r="Q174" t="s">
        <v>25</v>
      </c>
      <c r="R174" t="s">
        <v>16243</v>
      </c>
    </row>
    <row r="175" spans="1:22">
      <c r="A175" t="s">
        <v>16402</v>
      </c>
      <c r="B175" t="s">
        <v>16238</v>
      </c>
      <c r="C175" t="s">
        <v>16537</v>
      </c>
      <c r="D175" t="s">
        <v>4479</v>
      </c>
      <c r="E175" s="14" t="s">
        <v>11561</v>
      </c>
      <c r="F175" t="s">
        <v>16240</v>
      </c>
      <c r="G175" s="17" t="str">
        <f>Config!$B$3</f>
        <v>SCH/R_IEC.SchLib</v>
      </c>
      <c r="H175" t="s">
        <v>16149</v>
      </c>
      <c r="I175" s="18" t="s">
        <v>16150</v>
      </c>
      <c r="J175" t="s">
        <v>16366</v>
      </c>
      <c r="M175" s="3">
        <v>5500</v>
      </c>
      <c r="N175" t="s">
        <v>16244</v>
      </c>
      <c r="O175" t="s">
        <v>7496</v>
      </c>
      <c r="P175" t="s">
        <v>16245</v>
      </c>
      <c r="Q175" t="s">
        <v>25</v>
      </c>
      <c r="R175" t="s">
        <v>16246</v>
      </c>
    </row>
    <row r="176" spans="1:22">
      <c r="A176" t="s">
        <v>16403</v>
      </c>
      <c r="B176" t="s">
        <v>16164</v>
      </c>
      <c r="C176" t="s">
        <v>16538</v>
      </c>
      <c r="D176" t="s">
        <v>4479</v>
      </c>
      <c r="E176" s="14" t="s">
        <v>11561</v>
      </c>
      <c r="F176" t="s">
        <v>16148</v>
      </c>
      <c r="G176" s="17" t="str">
        <f>Config!$B$3</f>
        <v>SCH/R_IEC.SchLib</v>
      </c>
      <c r="H176" t="s">
        <v>16149</v>
      </c>
      <c r="I176" s="18" t="s">
        <v>16150</v>
      </c>
      <c r="J176" t="s">
        <v>16366</v>
      </c>
      <c r="M176" s="3">
        <v>800</v>
      </c>
      <c r="N176" t="s">
        <v>16152</v>
      </c>
      <c r="O176" t="s">
        <v>7496</v>
      </c>
      <c r="P176" t="s">
        <v>16153</v>
      </c>
      <c r="Q176" t="s">
        <v>25</v>
      </c>
      <c r="R176" t="s">
        <v>16154</v>
      </c>
      <c r="S176" t="s">
        <v>7496</v>
      </c>
      <c r="T176" t="s">
        <v>16155</v>
      </c>
      <c r="U176" t="s">
        <v>25</v>
      </c>
      <c r="V176" t="s">
        <v>16156</v>
      </c>
    </row>
    <row r="177" spans="1:22">
      <c r="A177" t="s">
        <v>16404</v>
      </c>
      <c r="B177" t="s">
        <v>16143</v>
      </c>
      <c r="C177" t="s">
        <v>16539</v>
      </c>
      <c r="D177" t="s">
        <v>4479</v>
      </c>
      <c r="E177" s="14" t="s">
        <v>11561</v>
      </c>
      <c r="F177" t="s">
        <v>13999</v>
      </c>
      <c r="G177" s="17" t="str">
        <f>Config!$B$3</f>
        <v>SCH/R_IEC.SchLib</v>
      </c>
      <c r="H177" t="s">
        <v>16149</v>
      </c>
      <c r="I177" s="18" t="s">
        <v>16150</v>
      </c>
      <c r="J177" t="s">
        <v>16366</v>
      </c>
      <c r="M177" s="3">
        <v>1000</v>
      </c>
      <c r="N177" t="s">
        <v>16134</v>
      </c>
      <c r="O177" t="s">
        <v>7496</v>
      </c>
      <c r="P177" t="s">
        <v>16157</v>
      </c>
      <c r="Q177" t="s">
        <v>25</v>
      </c>
      <c r="R177" t="s">
        <v>16158</v>
      </c>
      <c r="S177" t="s">
        <v>7496</v>
      </c>
      <c r="T177" t="s">
        <v>16126</v>
      </c>
      <c r="U177" t="s">
        <v>25</v>
      </c>
      <c r="V177" t="s">
        <v>16127</v>
      </c>
    </row>
    <row r="178" spans="1:22">
      <c r="A178" t="s">
        <v>16405</v>
      </c>
      <c r="B178" t="s">
        <v>16144</v>
      </c>
      <c r="C178" t="s">
        <v>16540</v>
      </c>
      <c r="D178" t="s">
        <v>4479</v>
      </c>
      <c r="E178" s="14" t="s">
        <v>11561</v>
      </c>
      <c r="F178" t="s">
        <v>10749</v>
      </c>
      <c r="G178" s="17" t="str">
        <f>Config!$B$3</f>
        <v>SCH/R_IEC.SchLib</v>
      </c>
      <c r="H178" t="s">
        <v>16149</v>
      </c>
      <c r="I178" s="18" t="s">
        <v>16150</v>
      </c>
      <c r="J178" t="s">
        <v>16366</v>
      </c>
      <c r="M178" s="3">
        <v>1200</v>
      </c>
      <c r="N178" t="s">
        <v>16128</v>
      </c>
      <c r="O178" t="s">
        <v>7496</v>
      </c>
      <c r="P178" t="s">
        <v>16129</v>
      </c>
      <c r="Q178" t="s">
        <v>25</v>
      </c>
      <c r="R178" t="s">
        <v>16130</v>
      </c>
    </row>
    <row r="179" spans="1:22">
      <c r="A179" t="s">
        <v>16406</v>
      </c>
      <c r="B179" t="s">
        <v>16145</v>
      </c>
      <c r="C179" t="s">
        <v>16541</v>
      </c>
      <c r="D179" t="s">
        <v>4479</v>
      </c>
      <c r="E179" s="14" t="s">
        <v>11561</v>
      </c>
      <c r="F179" t="s">
        <v>16131</v>
      </c>
      <c r="G179" s="17" t="str">
        <f>Config!$B$3</f>
        <v>SCH/R_IEC.SchLib</v>
      </c>
      <c r="H179" t="s">
        <v>16149</v>
      </c>
      <c r="I179" s="18" t="s">
        <v>16150</v>
      </c>
      <c r="J179" t="s">
        <v>16366</v>
      </c>
      <c r="M179" s="3">
        <v>1400</v>
      </c>
      <c r="N179" t="s">
        <v>16159</v>
      </c>
      <c r="O179" t="s">
        <v>7496</v>
      </c>
      <c r="P179" t="s">
        <v>16160</v>
      </c>
      <c r="Q179" t="s">
        <v>25</v>
      </c>
      <c r="R179" t="s">
        <v>16161</v>
      </c>
      <c r="S179" t="s">
        <v>7496</v>
      </c>
      <c r="T179" t="s">
        <v>16137</v>
      </c>
      <c r="U179" t="s">
        <v>25</v>
      </c>
      <c r="V179" t="s">
        <v>16138</v>
      </c>
    </row>
    <row r="180" spans="1:22">
      <c r="A180" t="s">
        <v>16407</v>
      </c>
      <c r="B180" t="s">
        <v>16225</v>
      </c>
      <c r="C180" t="s">
        <v>16542</v>
      </c>
      <c r="D180" t="s">
        <v>4479</v>
      </c>
      <c r="E180" s="14" t="s">
        <v>11561</v>
      </c>
      <c r="F180" t="s">
        <v>16227</v>
      </c>
      <c r="G180" s="17" t="str">
        <f>Config!$B$3</f>
        <v>SCH/R_IEC.SchLib</v>
      </c>
      <c r="H180" t="s">
        <v>16149</v>
      </c>
      <c r="I180" s="18" t="s">
        <v>16150</v>
      </c>
      <c r="J180" t="s">
        <v>16366</v>
      </c>
      <c r="M180" s="3">
        <v>1600</v>
      </c>
      <c r="N180" t="s">
        <v>16228</v>
      </c>
      <c r="O180" t="s">
        <v>7496</v>
      </c>
      <c r="P180" t="s">
        <v>16229</v>
      </c>
      <c r="Q180" t="s">
        <v>25</v>
      </c>
      <c r="R180" t="s">
        <v>16230</v>
      </c>
      <c r="S180" t="s">
        <v>7496</v>
      </c>
      <c r="T180" t="s">
        <v>16231</v>
      </c>
      <c r="U180" t="s">
        <v>25</v>
      </c>
      <c r="V180" t="s">
        <v>16232</v>
      </c>
    </row>
    <row r="181" spans="1:22">
      <c r="A181" t="s">
        <v>16408</v>
      </c>
      <c r="B181" t="s">
        <v>16146</v>
      </c>
      <c r="C181" t="s">
        <v>16543</v>
      </c>
      <c r="D181" t="s">
        <v>4479</v>
      </c>
      <c r="E181" s="14" t="s">
        <v>11561</v>
      </c>
      <c r="F181" t="s">
        <v>16132</v>
      </c>
      <c r="G181" s="17" t="str">
        <f>Config!$B$3</f>
        <v>SCH/R_IEC.SchLib</v>
      </c>
      <c r="H181" t="s">
        <v>16149</v>
      </c>
      <c r="I181" s="18" t="s">
        <v>16150</v>
      </c>
      <c r="J181" t="s">
        <v>16366</v>
      </c>
      <c r="M181" s="3">
        <v>2500</v>
      </c>
      <c r="N181" t="s">
        <v>16135</v>
      </c>
      <c r="O181" t="s">
        <v>7496</v>
      </c>
      <c r="P181" t="s">
        <v>16139</v>
      </c>
      <c r="Q181" t="s">
        <v>25</v>
      </c>
      <c r="R181" t="s">
        <v>16140</v>
      </c>
    </row>
    <row r="182" spans="1:22">
      <c r="A182" t="s">
        <v>16409</v>
      </c>
      <c r="B182" t="s">
        <v>16147</v>
      </c>
      <c r="C182" t="s">
        <v>16544</v>
      </c>
      <c r="D182" t="s">
        <v>4479</v>
      </c>
      <c r="E182" s="14" t="s">
        <v>11561</v>
      </c>
      <c r="F182" t="s">
        <v>16133</v>
      </c>
      <c r="G182" s="17" t="str">
        <f>Config!$B$3</f>
        <v>SCH/R_IEC.SchLib</v>
      </c>
      <c r="H182" t="s">
        <v>16149</v>
      </c>
      <c r="I182" s="18" t="s">
        <v>16150</v>
      </c>
      <c r="J182" t="s">
        <v>16366</v>
      </c>
      <c r="M182" s="3">
        <v>3500</v>
      </c>
      <c r="N182" t="s">
        <v>16136</v>
      </c>
      <c r="O182" t="s">
        <v>7496</v>
      </c>
      <c r="P182" t="s">
        <v>16141</v>
      </c>
      <c r="Q182" t="s">
        <v>25</v>
      </c>
      <c r="R182" t="s">
        <v>16142</v>
      </c>
    </row>
    <row r="183" spans="1:22">
      <c r="A183" t="s">
        <v>16410</v>
      </c>
      <c r="B183" t="s">
        <v>16235</v>
      </c>
      <c r="C183" t="s">
        <v>16545</v>
      </c>
      <c r="D183" t="s">
        <v>4479</v>
      </c>
      <c r="E183" s="14" t="s">
        <v>11561</v>
      </c>
      <c r="F183" t="s">
        <v>16233</v>
      </c>
      <c r="G183" s="17" t="str">
        <f>Config!$B$3</f>
        <v>SCH/R_IEC.SchLib</v>
      </c>
      <c r="H183" t="s">
        <v>16149</v>
      </c>
      <c r="I183" s="18" t="s">
        <v>16150</v>
      </c>
      <c r="J183" t="s">
        <v>16366</v>
      </c>
      <c r="M183" s="3">
        <v>4500</v>
      </c>
      <c r="N183" t="s">
        <v>16241</v>
      </c>
      <c r="O183" t="s">
        <v>7496</v>
      </c>
      <c r="P183" t="s">
        <v>16242</v>
      </c>
      <c r="Q183" t="s">
        <v>25</v>
      </c>
      <c r="R183" t="s">
        <v>16243</v>
      </c>
    </row>
    <row r="184" spans="1:22">
      <c r="A184" t="s">
        <v>16411</v>
      </c>
      <c r="B184" t="s">
        <v>16238</v>
      </c>
      <c r="C184" t="s">
        <v>16546</v>
      </c>
      <c r="D184" t="s">
        <v>4479</v>
      </c>
      <c r="E184" s="14" t="s">
        <v>11561</v>
      </c>
      <c r="F184" t="s">
        <v>16240</v>
      </c>
      <c r="G184" s="17" t="str">
        <f>Config!$B$3</f>
        <v>SCH/R_IEC.SchLib</v>
      </c>
      <c r="H184" t="s">
        <v>16149</v>
      </c>
      <c r="I184" s="18" t="s">
        <v>16150</v>
      </c>
      <c r="J184" t="s">
        <v>16366</v>
      </c>
      <c r="M184" s="3">
        <v>5500</v>
      </c>
      <c r="N184" t="s">
        <v>16244</v>
      </c>
      <c r="O184" t="s">
        <v>7496</v>
      </c>
      <c r="P184" t="s">
        <v>16245</v>
      </c>
      <c r="Q184" t="s">
        <v>25</v>
      </c>
      <c r="R184" t="s">
        <v>16246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85"/>
  <sheetViews>
    <sheetView zoomScaleNormal="100" workbookViewId="0">
      <pane xSplit="1" ySplit="1" topLeftCell="J247" activePane="bottomRight" state="frozen"/>
      <selection pane="topRight" activeCell="B1" sqref="B1"/>
      <selection pane="bottomLeft" activeCell="A2" sqref="A2"/>
      <selection pane="bottomRight" activeCell="S286" sqref="S28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6437</v>
      </c>
      <c r="B2" t="s">
        <v>6438</v>
      </c>
      <c r="C2" t="s">
        <v>12801</v>
      </c>
      <c r="D2" t="s">
        <v>4310</v>
      </c>
      <c r="F2" t="s">
        <v>11199</v>
      </c>
      <c r="G2" t="s">
        <v>6438</v>
      </c>
      <c r="H2" t="s">
        <v>4314</v>
      </c>
      <c r="I2" t="s">
        <v>12802</v>
      </c>
    </row>
    <row r="3" spans="1:23">
      <c r="A3" t="s">
        <v>12755</v>
      </c>
      <c r="B3" t="s">
        <v>12755</v>
      </c>
      <c r="C3" t="s">
        <v>12756</v>
      </c>
      <c r="D3" t="s">
        <v>4310</v>
      </c>
      <c r="F3" t="s">
        <v>11199</v>
      </c>
      <c r="G3" t="s">
        <v>12754</v>
      </c>
      <c r="H3" t="s">
        <v>4314</v>
      </c>
      <c r="I3" t="s">
        <v>12757</v>
      </c>
    </row>
    <row r="4" spans="1:23">
      <c r="A4" t="s">
        <v>12761</v>
      </c>
      <c r="B4" t="s">
        <v>12758</v>
      </c>
      <c r="C4" t="s">
        <v>12760</v>
      </c>
      <c r="D4" t="s">
        <v>4310</v>
      </c>
      <c r="F4" t="s">
        <v>11199</v>
      </c>
      <c r="G4" t="s">
        <v>12759</v>
      </c>
      <c r="H4" t="s">
        <v>4314</v>
      </c>
      <c r="I4" t="s">
        <v>12762</v>
      </c>
    </row>
    <row r="5" spans="1:23">
      <c r="A5" t="s">
        <v>12763</v>
      </c>
      <c r="B5" t="s">
        <v>12758</v>
      </c>
      <c r="C5" t="s">
        <v>12765</v>
      </c>
      <c r="D5" t="s">
        <v>4310</v>
      </c>
      <c r="F5" t="s">
        <v>11199</v>
      </c>
      <c r="G5" t="s">
        <v>12759</v>
      </c>
      <c r="H5" t="s">
        <v>4314</v>
      </c>
      <c r="I5" t="s">
        <v>12767</v>
      </c>
    </row>
    <row r="6" spans="1:23">
      <c r="A6" t="s">
        <v>12764</v>
      </c>
      <c r="B6" t="s">
        <v>12758</v>
      </c>
      <c r="C6" t="s">
        <v>12766</v>
      </c>
      <c r="D6" t="s">
        <v>4310</v>
      </c>
      <c r="F6" t="s">
        <v>11199</v>
      </c>
      <c r="G6" t="s">
        <v>12759</v>
      </c>
      <c r="H6" t="s">
        <v>4314</v>
      </c>
      <c r="I6" t="s">
        <v>12768</v>
      </c>
    </row>
    <row r="7" spans="1:23">
      <c r="A7" t="s">
        <v>12769</v>
      </c>
      <c r="B7" t="s">
        <v>12758</v>
      </c>
      <c r="C7" t="s">
        <v>12770</v>
      </c>
      <c r="D7" t="s">
        <v>4310</v>
      </c>
      <c r="F7" t="s">
        <v>11199</v>
      </c>
      <c r="G7" t="s">
        <v>12759</v>
      </c>
      <c r="H7" t="s">
        <v>4314</v>
      </c>
      <c r="I7" t="s">
        <v>12771</v>
      </c>
    </row>
    <row r="8" spans="1:23">
      <c r="A8" t="s">
        <v>12772</v>
      </c>
      <c r="B8" t="s">
        <v>12758</v>
      </c>
      <c r="C8" t="s">
        <v>12773</v>
      </c>
      <c r="D8" t="s">
        <v>4310</v>
      </c>
      <c r="F8" t="s">
        <v>11199</v>
      </c>
      <c r="G8" t="s">
        <v>12759</v>
      </c>
      <c r="H8" t="s">
        <v>4314</v>
      </c>
      <c r="I8" t="s">
        <v>12774</v>
      </c>
    </row>
    <row r="9" spans="1:23">
      <c r="A9" t="s">
        <v>12775</v>
      </c>
      <c r="B9" t="s">
        <v>12758</v>
      </c>
      <c r="C9" t="s">
        <v>12776</v>
      </c>
      <c r="D9" t="s">
        <v>4310</v>
      </c>
      <c r="F9" t="s">
        <v>11199</v>
      </c>
      <c r="G9" t="s">
        <v>12759</v>
      </c>
      <c r="H9" t="s">
        <v>4314</v>
      </c>
      <c r="I9" t="s">
        <v>12777</v>
      </c>
    </row>
    <row r="10" spans="1:23">
      <c r="A10" t="s">
        <v>12778</v>
      </c>
      <c r="B10" t="s">
        <v>12758</v>
      </c>
      <c r="C10" t="s">
        <v>12779</v>
      </c>
      <c r="D10" t="s">
        <v>4310</v>
      </c>
      <c r="F10" t="s">
        <v>11199</v>
      </c>
      <c r="G10" t="s">
        <v>12759</v>
      </c>
      <c r="H10" t="s">
        <v>4314</v>
      </c>
      <c r="I10" t="s">
        <v>12780</v>
      </c>
    </row>
    <row r="11" spans="1:23">
      <c r="A11" t="s">
        <v>12781</v>
      </c>
      <c r="B11" t="s">
        <v>12758</v>
      </c>
      <c r="C11" t="s">
        <v>12782</v>
      </c>
      <c r="D11" t="s">
        <v>4310</v>
      </c>
      <c r="F11" t="s">
        <v>11199</v>
      </c>
      <c r="G11" t="s">
        <v>12759</v>
      </c>
      <c r="H11" t="s">
        <v>4314</v>
      </c>
      <c r="I11" t="s">
        <v>12783</v>
      </c>
    </row>
    <row r="12" spans="1:23">
      <c r="A12" t="s">
        <v>12784</v>
      </c>
      <c r="B12" t="s">
        <v>12758</v>
      </c>
      <c r="C12" t="s">
        <v>12785</v>
      </c>
      <c r="D12" t="s">
        <v>4310</v>
      </c>
      <c r="F12" t="s">
        <v>11199</v>
      </c>
      <c r="G12" t="s">
        <v>12759</v>
      </c>
      <c r="H12" t="s">
        <v>4314</v>
      </c>
      <c r="I12" t="s">
        <v>12786</v>
      </c>
    </row>
    <row r="13" spans="1:23">
      <c r="A13" t="s">
        <v>12787</v>
      </c>
      <c r="B13" t="s">
        <v>12758</v>
      </c>
      <c r="C13" t="s">
        <v>12788</v>
      </c>
      <c r="D13" t="s">
        <v>4310</v>
      </c>
      <c r="F13" t="s">
        <v>11199</v>
      </c>
      <c r="G13" t="s">
        <v>12759</v>
      </c>
      <c r="H13" t="s">
        <v>4314</v>
      </c>
      <c r="I13" t="s">
        <v>12789</v>
      </c>
    </row>
    <row r="14" spans="1:23">
      <c r="A14" t="s">
        <v>12790</v>
      </c>
      <c r="B14" t="s">
        <v>12758</v>
      </c>
      <c r="C14" t="s">
        <v>12791</v>
      </c>
      <c r="D14" t="s">
        <v>4310</v>
      </c>
      <c r="F14" t="s">
        <v>11199</v>
      </c>
      <c r="G14" t="s">
        <v>12759</v>
      </c>
      <c r="H14" t="s">
        <v>4314</v>
      </c>
      <c r="I14" t="s">
        <v>12792</v>
      </c>
    </row>
    <row r="15" spans="1:23">
      <c r="A15" t="s">
        <v>12793</v>
      </c>
      <c r="B15" t="s">
        <v>12758</v>
      </c>
      <c r="C15" t="s">
        <v>12794</v>
      </c>
      <c r="D15" t="s">
        <v>4310</v>
      </c>
      <c r="F15" t="s">
        <v>11199</v>
      </c>
      <c r="G15" t="s">
        <v>12759</v>
      </c>
      <c r="H15" t="s">
        <v>4314</v>
      </c>
      <c r="I15" t="s">
        <v>12795</v>
      </c>
    </row>
    <row r="16" spans="1:23">
      <c r="A16" t="s">
        <v>12797</v>
      </c>
      <c r="B16" t="s">
        <v>12796</v>
      </c>
      <c r="C16" t="s">
        <v>12798</v>
      </c>
      <c r="D16" t="s">
        <v>4310</v>
      </c>
      <c r="F16" t="s">
        <v>11199</v>
      </c>
      <c r="G16" t="s">
        <v>12800</v>
      </c>
      <c r="H16" t="s">
        <v>4314</v>
      </c>
      <c r="I16" t="s">
        <v>12799</v>
      </c>
    </row>
    <row r="17" spans="1:9">
      <c r="A17" t="s">
        <v>12803</v>
      </c>
      <c r="B17" t="s">
        <v>12804</v>
      </c>
      <c r="C17" t="s">
        <v>12805</v>
      </c>
      <c r="D17" t="s">
        <v>4310</v>
      </c>
      <c r="F17" t="s">
        <v>11199</v>
      </c>
      <c r="G17" t="s">
        <v>12806</v>
      </c>
      <c r="H17" t="s">
        <v>4314</v>
      </c>
      <c r="I17" t="s">
        <v>12868</v>
      </c>
    </row>
    <row r="18" spans="1:9">
      <c r="A18" t="s">
        <v>12807</v>
      </c>
      <c r="B18" t="s">
        <v>12804</v>
      </c>
      <c r="C18" t="s">
        <v>12814</v>
      </c>
      <c r="D18" t="s">
        <v>4310</v>
      </c>
      <c r="F18" t="s">
        <v>11199</v>
      </c>
      <c r="G18" t="s">
        <v>12806</v>
      </c>
      <c r="H18" t="s">
        <v>4314</v>
      </c>
      <c r="I18" t="s">
        <v>12871</v>
      </c>
    </row>
    <row r="19" spans="1:9">
      <c r="A19" t="s">
        <v>12808</v>
      </c>
      <c r="B19" t="s">
        <v>12804</v>
      </c>
      <c r="C19" t="s">
        <v>12809</v>
      </c>
      <c r="D19" t="s">
        <v>4310</v>
      </c>
      <c r="F19" t="s">
        <v>11199</v>
      </c>
      <c r="G19" t="s">
        <v>12806</v>
      </c>
      <c r="H19" t="s">
        <v>4314</v>
      </c>
      <c r="I19" t="s">
        <v>12869</v>
      </c>
    </row>
    <row r="20" spans="1:9">
      <c r="A20" t="s">
        <v>12810</v>
      </c>
      <c r="B20" t="s">
        <v>12804</v>
      </c>
      <c r="C20" t="s">
        <v>12815</v>
      </c>
      <c r="D20" t="s">
        <v>4310</v>
      </c>
      <c r="F20" t="s">
        <v>11199</v>
      </c>
      <c r="G20" t="s">
        <v>12806</v>
      </c>
      <c r="H20" t="s">
        <v>4314</v>
      </c>
      <c r="I20" t="s">
        <v>12872</v>
      </c>
    </row>
    <row r="21" spans="1:9">
      <c r="A21" t="s">
        <v>12811</v>
      </c>
      <c r="B21" t="s">
        <v>12804</v>
      </c>
      <c r="C21" t="s">
        <v>12812</v>
      </c>
      <c r="D21" t="s">
        <v>4310</v>
      </c>
      <c r="F21" t="s">
        <v>11199</v>
      </c>
      <c r="G21" t="s">
        <v>12806</v>
      </c>
      <c r="H21" t="s">
        <v>4314</v>
      </c>
      <c r="I21" t="s">
        <v>12870</v>
      </c>
    </row>
    <row r="22" spans="1:9">
      <c r="A22" t="s">
        <v>12813</v>
      </c>
      <c r="B22" t="s">
        <v>12804</v>
      </c>
      <c r="C22" t="s">
        <v>12816</v>
      </c>
      <c r="D22" t="s">
        <v>4310</v>
      </c>
      <c r="F22" t="s">
        <v>11199</v>
      </c>
      <c r="G22" t="s">
        <v>12806</v>
      </c>
      <c r="H22" t="s">
        <v>4314</v>
      </c>
      <c r="I22" t="s">
        <v>12873</v>
      </c>
    </row>
    <row r="23" spans="1:9">
      <c r="A23" t="s">
        <v>12817</v>
      </c>
      <c r="B23" t="s">
        <v>12818</v>
      </c>
      <c r="C23" t="s">
        <v>12819</v>
      </c>
      <c r="D23" t="s">
        <v>4310</v>
      </c>
      <c r="F23" t="s">
        <v>11199</v>
      </c>
      <c r="G23" t="s">
        <v>12820</v>
      </c>
      <c r="H23" t="s">
        <v>4314</v>
      </c>
      <c r="I23" t="s">
        <v>12821</v>
      </c>
    </row>
    <row r="24" spans="1:9">
      <c r="A24" t="s">
        <v>12822</v>
      </c>
      <c r="B24" t="s">
        <v>12818</v>
      </c>
      <c r="C24" t="s">
        <v>12823</v>
      </c>
      <c r="D24" t="s">
        <v>4310</v>
      </c>
      <c r="F24" t="s">
        <v>11199</v>
      </c>
      <c r="G24" t="s">
        <v>12820</v>
      </c>
      <c r="H24" t="s">
        <v>4314</v>
      </c>
      <c r="I24" t="s">
        <v>12824</v>
      </c>
    </row>
    <row r="25" spans="1:9">
      <c r="A25" t="s">
        <v>12825</v>
      </c>
      <c r="B25" t="s">
        <v>12818</v>
      </c>
      <c r="C25" t="s">
        <v>12826</v>
      </c>
      <c r="D25" t="s">
        <v>4310</v>
      </c>
      <c r="F25" t="s">
        <v>11199</v>
      </c>
      <c r="G25" t="s">
        <v>12820</v>
      </c>
      <c r="H25" t="s">
        <v>4314</v>
      </c>
      <c r="I25" t="s">
        <v>12827</v>
      </c>
    </row>
    <row r="26" spans="1:9">
      <c r="A26" t="s">
        <v>12828</v>
      </c>
      <c r="B26" t="s">
        <v>12818</v>
      </c>
      <c r="C26" t="s">
        <v>12829</v>
      </c>
      <c r="D26" t="s">
        <v>4310</v>
      </c>
      <c r="F26" t="s">
        <v>11199</v>
      </c>
      <c r="G26" t="s">
        <v>12820</v>
      </c>
      <c r="H26" t="s">
        <v>4314</v>
      </c>
      <c r="I26" t="s">
        <v>12830</v>
      </c>
    </row>
    <row r="27" spans="1:9">
      <c r="A27" t="s">
        <v>12831</v>
      </c>
      <c r="B27" t="s">
        <v>12818</v>
      </c>
      <c r="C27" t="s">
        <v>12832</v>
      </c>
      <c r="D27" t="s">
        <v>4310</v>
      </c>
      <c r="F27" t="s">
        <v>11199</v>
      </c>
      <c r="G27" t="s">
        <v>12820</v>
      </c>
      <c r="H27" t="s">
        <v>4314</v>
      </c>
      <c r="I27" t="s">
        <v>12833</v>
      </c>
    </row>
    <row r="28" spans="1:9">
      <c r="A28" t="s">
        <v>12834</v>
      </c>
      <c r="B28" t="s">
        <v>12835</v>
      </c>
      <c r="C28" t="s">
        <v>12836</v>
      </c>
      <c r="D28" t="s">
        <v>4310</v>
      </c>
      <c r="F28" t="s">
        <v>11199</v>
      </c>
      <c r="G28" t="s">
        <v>12820</v>
      </c>
      <c r="H28" t="s">
        <v>4314</v>
      </c>
      <c r="I28" t="s">
        <v>12837</v>
      </c>
    </row>
    <row r="29" spans="1:9">
      <c r="A29" t="s">
        <v>12841</v>
      </c>
      <c r="B29" t="s">
        <v>12835</v>
      </c>
      <c r="C29" t="s">
        <v>12839</v>
      </c>
      <c r="D29" t="s">
        <v>4310</v>
      </c>
      <c r="F29" t="s">
        <v>11199</v>
      </c>
      <c r="G29" t="s">
        <v>12820</v>
      </c>
      <c r="H29" t="s">
        <v>4314</v>
      </c>
      <c r="I29" t="s">
        <v>12840</v>
      </c>
    </row>
    <row r="30" spans="1:9">
      <c r="A30" t="s">
        <v>12838</v>
      </c>
      <c r="B30" t="s">
        <v>12835</v>
      </c>
      <c r="C30" t="s">
        <v>12842</v>
      </c>
      <c r="D30" t="s">
        <v>4310</v>
      </c>
      <c r="F30" t="s">
        <v>11199</v>
      </c>
      <c r="G30" t="s">
        <v>12820</v>
      </c>
      <c r="H30" t="s">
        <v>4314</v>
      </c>
      <c r="I30" t="s">
        <v>12843</v>
      </c>
    </row>
    <row r="31" spans="1:9">
      <c r="A31" t="s">
        <v>13547</v>
      </c>
      <c r="B31" t="s">
        <v>13548</v>
      </c>
      <c r="C31" t="s">
        <v>13549</v>
      </c>
      <c r="D31" t="s">
        <v>4310</v>
      </c>
      <c r="F31" t="s">
        <v>11199</v>
      </c>
      <c r="G31" t="s">
        <v>12820</v>
      </c>
      <c r="H31" t="s">
        <v>4314</v>
      </c>
      <c r="I31" t="s">
        <v>13550</v>
      </c>
    </row>
    <row r="32" spans="1:9">
      <c r="A32" t="s">
        <v>13551</v>
      </c>
      <c r="B32" t="s">
        <v>13548</v>
      </c>
      <c r="C32" t="s">
        <v>13552</v>
      </c>
      <c r="D32" t="s">
        <v>4310</v>
      </c>
      <c r="F32" t="s">
        <v>11199</v>
      </c>
      <c r="G32" t="s">
        <v>12820</v>
      </c>
      <c r="H32" t="s">
        <v>4314</v>
      </c>
      <c r="I32" t="s">
        <v>13553</v>
      </c>
    </row>
    <row r="33" spans="1:9">
      <c r="A33" t="s">
        <v>13554</v>
      </c>
      <c r="B33" t="s">
        <v>13548</v>
      </c>
      <c r="C33" t="s">
        <v>13555</v>
      </c>
      <c r="D33" t="s">
        <v>4310</v>
      </c>
      <c r="F33" t="s">
        <v>11199</v>
      </c>
      <c r="G33" t="s">
        <v>12820</v>
      </c>
      <c r="H33" t="s">
        <v>4314</v>
      </c>
      <c r="I33" t="s">
        <v>13556</v>
      </c>
    </row>
    <row r="34" spans="1:9">
      <c r="A34" t="s">
        <v>13557</v>
      </c>
      <c r="B34" t="s">
        <v>13548</v>
      </c>
      <c r="C34" t="s">
        <v>13558</v>
      </c>
      <c r="D34" t="s">
        <v>4310</v>
      </c>
      <c r="F34" t="s">
        <v>11199</v>
      </c>
      <c r="G34" t="s">
        <v>12820</v>
      </c>
      <c r="H34" t="s">
        <v>4314</v>
      </c>
      <c r="I34" t="s">
        <v>13559</v>
      </c>
    </row>
    <row r="35" spans="1:9">
      <c r="A35" t="s">
        <v>13560</v>
      </c>
      <c r="B35" t="s">
        <v>13548</v>
      </c>
      <c r="C35" t="s">
        <v>13561</v>
      </c>
      <c r="D35" t="s">
        <v>4310</v>
      </c>
      <c r="F35" t="s">
        <v>11199</v>
      </c>
      <c r="G35" t="s">
        <v>12820</v>
      </c>
      <c r="H35" t="s">
        <v>4314</v>
      </c>
      <c r="I35" t="s">
        <v>13562</v>
      </c>
    </row>
    <row r="36" spans="1:9">
      <c r="A36" t="s">
        <v>13563</v>
      </c>
      <c r="B36" t="s">
        <v>13548</v>
      </c>
      <c r="C36" t="s">
        <v>13564</v>
      </c>
      <c r="D36" t="s">
        <v>4310</v>
      </c>
      <c r="F36" t="s">
        <v>11199</v>
      </c>
      <c r="G36" t="s">
        <v>12820</v>
      </c>
      <c r="H36" t="s">
        <v>4314</v>
      </c>
      <c r="I36" t="s">
        <v>13565</v>
      </c>
    </row>
    <row r="37" spans="1:9">
      <c r="A37" t="s">
        <v>13768</v>
      </c>
      <c r="B37" t="s">
        <v>13769</v>
      </c>
      <c r="C37" t="s">
        <v>13781</v>
      </c>
      <c r="D37" t="s">
        <v>4310</v>
      </c>
      <c r="F37" t="s">
        <v>11199</v>
      </c>
      <c r="G37" t="s">
        <v>12820</v>
      </c>
      <c r="H37" t="s">
        <v>4314</v>
      </c>
      <c r="I37" t="s">
        <v>13775</v>
      </c>
    </row>
    <row r="38" spans="1:9">
      <c r="A38" t="s">
        <v>13787</v>
      </c>
      <c r="B38" t="s">
        <v>13769</v>
      </c>
      <c r="C38" t="s">
        <v>13793</v>
      </c>
      <c r="D38" t="s">
        <v>4310</v>
      </c>
      <c r="F38" t="s">
        <v>11199</v>
      </c>
      <c r="G38" t="s">
        <v>12820</v>
      </c>
      <c r="H38" t="s">
        <v>4314</v>
      </c>
      <c r="I38" t="s">
        <v>13799</v>
      </c>
    </row>
    <row r="39" spans="1:9">
      <c r="A39" t="s">
        <v>13770</v>
      </c>
      <c r="B39" t="s">
        <v>13769</v>
      </c>
      <c r="C39" t="s">
        <v>13782</v>
      </c>
      <c r="D39" t="s">
        <v>4310</v>
      </c>
      <c r="F39" t="s">
        <v>11199</v>
      </c>
      <c r="G39" t="s">
        <v>12820</v>
      </c>
      <c r="H39" t="s">
        <v>4314</v>
      </c>
      <c r="I39" t="s">
        <v>13776</v>
      </c>
    </row>
    <row r="40" spans="1:9">
      <c r="A40" t="s">
        <v>13788</v>
      </c>
      <c r="B40" t="s">
        <v>13769</v>
      </c>
      <c r="C40" t="s">
        <v>13794</v>
      </c>
      <c r="D40" t="s">
        <v>4310</v>
      </c>
      <c r="F40" t="s">
        <v>11199</v>
      </c>
      <c r="G40" t="s">
        <v>12820</v>
      </c>
      <c r="H40" t="s">
        <v>4314</v>
      </c>
      <c r="I40" t="s">
        <v>13800</v>
      </c>
    </row>
    <row r="41" spans="1:9">
      <c r="A41" t="s">
        <v>13771</v>
      </c>
      <c r="B41" t="s">
        <v>13769</v>
      </c>
      <c r="C41" t="s">
        <v>13783</v>
      </c>
      <c r="D41" t="s">
        <v>4310</v>
      </c>
      <c r="F41" t="s">
        <v>11199</v>
      </c>
      <c r="G41" t="s">
        <v>12820</v>
      </c>
      <c r="H41" t="s">
        <v>4314</v>
      </c>
      <c r="I41" t="s">
        <v>13777</v>
      </c>
    </row>
    <row r="42" spans="1:9">
      <c r="A42" t="s">
        <v>13789</v>
      </c>
      <c r="B42" t="s">
        <v>13769</v>
      </c>
      <c r="C42" t="s">
        <v>13795</v>
      </c>
      <c r="D42" t="s">
        <v>4310</v>
      </c>
      <c r="F42" t="s">
        <v>11199</v>
      </c>
      <c r="G42" t="s">
        <v>12820</v>
      </c>
      <c r="H42" t="s">
        <v>4314</v>
      </c>
      <c r="I42" t="s">
        <v>13801</v>
      </c>
    </row>
    <row r="43" spans="1:9">
      <c r="A43" t="s">
        <v>13772</v>
      </c>
      <c r="B43" t="s">
        <v>13769</v>
      </c>
      <c r="C43" t="s">
        <v>13784</v>
      </c>
      <c r="D43" t="s">
        <v>4310</v>
      </c>
      <c r="F43" t="s">
        <v>11199</v>
      </c>
      <c r="G43" t="s">
        <v>12820</v>
      </c>
      <c r="H43" t="s">
        <v>4314</v>
      </c>
      <c r="I43" t="s">
        <v>13778</v>
      </c>
    </row>
    <row r="44" spans="1:9">
      <c r="A44" t="s">
        <v>13790</v>
      </c>
      <c r="B44" t="s">
        <v>13769</v>
      </c>
      <c r="C44" t="s">
        <v>13796</v>
      </c>
      <c r="D44" t="s">
        <v>4310</v>
      </c>
      <c r="F44" t="s">
        <v>11199</v>
      </c>
      <c r="G44" t="s">
        <v>12820</v>
      </c>
      <c r="H44" t="s">
        <v>4314</v>
      </c>
      <c r="I44" t="s">
        <v>13802</v>
      </c>
    </row>
    <row r="45" spans="1:9">
      <c r="A45" t="s">
        <v>13773</v>
      </c>
      <c r="B45" t="s">
        <v>13769</v>
      </c>
      <c r="C45" t="s">
        <v>13785</v>
      </c>
      <c r="D45" t="s">
        <v>4310</v>
      </c>
      <c r="F45" t="s">
        <v>11199</v>
      </c>
      <c r="G45" t="s">
        <v>12820</v>
      </c>
      <c r="H45" t="s">
        <v>4314</v>
      </c>
      <c r="I45" t="s">
        <v>13779</v>
      </c>
    </row>
    <row r="46" spans="1:9">
      <c r="A46" t="s">
        <v>13791</v>
      </c>
      <c r="B46" t="s">
        <v>13769</v>
      </c>
      <c r="C46" t="s">
        <v>13797</v>
      </c>
      <c r="D46" t="s">
        <v>4310</v>
      </c>
      <c r="F46" t="s">
        <v>11199</v>
      </c>
      <c r="G46" t="s">
        <v>12820</v>
      </c>
      <c r="H46" t="s">
        <v>4314</v>
      </c>
      <c r="I46" t="s">
        <v>13803</v>
      </c>
    </row>
    <row r="47" spans="1:9">
      <c r="A47" t="s">
        <v>13774</v>
      </c>
      <c r="B47" t="s">
        <v>13769</v>
      </c>
      <c r="C47" t="s">
        <v>13786</v>
      </c>
      <c r="D47" t="s">
        <v>4310</v>
      </c>
      <c r="F47" t="s">
        <v>11199</v>
      </c>
      <c r="G47" t="s">
        <v>12820</v>
      </c>
      <c r="H47" t="s">
        <v>4314</v>
      </c>
      <c r="I47" t="s">
        <v>13780</v>
      </c>
    </row>
    <row r="48" spans="1:9">
      <c r="A48" t="s">
        <v>13792</v>
      </c>
      <c r="B48" t="s">
        <v>13769</v>
      </c>
      <c r="C48" t="s">
        <v>13798</v>
      </c>
      <c r="D48" t="s">
        <v>4310</v>
      </c>
      <c r="F48" t="s">
        <v>11199</v>
      </c>
      <c r="G48" t="s">
        <v>12820</v>
      </c>
      <c r="H48" t="s">
        <v>4314</v>
      </c>
      <c r="I48" t="s">
        <v>13804</v>
      </c>
    </row>
    <row r="49" spans="1:9">
      <c r="A49" t="s">
        <v>14012</v>
      </c>
      <c r="B49" t="s">
        <v>12845</v>
      </c>
      <c r="C49" t="s">
        <v>14013</v>
      </c>
      <c r="D49" t="s">
        <v>4310</v>
      </c>
      <c r="F49" t="s">
        <v>11199</v>
      </c>
      <c r="G49" t="s">
        <v>12820</v>
      </c>
      <c r="H49" t="s">
        <v>4314</v>
      </c>
      <c r="I49" t="s">
        <v>14014</v>
      </c>
    </row>
    <row r="50" spans="1:9">
      <c r="A50" t="s">
        <v>14018</v>
      </c>
      <c r="B50" t="s">
        <v>12845</v>
      </c>
      <c r="C50" t="s">
        <v>14019</v>
      </c>
      <c r="D50" t="s">
        <v>4310</v>
      </c>
      <c r="F50" t="s">
        <v>11199</v>
      </c>
      <c r="G50" t="s">
        <v>12820</v>
      </c>
      <c r="H50" t="s">
        <v>4314</v>
      </c>
      <c r="I50" t="s">
        <v>14020</v>
      </c>
    </row>
    <row r="51" spans="1:9">
      <c r="A51" t="s">
        <v>14015</v>
      </c>
      <c r="B51" t="s">
        <v>12845</v>
      </c>
      <c r="C51" t="s">
        <v>14016</v>
      </c>
      <c r="D51" t="s">
        <v>4310</v>
      </c>
      <c r="F51" t="s">
        <v>11199</v>
      </c>
      <c r="G51" t="s">
        <v>12820</v>
      </c>
      <c r="H51" t="s">
        <v>4314</v>
      </c>
      <c r="I51" t="s">
        <v>14017</v>
      </c>
    </row>
    <row r="52" spans="1:9">
      <c r="A52" t="s">
        <v>12844</v>
      </c>
      <c r="B52" t="s">
        <v>12845</v>
      </c>
      <c r="C52" t="s">
        <v>12846</v>
      </c>
      <c r="D52" t="s">
        <v>4310</v>
      </c>
      <c r="F52" t="s">
        <v>11199</v>
      </c>
      <c r="G52" t="s">
        <v>12820</v>
      </c>
      <c r="H52" t="s">
        <v>4314</v>
      </c>
      <c r="I52" t="s">
        <v>12847</v>
      </c>
    </row>
    <row r="53" spans="1:9">
      <c r="A53" t="s">
        <v>12848</v>
      </c>
      <c r="B53" t="s">
        <v>12845</v>
      </c>
      <c r="C53" t="s">
        <v>12849</v>
      </c>
      <c r="D53" t="s">
        <v>4310</v>
      </c>
      <c r="F53" t="s">
        <v>11199</v>
      </c>
      <c r="G53" t="s">
        <v>12820</v>
      </c>
      <c r="H53" t="s">
        <v>4314</v>
      </c>
      <c r="I53" t="s">
        <v>12850</v>
      </c>
    </row>
    <row r="54" spans="1:9">
      <c r="A54" t="s">
        <v>12851</v>
      </c>
      <c r="B54" t="s">
        <v>12845</v>
      </c>
      <c r="C54" t="s">
        <v>12852</v>
      </c>
      <c r="D54" t="s">
        <v>4310</v>
      </c>
      <c r="F54" t="s">
        <v>11199</v>
      </c>
      <c r="G54" t="s">
        <v>12820</v>
      </c>
      <c r="H54" t="s">
        <v>4314</v>
      </c>
      <c r="I54" t="s">
        <v>12853</v>
      </c>
    </row>
    <row r="55" spans="1:9">
      <c r="A55" t="s">
        <v>12854</v>
      </c>
      <c r="B55" t="s">
        <v>12845</v>
      </c>
      <c r="C55" t="s">
        <v>12855</v>
      </c>
      <c r="D55" t="s">
        <v>4310</v>
      </c>
      <c r="F55" t="s">
        <v>11199</v>
      </c>
      <c r="G55" t="s">
        <v>12820</v>
      </c>
      <c r="H55" t="s">
        <v>4314</v>
      </c>
      <c r="I55" t="s">
        <v>12856</v>
      </c>
    </row>
    <row r="56" spans="1:9">
      <c r="A56" t="s">
        <v>12857</v>
      </c>
      <c r="B56" t="s">
        <v>12845</v>
      </c>
      <c r="C56" t="s">
        <v>12858</v>
      </c>
      <c r="D56" t="s">
        <v>4310</v>
      </c>
      <c r="F56" t="s">
        <v>11199</v>
      </c>
      <c r="G56" t="s">
        <v>12820</v>
      </c>
      <c r="H56" t="s">
        <v>4314</v>
      </c>
      <c r="I56" t="s">
        <v>12859</v>
      </c>
    </row>
    <row r="57" spans="1:9">
      <c r="A57" t="s">
        <v>13415</v>
      </c>
      <c r="B57" t="s">
        <v>13406</v>
      </c>
      <c r="C57" t="s">
        <v>13417</v>
      </c>
      <c r="D57" t="s">
        <v>4310</v>
      </c>
      <c r="F57" t="s">
        <v>11199</v>
      </c>
      <c r="G57" t="s">
        <v>13427</v>
      </c>
      <c r="H57" t="s">
        <v>4314</v>
      </c>
      <c r="I57" t="s">
        <v>13416</v>
      </c>
    </row>
    <row r="58" spans="1:9">
      <c r="A58" t="s">
        <v>13405</v>
      </c>
      <c r="B58" t="s">
        <v>13406</v>
      </c>
      <c r="C58" t="s">
        <v>13418</v>
      </c>
      <c r="D58" t="s">
        <v>4310</v>
      </c>
      <c r="F58" t="s">
        <v>11199</v>
      </c>
      <c r="G58" t="s">
        <v>13427</v>
      </c>
      <c r="H58" t="s">
        <v>4314</v>
      </c>
      <c r="I58" t="s">
        <v>13396</v>
      </c>
    </row>
    <row r="59" spans="1:9">
      <c r="A59" t="s">
        <v>13407</v>
      </c>
      <c r="B59" t="s">
        <v>13406</v>
      </c>
      <c r="C59" t="s">
        <v>13419</v>
      </c>
      <c r="D59" t="s">
        <v>4310</v>
      </c>
      <c r="F59" t="s">
        <v>11199</v>
      </c>
      <c r="G59" t="s">
        <v>13427</v>
      </c>
      <c r="H59" t="s">
        <v>4314</v>
      </c>
      <c r="I59" t="s">
        <v>13397</v>
      </c>
    </row>
    <row r="60" spans="1:9">
      <c r="A60" t="s">
        <v>13408</v>
      </c>
      <c r="B60" t="s">
        <v>13406</v>
      </c>
      <c r="C60" t="s">
        <v>13420</v>
      </c>
      <c r="D60" t="s">
        <v>4310</v>
      </c>
      <c r="F60" t="s">
        <v>11199</v>
      </c>
      <c r="G60" t="s">
        <v>13427</v>
      </c>
      <c r="H60" t="s">
        <v>4314</v>
      </c>
      <c r="I60" t="s">
        <v>13398</v>
      </c>
    </row>
    <row r="61" spans="1:9">
      <c r="A61" t="s">
        <v>13409</v>
      </c>
      <c r="B61" t="s">
        <v>13406</v>
      </c>
      <c r="C61" t="s">
        <v>13421</v>
      </c>
      <c r="D61" t="s">
        <v>4310</v>
      </c>
      <c r="F61" t="s">
        <v>11199</v>
      </c>
      <c r="G61" t="s">
        <v>13427</v>
      </c>
      <c r="H61" t="s">
        <v>4314</v>
      </c>
      <c r="I61" t="s">
        <v>13399</v>
      </c>
    </row>
    <row r="62" spans="1:9">
      <c r="A62" t="s">
        <v>13410</v>
      </c>
      <c r="B62" t="s">
        <v>13406</v>
      </c>
      <c r="C62" t="s">
        <v>13422</v>
      </c>
      <c r="D62" t="s">
        <v>4310</v>
      </c>
      <c r="F62" t="s">
        <v>11199</v>
      </c>
      <c r="G62" t="s">
        <v>13427</v>
      </c>
      <c r="H62" t="s">
        <v>4314</v>
      </c>
      <c r="I62" t="s">
        <v>13400</v>
      </c>
    </row>
    <row r="63" spans="1:9">
      <c r="A63" t="s">
        <v>13411</v>
      </c>
      <c r="B63" t="s">
        <v>13406</v>
      </c>
      <c r="C63" t="s">
        <v>13423</v>
      </c>
      <c r="D63" t="s">
        <v>4310</v>
      </c>
      <c r="F63" t="s">
        <v>11199</v>
      </c>
      <c r="G63" t="s">
        <v>13427</v>
      </c>
      <c r="H63" t="s">
        <v>4314</v>
      </c>
      <c r="I63" t="s">
        <v>13401</v>
      </c>
    </row>
    <row r="64" spans="1:9">
      <c r="A64" t="s">
        <v>13412</v>
      </c>
      <c r="B64" t="s">
        <v>13406</v>
      </c>
      <c r="C64" t="s">
        <v>13424</v>
      </c>
      <c r="D64" t="s">
        <v>4310</v>
      </c>
      <c r="F64" t="s">
        <v>11199</v>
      </c>
      <c r="G64" t="s">
        <v>13427</v>
      </c>
      <c r="H64" t="s">
        <v>4314</v>
      </c>
      <c r="I64" t="s">
        <v>13402</v>
      </c>
    </row>
    <row r="65" spans="1:23">
      <c r="A65" t="s">
        <v>13413</v>
      </c>
      <c r="B65" t="s">
        <v>13406</v>
      </c>
      <c r="C65" t="s">
        <v>13425</v>
      </c>
      <c r="D65" t="s">
        <v>4310</v>
      </c>
      <c r="F65" t="s">
        <v>11199</v>
      </c>
      <c r="G65" t="s">
        <v>13427</v>
      </c>
      <c r="H65" t="s">
        <v>4314</v>
      </c>
      <c r="I65" t="s">
        <v>13403</v>
      </c>
    </row>
    <row r="66" spans="1:23">
      <c r="A66" t="s">
        <v>13414</v>
      </c>
      <c r="B66" t="s">
        <v>13406</v>
      </c>
      <c r="C66" t="s">
        <v>13426</v>
      </c>
      <c r="D66" t="s">
        <v>4310</v>
      </c>
      <c r="F66" t="s">
        <v>11199</v>
      </c>
      <c r="G66" t="s">
        <v>13427</v>
      </c>
      <c r="H66" t="s">
        <v>4314</v>
      </c>
      <c r="I66" t="s">
        <v>13404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6440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6439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6425</v>
      </c>
      <c r="B77" t="s">
        <v>6425</v>
      </c>
      <c r="C77" t="s">
        <v>6426</v>
      </c>
      <c r="D77" t="s">
        <v>21</v>
      </c>
      <c r="F77" t="str">
        <f>Config!$B$7</f>
        <v>SCH/Connector.SchLib</v>
      </c>
      <c r="G77" t="s">
        <v>6427</v>
      </c>
      <c r="H77" t="s">
        <v>4314</v>
      </c>
      <c r="I77" t="s">
        <v>6641</v>
      </c>
      <c r="J77" t="s">
        <v>6640</v>
      </c>
      <c r="K77" t="s">
        <v>6223</v>
      </c>
      <c r="L77" t="s">
        <v>6429</v>
      </c>
      <c r="M77" t="s">
        <v>25</v>
      </c>
      <c r="N77" t="s">
        <v>6428</v>
      </c>
      <c r="S77" t="s">
        <v>4343</v>
      </c>
      <c r="T77" t="s">
        <v>6638</v>
      </c>
      <c r="U77" t="s">
        <v>4559</v>
      </c>
      <c r="V77" s="5" t="s">
        <v>6639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6427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10932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10932</v>
      </c>
      <c r="H80" t="s">
        <v>4359</v>
      </c>
      <c r="I80" t="s">
        <v>4807</v>
      </c>
    </row>
    <row r="81" spans="1:22">
      <c r="A81" t="s">
        <v>6354</v>
      </c>
      <c r="B81" t="s">
        <v>6355</v>
      </c>
      <c r="C81" t="s">
        <v>6356</v>
      </c>
      <c r="D81" t="s">
        <v>391</v>
      </c>
      <c r="F81" t="str">
        <f>Config!$B$7</f>
        <v>SCH/Connector.SchLib</v>
      </c>
      <c r="G81" t="s">
        <v>6375</v>
      </c>
      <c r="H81" s="11" t="str">
        <f>_xlfn.CONCAT(PrivateLibraryPath,"PCB/SDCard.PcbLib")</f>
        <v>../altium_lib_private/PCB/SDCard.PcbLib</v>
      </c>
      <c r="I81" s="11" t="s">
        <v>6354</v>
      </c>
      <c r="K81" t="s">
        <v>391</v>
      </c>
      <c r="L81" t="s">
        <v>6355</v>
      </c>
      <c r="M81" t="s">
        <v>25</v>
      </c>
      <c r="N81" t="s">
        <v>6357</v>
      </c>
    </row>
    <row r="82" spans="1:22">
      <c r="A82" t="s">
        <v>6643</v>
      </c>
      <c r="B82" t="s">
        <v>6646</v>
      </c>
      <c r="C82" t="s">
        <v>6652</v>
      </c>
      <c r="D82" t="s">
        <v>6645</v>
      </c>
      <c r="F82" t="str">
        <f>Config!$B$7</f>
        <v>SCH/Connector.SchLib</v>
      </c>
      <c r="G82" t="s">
        <v>6375</v>
      </c>
      <c r="H82" t="str">
        <f>_xlfn.CONCAT(PrivateLibraryPath,"PCB/SDCard.PcbLib")</f>
        <v>../altium_lib_private/PCB/SDCard.PcbLib</v>
      </c>
      <c r="I82" t="s">
        <v>6646</v>
      </c>
      <c r="J82" s="26" t="s">
        <v>6644</v>
      </c>
      <c r="K82" t="s">
        <v>6645</v>
      </c>
      <c r="L82" t="s">
        <v>6648</v>
      </c>
      <c r="M82" t="s">
        <v>25</v>
      </c>
      <c r="N82" t="s">
        <v>6647</v>
      </c>
      <c r="O82" t="s">
        <v>6645</v>
      </c>
      <c r="P82" t="s">
        <v>6648</v>
      </c>
      <c r="Q82" t="s">
        <v>4349</v>
      </c>
      <c r="R82" t="s">
        <v>6649</v>
      </c>
      <c r="S82" t="s">
        <v>6650</v>
      </c>
      <c r="T82" t="s">
        <v>6648</v>
      </c>
      <c r="U82" t="s">
        <v>4559</v>
      </c>
      <c r="V82" t="s">
        <v>6651</v>
      </c>
    </row>
    <row r="83" spans="1:22">
      <c r="A83" t="s">
        <v>6554</v>
      </c>
      <c r="B83" t="s">
        <v>6554</v>
      </c>
      <c r="C83" t="s">
        <v>6572</v>
      </c>
      <c r="D83" t="s">
        <v>6555</v>
      </c>
      <c r="F83" t="str">
        <f>Config!$B$7</f>
        <v>SCH/Connector.SchLib</v>
      </c>
      <c r="G83" t="s">
        <v>6556</v>
      </c>
      <c r="H83" t="s">
        <v>6586</v>
      </c>
      <c r="I83" t="s">
        <v>6557</v>
      </c>
      <c r="J83" t="s">
        <v>6558</v>
      </c>
    </row>
    <row r="84" spans="1:22">
      <c r="A84" t="s">
        <v>6559</v>
      </c>
      <c r="B84" t="s">
        <v>6559</v>
      </c>
      <c r="C84" t="s">
        <v>6573</v>
      </c>
      <c r="D84" t="s">
        <v>6555</v>
      </c>
      <c r="F84" t="str">
        <f>Config!$B$7</f>
        <v>SCH/Connector.SchLib</v>
      </c>
      <c r="G84" t="s">
        <v>6556</v>
      </c>
      <c r="H84" t="s">
        <v>6586</v>
      </c>
      <c r="I84" t="s">
        <v>6560</v>
      </c>
      <c r="J84" t="s">
        <v>6561</v>
      </c>
    </row>
    <row r="85" spans="1:22">
      <c r="A85" t="s">
        <v>6604</v>
      </c>
      <c r="B85" t="s">
        <v>6604</v>
      </c>
      <c r="C85" t="s">
        <v>6610</v>
      </c>
      <c r="D85" t="s">
        <v>6555</v>
      </c>
      <c r="F85" t="str">
        <f>Config!$B$7</f>
        <v>SCH/Connector.SchLib</v>
      </c>
      <c r="G85" t="s">
        <v>6556</v>
      </c>
      <c r="H85" t="s">
        <v>6586</v>
      </c>
      <c r="I85" t="s">
        <v>6616</v>
      </c>
      <c r="J85" t="s">
        <v>6558</v>
      </c>
    </row>
    <row r="86" spans="1:22">
      <c r="A86" t="s">
        <v>6605</v>
      </c>
      <c r="B86" t="s">
        <v>6605</v>
      </c>
      <c r="C86" t="s">
        <v>6611</v>
      </c>
      <c r="D86" t="s">
        <v>6555</v>
      </c>
      <c r="F86" t="str">
        <f>Config!$B$7</f>
        <v>SCH/Connector.SchLib</v>
      </c>
      <c r="G86" t="s">
        <v>6556</v>
      </c>
      <c r="H86" t="s">
        <v>6586</v>
      </c>
      <c r="I86" t="s">
        <v>6617</v>
      </c>
      <c r="J86" t="s">
        <v>6561</v>
      </c>
    </row>
    <row r="87" spans="1:22">
      <c r="A87" t="s">
        <v>6562</v>
      </c>
      <c r="B87" t="s">
        <v>6562</v>
      </c>
      <c r="C87" t="s">
        <v>6574</v>
      </c>
      <c r="D87" t="s">
        <v>6555</v>
      </c>
      <c r="F87" t="str">
        <f>Config!$B$7</f>
        <v>SCH/Connector.SchLib</v>
      </c>
      <c r="G87" t="s">
        <v>6563</v>
      </c>
      <c r="H87" t="s">
        <v>6586</v>
      </c>
      <c r="I87" t="s">
        <v>6570</v>
      </c>
      <c r="J87" t="s">
        <v>6568</v>
      </c>
    </row>
    <row r="88" spans="1:22">
      <c r="A88" t="s">
        <v>6564</v>
      </c>
      <c r="B88" t="s">
        <v>6564</v>
      </c>
      <c r="C88" t="s">
        <v>6575</v>
      </c>
      <c r="D88" t="s">
        <v>6555</v>
      </c>
      <c r="F88" t="str">
        <f>Config!$B$7</f>
        <v>SCH/Connector.SchLib</v>
      </c>
      <c r="G88" t="s">
        <v>6563</v>
      </c>
      <c r="H88" t="s">
        <v>6586</v>
      </c>
      <c r="I88" t="s">
        <v>6571</v>
      </c>
    </row>
    <row r="89" spans="1:22">
      <c r="A89" t="s">
        <v>6606</v>
      </c>
      <c r="B89" t="s">
        <v>6606</v>
      </c>
      <c r="C89" t="s">
        <v>6612</v>
      </c>
      <c r="D89" t="s">
        <v>6555</v>
      </c>
      <c r="F89" t="str">
        <f>Config!$B$7</f>
        <v>SCH/Connector.SchLib</v>
      </c>
      <c r="G89" t="s">
        <v>6563</v>
      </c>
      <c r="H89" t="s">
        <v>6586</v>
      </c>
      <c r="I89" t="s">
        <v>6618</v>
      </c>
      <c r="J89" t="s">
        <v>6568</v>
      </c>
    </row>
    <row r="90" spans="1:22">
      <c r="A90" t="s">
        <v>6607</v>
      </c>
      <c r="B90" t="s">
        <v>6607</v>
      </c>
      <c r="C90" t="s">
        <v>6613</v>
      </c>
      <c r="D90" t="s">
        <v>6555</v>
      </c>
      <c r="F90" t="str">
        <f>Config!$B$7</f>
        <v>SCH/Connector.SchLib</v>
      </c>
      <c r="G90" t="s">
        <v>6563</v>
      </c>
      <c r="H90" t="s">
        <v>6586</v>
      </c>
      <c r="I90" t="s">
        <v>6619</v>
      </c>
    </row>
    <row r="91" spans="1:22">
      <c r="A91" t="s">
        <v>6565</v>
      </c>
      <c r="B91" t="s">
        <v>6565</v>
      </c>
      <c r="C91" t="s">
        <v>6576</v>
      </c>
      <c r="D91" t="s">
        <v>6555</v>
      </c>
      <c r="F91" t="str">
        <f>Config!$B$7</f>
        <v>SCH/Connector.SchLib</v>
      </c>
      <c r="G91" t="s">
        <v>6566</v>
      </c>
      <c r="H91" t="s">
        <v>6586</v>
      </c>
      <c r="I91" t="s">
        <v>6578</v>
      </c>
      <c r="J91" t="s">
        <v>6569</v>
      </c>
    </row>
    <row r="92" spans="1:22">
      <c r="A92" t="s">
        <v>6567</v>
      </c>
      <c r="B92" t="s">
        <v>6567</v>
      </c>
      <c r="C92" t="s">
        <v>6577</v>
      </c>
      <c r="D92" t="s">
        <v>6555</v>
      </c>
      <c r="F92" t="str">
        <f>Config!$B$7</f>
        <v>SCH/Connector.SchLib</v>
      </c>
      <c r="G92" t="s">
        <v>6566</v>
      </c>
      <c r="H92" t="s">
        <v>6586</v>
      </c>
      <c r="I92" t="s">
        <v>6579</v>
      </c>
    </row>
    <row r="93" spans="1:22">
      <c r="A93" t="s">
        <v>6608</v>
      </c>
      <c r="B93" t="s">
        <v>6608</v>
      </c>
      <c r="C93" t="s">
        <v>6614</v>
      </c>
      <c r="D93" t="s">
        <v>6555</v>
      </c>
      <c r="F93" t="str">
        <f>Config!$B$7</f>
        <v>SCH/Connector.SchLib</v>
      </c>
      <c r="G93" t="s">
        <v>6566</v>
      </c>
      <c r="H93" t="s">
        <v>6586</v>
      </c>
      <c r="I93" t="s">
        <v>6620</v>
      </c>
      <c r="J93" t="s">
        <v>6569</v>
      </c>
    </row>
    <row r="94" spans="1:22">
      <c r="A94" t="s">
        <v>6609</v>
      </c>
      <c r="B94" t="s">
        <v>6609</v>
      </c>
      <c r="C94" t="s">
        <v>6615</v>
      </c>
      <c r="D94" t="s">
        <v>6555</v>
      </c>
      <c r="F94" t="str">
        <f>Config!$B$7</f>
        <v>SCH/Connector.SchLib</v>
      </c>
      <c r="G94" t="s">
        <v>6566</v>
      </c>
      <c r="H94" t="s">
        <v>6586</v>
      </c>
      <c r="I94" t="s">
        <v>6621</v>
      </c>
    </row>
    <row r="95" spans="1:22">
      <c r="A95" t="s">
        <v>8044</v>
      </c>
      <c r="B95" t="s">
        <v>8044</v>
      </c>
      <c r="C95" t="s">
        <v>8044</v>
      </c>
      <c r="D95" t="s">
        <v>7824</v>
      </c>
      <c r="F95" t="str">
        <f>Config!$B$7</f>
        <v>SCH/Connector.SchLib</v>
      </c>
      <c r="G95" t="s">
        <v>4321</v>
      </c>
      <c r="H95" t="s">
        <v>4322</v>
      </c>
      <c r="I95" t="s">
        <v>8043</v>
      </c>
      <c r="J95" t="s">
        <v>8044</v>
      </c>
      <c r="K95" t="s">
        <v>8045</v>
      </c>
      <c r="L95" t="s">
        <v>8046</v>
      </c>
      <c r="M95" t="s">
        <v>25</v>
      </c>
      <c r="N95" t="s">
        <v>8047</v>
      </c>
    </row>
    <row r="96" spans="1:22">
      <c r="A96" t="s">
        <v>7827</v>
      </c>
      <c r="B96" t="s">
        <v>7827</v>
      </c>
      <c r="C96" t="s">
        <v>7827</v>
      </c>
      <c r="D96" t="s">
        <v>7824</v>
      </c>
      <c r="F96" t="str">
        <f>Config!$B$7</f>
        <v>SCH/Connector.SchLib</v>
      </c>
      <c r="G96" t="s">
        <v>4321</v>
      </c>
      <c r="H96" t="s">
        <v>4322</v>
      </c>
      <c r="I96" t="s">
        <v>7828</v>
      </c>
      <c r="J96" t="s">
        <v>7829</v>
      </c>
      <c r="K96" t="s">
        <v>8045</v>
      </c>
      <c r="L96" t="s">
        <v>7825</v>
      </c>
      <c r="M96" t="s">
        <v>25</v>
      </c>
      <c r="N96" t="s">
        <v>7826</v>
      </c>
    </row>
    <row r="97" spans="1:14">
      <c r="A97" t="s">
        <v>7995</v>
      </c>
      <c r="B97" t="s">
        <v>7995</v>
      </c>
      <c r="C97" t="s">
        <v>7994</v>
      </c>
      <c r="D97" t="s">
        <v>7985</v>
      </c>
      <c r="F97" t="s">
        <v>7986</v>
      </c>
      <c r="G97" t="s">
        <v>7987</v>
      </c>
      <c r="H97" t="s">
        <v>7988</v>
      </c>
      <c r="I97" t="s">
        <v>7989</v>
      </c>
      <c r="J97" s="26" t="s">
        <v>7990</v>
      </c>
      <c r="K97" t="s">
        <v>7991</v>
      </c>
      <c r="L97" t="s">
        <v>7992</v>
      </c>
      <c r="M97" t="s">
        <v>25</v>
      </c>
      <c r="N97" t="s">
        <v>7993</v>
      </c>
    </row>
    <row r="98" spans="1:14">
      <c r="A98" t="s">
        <v>7996</v>
      </c>
      <c r="B98" t="s">
        <v>7996</v>
      </c>
      <c r="C98" t="s">
        <v>7997</v>
      </c>
      <c r="D98" t="s">
        <v>7985</v>
      </c>
      <c r="F98" t="s">
        <v>7986</v>
      </c>
      <c r="G98" t="s">
        <v>7987</v>
      </c>
      <c r="H98" t="s">
        <v>7988</v>
      </c>
      <c r="I98" t="s">
        <v>7989</v>
      </c>
      <c r="J98" s="26" t="s">
        <v>7990</v>
      </c>
      <c r="K98" t="s">
        <v>7991</v>
      </c>
      <c r="L98" t="s">
        <v>7998</v>
      </c>
      <c r="M98" t="s">
        <v>25</v>
      </c>
      <c r="N98" t="s">
        <v>7999</v>
      </c>
    </row>
    <row r="99" spans="1:14">
      <c r="A99" t="s">
        <v>8018</v>
      </c>
      <c r="B99" t="s">
        <v>8018</v>
      </c>
      <c r="C99" t="s">
        <v>8017</v>
      </c>
      <c r="D99" t="s">
        <v>7985</v>
      </c>
      <c r="F99" t="s">
        <v>7986</v>
      </c>
      <c r="G99" t="s">
        <v>7987</v>
      </c>
      <c r="H99" t="s">
        <v>7988</v>
      </c>
      <c r="I99" t="s">
        <v>7989</v>
      </c>
      <c r="J99" s="26" t="s">
        <v>7990</v>
      </c>
      <c r="K99" t="s">
        <v>7991</v>
      </c>
      <c r="L99" t="s">
        <v>8019</v>
      </c>
      <c r="M99" t="s">
        <v>25</v>
      </c>
      <c r="N99" t="s">
        <v>8020</v>
      </c>
    </row>
    <row r="100" spans="1:14">
      <c r="A100" t="s">
        <v>8000</v>
      </c>
      <c r="B100" t="s">
        <v>8000</v>
      </c>
      <c r="C100" t="s">
        <v>8008</v>
      </c>
      <c r="D100" t="s">
        <v>7985</v>
      </c>
      <c r="F100" t="s">
        <v>7986</v>
      </c>
      <c r="G100" t="s">
        <v>8001</v>
      </c>
      <c r="H100" t="s">
        <v>7988</v>
      </c>
      <c r="I100" t="s">
        <v>8002</v>
      </c>
      <c r="J100" s="26" t="s">
        <v>8003</v>
      </c>
      <c r="K100" t="s">
        <v>7991</v>
      </c>
      <c r="L100" t="s">
        <v>8004</v>
      </c>
      <c r="M100" t="s">
        <v>25</v>
      </c>
      <c r="N100" t="s">
        <v>8005</v>
      </c>
    </row>
    <row r="101" spans="1:14">
      <c r="A101" t="s">
        <v>8000</v>
      </c>
      <c r="B101" t="s">
        <v>8000</v>
      </c>
      <c r="C101" t="s">
        <v>8009</v>
      </c>
      <c r="D101" t="s">
        <v>7985</v>
      </c>
      <c r="F101" t="s">
        <v>7986</v>
      </c>
      <c r="G101" t="s">
        <v>8001</v>
      </c>
      <c r="H101" t="s">
        <v>7988</v>
      </c>
      <c r="I101" t="s">
        <v>8002</v>
      </c>
      <c r="J101" s="26" t="s">
        <v>8003</v>
      </c>
      <c r="K101" t="s">
        <v>7991</v>
      </c>
      <c r="L101" t="s">
        <v>8006</v>
      </c>
      <c r="M101" t="s">
        <v>25</v>
      </c>
      <c r="N101" t="s">
        <v>8007</v>
      </c>
    </row>
    <row r="102" spans="1:14">
      <c r="A102" t="s">
        <v>8010</v>
      </c>
      <c r="B102" t="s">
        <v>8010</v>
      </c>
      <c r="C102" t="s">
        <v>8011</v>
      </c>
      <c r="D102" t="s">
        <v>7985</v>
      </c>
      <c r="F102" t="s">
        <v>7986</v>
      </c>
      <c r="G102" t="s">
        <v>8001</v>
      </c>
      <c r="H102" t="s">
        <v>7988</v>
      </c>
      <c r="I102" t="s">
        <v>8002</v>
      </c>
      <c r="J102" s="26" t="s">
        <v>8003</v>
      </c>
      <c r="K102" t="s">
        <v>7991</v>
      </c>
      <c r="L102" t="s">
        <v>8012</v>
      </c>
      <c r="M102" t="s">
        <v>25</v>
      </c>
      <c r="N102" t="s">
        <v>8013</v>
      </c>
    </row>
    <row r="103" spans="1:14">
      <c r="A103" t="s">
        <v>8010</v>
      </c>
      <c r="B103" t="s">
        <v>8010</v>
      </c>
      <c r="C103" t="s">
        <v>8014</v>
      </c>
      <c r="D103" t="s">
        <v>7985</v>
      </c>
      <c r="F103" t="s">
        <v>7986</v>
      </c>
      <c r="G103" t="s">
        <v>8001</v>
      </c>
      <c r="H103" t="s">
        <v>7988</v>
      </c>
      <c r="I103" t="s">
        <v>8002</v>
      </c>
      <c r="J103" s="26" t="s">
        <v>8003</v>
      </c>
      <c r="K103" t="s">
        <v>7991</v>
      </c>
      <c r="L103" t="s">
        <v>8015</v>
      </c>
      <c r="M103" t="s">
        <v>25</v>
      </c>
      <c r="N103" t="s">
        <v>8016</v>
      </c>
    </row>
    <row r="104" spans="1:14">
      <c r="A104" t="s">
        <v>8450</v>
      </c>
      <c r="B104" t="s">
        <v>8449</v>
      </c>
      <c r="C104" t="s">
        <v>8451</v>
      </c>
      <c r="D104" t="s">
        <v>8452</v>
      </c>
      <c r="F104" t="s">
        <v>8453</v>
      </c>
      <c r="G104" t="s">
        <v>8454</v>
      </c>
      <c r="H104" t="s">
        <v>8455</v>
      </c>
      <c r="I104" t="s">
        <v>8456</v>
      </c>
      <c r="J104" t="s">
        <v>8457</v>
      </c>
      <c r="K104" t="s">
        <v>8452</v>
      </c>
      <c r="L104" t="s">
        <v>8458</v>
      </c>
      <c r="M104" t="s">
        <v>8447</v>
      </c>
      <c r="N104" t="s">
        <v>8459</v>
      </c>
    </row>
    <row r="105" spans="1:14">
      <c r="A105" t="s">
        <v>10933</v>
      </c>
      <c r="B105" t="s">
        <v>10933</v>
      </c>
      <c r="C105" t="s">
        <v>10935</v>
      </c>
      <c r="D105" t="s">
        <v>10937</v>
      </c>
      <c r="F105" t="s">
        <v>4358</v>
      </c>
      <c r="G105" t="s">
        <v>10932</v>
      </c>
      <c r="H105" t="s">
        <v>4359</v>
      </c>
      <c r="I105" t="s">
        <v>10939</v>
      </c>
      <c r="J105" t="s">
        <v>10941</v>
      </c>
      <c r="K105" t="s">
        <v>10937</v>
      </c>
      <c r="L105" t="s">
        <v>10943</v>
      </c>
      <c r="M105" t="s">
        <v>10942</v>
      </c>
      <c r="N105" s="25" t="s">
        <v>10944</v>
      </c>
    </row>
    <row r="106" spans="1:14">
      <c r="A106" t="s">
        <v>10934</v>
      </c>
      <c r="B106" t="s">
        <v>10933</v>
      </c>
      <c r="C106" t="s">
        <v>10936</v>
      </c>
      <c r="D106" t="s">
        <v>10937</v>
      </c>
      <c r="F106" t="s">
        <v>4358</v>
      </c>
      <c r="G106" t="s">
        <v>10938</v>
      </c>
      <c r="H106" t="s">
        <v>4359</v>
      </c>
      <c r="I106" t="s">
        <v>10940</v>
      </c>
      <c r="J106" t="s">
        <v>10941</v>
      </c>
      <c r="K106" t="s">
        <v>10937</v>
      </c>
      <c r="L106" t="s">
        <v>10943</v>
      </c>
      <c r="M106" t="s">
        <v>10942</v>
      </c>
      <c r="N106" s="25" t="s">
        <v>10944</v>
      </c>
    </row>
    <row r="107" spans="1:14">
      <c r="A107" t="s">
        <v>11138</v>
      </c>
      <c r="B107" t="s">
        <v>11138</v>
      </c>
      <c r="C107" t="s">
        <v>11143</v>
      </c>
      <c r="D107" t="s">
        <v>7991</v>
      </c>
      <c r="F107" t="s">
        <v>7986</v>
      </c>
      <c r="G107" t="s">
        <v>8001</v>
      </c>
      <c r="H107" t="s">
        <v>7988</v>
      </c>
      <c r="I107" t="s">
        <v>11137</v>
      </c>
      <c r="J107" t="s">
        <v>11142</v>
      </c>
      <c r="K107" t="s">
        <v>7991</v>
      </c>
      <c r="L107" t="s">
        <v>11138</v>
      </c>
      <c r="M107" t="s">
        <v>25</v>
      </c>
      <c r="N107" t="s">
        <v>11140</v>
      </c>
    </row>
    <row r="108" spans="1:14">
      <c r="A108" t="s">
        <v>11139</v>
      </c>
      <c r="B108" t="s">
        <v>11139</v>
      </c>
      <c r="C108" t="s">
        <v>11144</v>
      </c>
      <c r="D108" t="s">
        <v>7991</v>
      </c>
      <c r="F108" t="s">
        <v>7986</v>
      </c>
      <c r="G108" t="s">
        <v>8001</v>
      </c>
      <c r="H108" t="s">
        <v>7988</v>
      </c>
      <c r="I108" t="s">
        <v>11137</v>
      </c>
      <c r="J108" t="s">
        <v>11142</v>
      </c>
      <c r="K108" t="s">
        <v>7991</v>
      </c>
      <c r="L108" t="s">
        <v>11139</v>
      </c>
      <c r="M108" t="s">
        <v>25</v>
      </c>
      <c r="N108" t="s">
        <v>11141</v>
      </c>
    </row>
    <row r="109" spans="1:14">
      <c r="A109" t="s">
        <v>11145</v>
      </c>
      <c r="B109" t="s">
        <v>11145</v>
      </c>
      <c r="C109" t="s">
        <v>11153</v>
      </c>
      <c r="D109" t="s">
        <v>7991</v>
      </c>
      <c r="F109" t="s">
        <v>7986</v>
      </c>
      <c r="G109" t="s">
        <v>8001</v>
      </c>
      <c r="H109" t="s">
        <v>7988</v>
      </c>
      <c r="I109" t="s">
        <v>11162</v>
      </c>
      <c r="J109" t="s">
        <v>11161</v>
      </c>
      <c r="K109" t="s">
        <v>7991</v>
      </c>
      <c r="L109" t="s">
        <v>11145</v>
      </c>
      <c r="M109" t="s">
        <v>25</v>
      </c>
      <c r="N109" t="s">
        <v>11163</v>
      </c>
    </row>
    <row r="110" spans="1:14">
      <c r="A110" t="s">
        <v>11146</v>
      </c>
      <c r="B110" t="s">
        <v>11146</v>
      </c>
      <c r="C110" t="s">
        <v>11154</v>
      </c>
      <c r="D110" t="s">
        <v>7991</v>
      </c>
      <c r="F110" t="s">
        <v>7986</v>
      </c>
      <c r="G110" t="s">
        <v>8001</v>
      </c>
      <c r="H110" t="s">
        <v>7988</v>
      </c>
      <c r="I110" t="s">
        <v>11162</v>
      </c>
      <c r="J110" t="s">
        <v>11161</v>
      </c>
      <c r="K110" t="s">
        <v>7991</v>
      </c>
      <c r="L110" t="s">
        <v>11146</v>
      </c>
      <c r="M110" t="s">
        <v>25</v>
      </c>
      <c r="N110" t="s">
        <v>11164</v>
      </c>
    </row>
    <row r="111" spans="1:14">
      <c r="A111" t="s">
        <v>11147</v>
      </c>
      <c r="B111" t="s">
        <v>11147</v>
      </c>
      <c r="C111" t="s">
        <v>11155</v>
      </c>
      <c r="D111" t="s">
        <v>7991</v>
      </c>
      <c r="F111" t="s">
        <v>7986</v>
      </c>
      <c r="G111" t="s">
        <v>8001</v>
      </c>
      <c r="H111" t="s">
        <v>7988</v>
      </c>
      <c r="I111" t="s">
        <v>11162</v>
      </c>
      <c r="J111" t="s">
        <v>11161</v>
      </c>
      <c r="K111" t="s">
        <v>7991</v>
      </c>
      <c r="L111" t="s">
        <v>11147</v>
      </c>
      <c r="M111" t="s">
        <v>25</v>
      </c>
      <c r="N111" t="s">
        <v>11165</v>
      </c>
    </row>
    <row r="112" spans="1:14">
      <c r="A112" t="s">
        <v>11148</v>
      </c>
      <c r="B112" t="s">
        <v>11148</v>
      </c>
      <c r="C112" t="s">
        <v>11156</v>
      </c>
      <c r="D112" t="s">
        <v>7991</v>
      </c>
      <c r="F112" t="s">
        <v>7986</v>
      </c>
      <c r="G112" t="s">
        <v>8001</v>
      </c>
      <c r="H112" t="s">
        <v>7988</v>
      </c>
      <c r="I112" t="s">
        <v>11162</v>
      </c>
      <c r="J112" t="s">
        <v>11161</v>
      </c>
      <c r="K112" t="s">
        <v>7991</v>
      </c>
      <c r="L112" t="s">
        <v>11148</v>
      </c>
      <c r="M112" t="s">
        <v>25</v>
      </c>
      <c r="N112" t="s">
        <v>11166</v>
      </c>
    </row>
    <row r="113" spans="1:18">
      <c r="A113" t="s">
        <v>11149</v>
      </c>
      <c r="B113" t="s">
        <v>11149</v>
      </c>
      <c r="C113" t="s">
        <v>11157</v>
      </c>
      <c r="D113" t="s">
        <v>7991</v>
      </c>
      <c r="F113" t="s">
        <v>7986</v>
      </c>
      <c r="G113" t="s">
        <v>8001</v>
      </c>
      <c r="H113" t="s">
        <v>7988</v>
      </c>
      <c r="I113" t="s">
        <v>11162</v>
      </c>
      <c r="J113" t="s">
        <v>11161</v>
      </c>
      <c r="K113" t="s">
        <v>7991</v>
      </c>
      <c r="L113" t="s">
        <v>11149</v>
      </c>
      <c r="M113" t="s">
        <v>25</v>
      </c>
      <c r="N113" t="s">
        <v>11167</v>
      </c>
    </row>
    <row r="114" spans="1:18">
      <c r="A114" t="s">
        <v>11150</v>
      </c>
      <c r="B114" t="s">
        <v>11150</v>
      </c>
      <c r="C114" t="s">
        <v>11158</v>
      </c>
      <c r="D114" t="s">
        <v>7991</v>
      </c>
      <c r="F114" t="s">
        <v>7986</v>
      </c>
      <c r="G114" t="s">
        <v>8001</v>
      </c>
      <c r="H114" t="s">
        <v>7988</v>
      </c>
      <c r="I114" t="s">
        <v>11162</v>
      </c>
      <c r="J114" t="s">
        <v>11161</v>
      </c>
      <c r="K114" t="s">
        <v>7991</v>
      </c>
      <c r="L114" t="s">
        <v>11150</v>
      </c>
      <c r="M114" t="s">
        <v>25</v>
      </c>
      <c r="N114" t="s">
        <v>11168</v>
      </c>
    </row>
    <row r="115" spans="1:18">
      <c r="A115" t="s">
        <v>11151</v>
      </c>
      <c r="B115" t="s">
        <v>11151</v>
      </c>
      <c r="C115" t="s">
        <v>11159</v>
      </c>
      <c r="D115" t="s">
        <v>7991</v>
      </c>
      <c r="F115" t="s">
        <v>7986</v>
      </c>
      <c r="G115" t="s">
        <v>8001</v>
      </c>
      <c r="H115" t="s">
        <v>7988</v>
      </c>
      <c r="I115" t="s">
        <v>11162</v>
      </c>
      <c r="J115" t="s">
        <v>11161</v>
      </c>
      <c r="K115" t="s">
        <v>7991</v>
      </c>
      <c r="L115" t="s">
        <v>11151</v>
      </c>
      <c r="M115" t="s">
        <v>25</v>
      </c>
      <c r="N115" t="s">
        <v>11169</v>
      </c>
    </row>
    <row r="116" spans="1:18">
      <c r="A116" t="s">
        <v>11152</v>
      </c>
      <c r="B116" t="s">
        <v>11152</v>
      </c>
      <c r="C116" t="s">
        <v>11160</v>
      </c>
      <c r="D116" t="s">
        <v>7991</v>
      </c>
      <c r="F116" t="s">
        <v>7986</v>
      </c>
      <c r="G116" t="s">
        <v>8001</v>
      </c>
      <c r="H116" t="s">
        <v>7988</v>
      </c>
      <c r="I116" t="s">
        <v>11162</v>
      </c>
      <c r="J116" t="s">
        <v>11161</v>
      </c>
      <c r="K116" t="s">
        <v>7991</v>
      </c>
      <c r="L116" t="s">
        <v>11152</v>
      </c>
      <c r="M116" t="s">
        <v>25</v>
      </c>
      <c r="N116" t="s">
        <v>11170</v>
      </c>
    </row>
    <row r="117" spans="1:18">
      <c r="A117" t="s">
        <v>11176</v>
      </c>
      <c r="B117" t="s">
        <v>11176</v>
      </c>
      <c r="C117" t="s">
        <v>11183</v>
      </c>
      <c r="D117" t="s">
        <v>4546</v>
      </c>
      <c r="F117" t="s">
        <v>8453</v>
      </c>
      <c r="G117" t="s">
        <v>11182</v>
      </c>
      <c r="H117" t="str">
        <f>_xlfn.CONCAT(PrivateLibraryPath,"PCB/Bourns.PcbLib")</f>
        <v>../altium_lib_private/PCB/Bourns.PcbLib</v>
      </c>
      <c r="I117" t="s">
        <v>11180</v>
      </c>
      <c r="J117" t="s">
        <v>11171</v>
      </c>
      <c r="K117" t="s">
        <v>4546</v>
      </c>
      <c r="L117" t="s">
        <v>11176</v>
      </c>
      <c r="M117" t="s">
        <v>25</v>
      </c>
      <c r="N117" t="s">
        <v>11172</v>
      </c>
    </row>
    <row r="118" spans="1:18">
      <c r="A118" t="s">
        <v>11177</v>
      </c>
      <c r="B118" t="s">
        <v>11177</v>
      </c>
      <c r="C118" t="s">
        <v>11183</v>
      </c>
      <c r="D118" t="s">
        <v>4546</v>
      </c>
      <c r="F118" t="s">
        <v>8453</v>
      </c>
      <c r="G118" t="s">
        <v>11182</v>
      </c>
      <c r="H118" t="str">
        <f>_xlfn.CONCAT(PrivateLibraryPath,"PCB/Bourns.PcbLib")</f>
        <v>../altium_lib_private/PCB/Bourns.PcbLib</v>
      </c>
      <c r="I118" t="s">
        <v>11181</v>
      </c>
      <c r="J118" t="s">
        <v>11171</v>
      </c>
      <c r="K118" t="s">
        <v>4546</v>
      </c>
      <c r="L118" t="s">
        <v>11177</v>
      </c>
      <c r="M118" t="s">
        <v>25</v>
      </c>
      <c r="N118" t="s">
        <v>11173</v>
      </c>
    </row>
    <row r="119" spans="1:18">
      <c r="A119" t="s">
        <v>11178</v>
      </c>
      <c r="B119" t="s">
        <v>11178</v>
      </c>
      <c r="C119" t="s">
        <v>11183</v>
      </c>
      <c r="D119" t="s">
        <v>4546</v>
      </c>
      <c r="F119" t="s">
        <v>8453</v>
      </c>
      <c r="G119" t="s">
        <v>11182</v>
      </c>
      <c r="H119" t="str">
        <f>_xlfn.CONCAT(PrivateLibraryPath,"PCB/Bourns.PcbLib")</f>
        <v>../altium_lib_private/PCB/Bourns.PcbLib</v>
      </c>
      <c r="I119" t="s">
        <v>11181</v>
      </c>
      <c r="J119" t="s">
        <v>11171</v>
      </c>
      <c r="K119" t="s">
        <v>4546</v>
      </c>
      <c r="L119" t="s">
        <v>11178</v>
      </c>
      <c r="M119" t="s">
        <v>25</v>
      </c>
      <c r="N119" t="s">
        <v>11174</v>
      </c>
    </row>
    <row r="120" spans="1:18">
      <c r="A120" t="s">
        <v>11179</v>
      </c>
      <c r="B120" t="s">
        <v>11179</v>
      </c>
      <c r="C120" t="s">
        <v>11183</v>
      </c>
      <c r="D120" t="s">
        <v>4546</v>
      </c>
      <c r="F120" t="s">
        <v>8453</v>
      </c>
      <c r="G120" t="s">
        <v>11182</v>
      </c>
      <c r="H120" t="str">
        <f>_xlfn.CONCAT(PrivateLibraryPath,"PCB/Bourns.PcbLib")</f>
        <v>../altium_lib_private/PCB/Bourns.PcbLib</v>
      </c>
      <c r="I120" t="s">
        <v>11180</v>
      </c>
      <c r="J120" t="s">
        <v>11171</v>
      </c>
      <c r="K120" t="s">
        <v>4546</v>
      </c>
      <c r="L120" t="s">
        <v>11179</v>
      </c>
      <c r="M120" t="s">
        <v>25</v>
      </c>
      <c r="N120" t="s">
        <v>11175</v>
      </c>
    </row>
    <row r="121" spans="1:18">
      <c r="A121" t="s">
        <v>11194</v>
      </c>
      <c r="B121" t="s">
        <v>11194</v>
      </c>
      <c r="C121" t="s">
        <v>11200</v>
      </c>
      <c r="D121" t="s">
        <v>11196</v>
      </c>
      <c r="F121" t="s">
        <v>11199</v>
      </c>
      <c r="G121" t="s">
        <v>11198</v>
      </c>
      <c r="H121" t="str">
        <f>_xlfn.CONCAT(PrivateLibraryPath,"PCB/Camdenboss.PcbLib")</f>
        <v>../altium_lib_private/PCB/Camdenboss.PcbLib</v>
      </c>
      <c r="I121" t="s">
        <v>11194</v>
      </c>
      <c r="J121" t="s">
        <v>11197</v>
      </c>
      <c r="K121" t="s">
        <v>11196</v>
      </c>
      <c r="L121" t="s">
        <v>11194</v>
      </c>
      <c r="M121" t="s">
        <v>11193</v>
      </c>
      <c r="N121" t="s">
        <v>11195</v>
      </c>
      <c r="O121" t="s">
        <v>11196</v>
      </c>
      <c r="P121" t="s">
        <v>11194</v>
      </c>
      <c r="Q121" t="s">
        <v>12082</v>
      </c>
      <c r="R121">
        <v>2392779</v>
      </c>
    </row>
    <row r="122" spans="1:18">
      <c r="A122" t="s">
        <v>12106</v>
      </c>
      <c r="B122" t="s">
        <v>12106</v>
      </c>
      <c r="C122" t="s">
        <v>12333</v>
      </c>
      <c r="D122" t="s">
        <v>12084</v>
      </c>
      <c r="F122" t="s">
        <v>11199</v>
      </c>
      <c r="G122" t="s">
        <v>6975</v>
      </c>
      <c r="H122" s="39"/>
      <c r="I122" s="39"/>
      <c r="J122" t="s">
        <v>12329</v>
      </c>
      <c r="K122" t="s">
        <v>12085</v>
      </c>
      <c r="L122" t="s">
        <v>12089</v>
      </c>
      <c r="M122" t="s">
        <v>8447</v>
      </c>
      <c r="N122">
        <v>14021770</v>
      </c>
    </row>
    <row r="123" spans="1:18">
      <c r="A123" t="s">
        <v>12107</v>
      </c>
      <c r="B123" t="s">
        <v>12107</v>
      </c>
      <c r="C123" t="s">
        <v>12333</v>
      </c>
      <c r="D123" t="s">
        <v>12084</v>
      </c>
      <c r="F123" t="s">
        <v>11199</v>
      </c>
      <c r="G123" t="s">
        <v>6975</v>
      </c>
      <c r="H123" s="39"/>
      <c r="I123" s="39"/>
      <c r="J123" t="s">
        <v>12329</v>
      </c>
      <c r="K123" t="s">
        <v>12085</v>
      </c>
      <c r="L123" t="s">
        <v>12090</v>
      </c>
      <c r="M123" t="s">
        <v>8447</v>
      </c>
      <c r="N123">
        <v>14021767</v>
      </c>
    </row>
    <row r="124" spans="1:18">
      <c r="A124" t="s">
        <v>12083</v>
      </c>
      <c r="B124" t="s">
        <v>12083</v>
      </c>
      <c r="C124" t="s">
        <v>12333</v>
      </c>
      <c r="D124" t="s">
        <v>12084</v>
      </c>
      <c r="F124" t="s">
        <v>11199</v>
      </c>
      <c r="G124" t="s">
        <v>6975</v>
      </c>
      <c r="H124" s="39"/>
      <c r="I124" s="39"/>
      <c r="J124" t="s">
        <v>12329</v>
      </c>
      <c r="K124" t="s">
        <v>12085</v>
      </c>
      <c r="L124" t="s">
        <v>12088</v>
      </c>
      <c r="M124" t="s">
        <v>8447</v>
      </c>
      <c r="N124">
        <v>14021765</v>
      </c>
    </row>
    <row r="125" spans="1:18">
      <c r="A125" t="s">
        <v>12108</v>
      </c>
      <c r="B125" t="s">
        <v>12108</v>
      </c>
      <c r="C125" t="s">
        <v>12333</v>
      </c>
      <c r="D125" t="s">
        <v>12084</v>
      </c>
      <c r="F125" t="s">
        <v>11199</v>
      </c>
      <c r="G125" t="s">
        <v>6975</v>
      </c>
      <c r="H125" s="39"/>
      <c r="I125" s="39"/>
      <c r="J125" t="s">
        <v>12329</v>
      </c>
      <c r="K125" t="s">
        <v>12085</v>
      </c>
      <c r="L125" t="s">
        <v>12091</v>
      </c>
      <c r="M125" t="s">
        <v>8447</v>
      </c>
      <c r="N125">
        <v>14021766</v>
      </c>
    </row>
    <row r="126" spans="1:18">
      <c r="A126" t="s">
        <v>12109</v>
      </c>
      <c r="B126" t="s">
        <v>12109</v>
      </c>
      <c r="C126" t="s">
        <v>12333</v>
      </c>
      <c r="D126" t="s">
        <v>12084</v>
      </c>
      <c r="F126" t="s">
        <v>11199</v>
      </c>
      <c r="G126" t="s">
        <v>6975</v>
      </c>
      <c r="H126" s="39"/>
      <c r="I126" s="39"/>
      <c r="J126" t="s">
        <v>12329</v>
      </c>
      <c r="K126" t="s">
        <v>12085</v>
      </c>
      <c r="L126" t="s">
        <v>12092</v>
      </c>
      <c r="M126" t="s">
        <v>8447</v>
      </c>
      <c r="N126">
        <v>14021768</v>
      </c>
    </row>
    <row r="127" spans="1:18">
      <c r="A127" t="s">
        <v>12110</v>
      </c>
      <c r="B127" t="s">
        <v>12110</v>
      </c>
      <c r="C127" t="s">
        <v>12333</v>
      </c>
      <c r="D127" t="s">
        <v>12084</v>
      </c>
      <c r="F127" t="s">
        <v>11199</v>
      </c>
      <c r="G127" t="s">
        <v>6975</v>
      </c>
      <c r="H127" s="39"/>
      <c r="I127" s="39"/>
      <c r="J127" t="s">
        <v>12329</v>
      </c>
      <c r="K127" t="s">
        <v>12085</v>
      </c>
      <c r="L127" t="s">
        <v>12093</v>
      </c>
      <c r="M127" t="s">
        <v>8447</v>
      </c>
      <c r="N127">
        <v>14021769</v>
      </c>
    </row>
    <row r="128" spans="1:18">
      <c r="A128" t="s">
        <v>12111</v>
      </c>
      <c r="B128" t="s">
        <v>12111</v>
      </c>
      <c r="C128" t="s">
        <v>12333</v>
      </c>
      <c r="D128" t="s">
        <v>12084</v>
      </c>
      <c r="F128" t="s">
        <v>11199</v>
      </c>
      <c r="G128" t="s">
        <v>6975</v>
      </c>
      <c r="H128" s="39"/>
      <c r="I128" s="39"/>
      <c r="J128" t="s">
        <v>12329</v>
      </c>
      <c r="K128" t="s">
        <v>12085</v>
      </c>
      <c r="L128" t="s">
        <v>12094</v>
      </c>
      <c r="M128" t="s">
        <v>8447</v>
      </c>
      <c r="N128">
        <v>30136205</v>
      </c>
    </row>
    <row r="129" spans="1:14">
      <c r="A129" t="s">
        <v>12112</v>
      </c>
      <c r="B129" t="s">
        <v>12112</v>
      </c>
      <c r="C129" t="s">
        <v>12333</v>
      </c>
      <c r="D129" t="s">
        <v>12084</v>
      </c>
      <c r="F129" t="s">
        <v>11199</v>
      </c>
      <c r="G129" t="s">
        <v>6975</v>
      </c>
      <c r="H129" s="39"/>
      <c r="I129" s="39"/>
      <c r="J129" t="s">
        <v>12329</v>
      </c>
      <c r="K129" t="s">
        <v>12085</v>
      </c>
      <c r="L129" t="s">
        <v>12095</v>
      </c>
      <c r="M129" t="s">
        <v>8447</v>
      </c>
      <c r="N129">
        <v>14022426</v>
      </c>
    </row>
    <row r="130" spans="1:14">
      <c r="A130" t="s">
        <v>12113</v>
      </c>
      <c r="B130" t="s">
        <v>12113</v>
      </c>
      <c r="C130" t="s">
        <v>12333</v>
      </c>
      <c r="D130" t="s">
        <v>12084</v>
      </c>
      <c r="F130" t="s">
        <v>11199</v>
      </c>
      <c r="G130" t="s">
        <v>6975</v>
      </c>
      <c r="H130" s="39"/>
      <c r="I130" s="39"/>
      <c r="J130" t="s">
        <v>12329</v>
      </c>
      <c r="K130" t="s">
        <v>12085</v>
      </c>
      <c r="L130" t="s">
        <v>12096</v>
      </c>
      <c r="M130" t="s">
        <v>8447</v>
      </c>
      <c r="N130">
        <v>14022425</v>
      </c>
    </row>
    <row r="131" spans="1:14">
      <c r="A131" t="s">
        <v>12114</v>
      </c>
      <c r="B131" t="s">
        <v>12114</v>
      </c>
      <c r="C131" t="s">
        <v>12333</v>
      </c>
      <c r="D131" t="s">
        <v>12084</v>
      </c>
      <c r="F131" t="s">
        <v>11199</v>
      </c>
      <c r="G131" t="s">
        <v>6975</v>
      </c>
      <c r="H131" s="39"/>
      <c r="I131" s="39"/>
      <c r="J131" t="s">
        <v>12329</v>
      </c>
      <c r="K131" t="s">
        <v>12085</v>
      </c>
      <c r="L131" t="s">
        <v>12097</v>
      </c>
      <c r="M131" t="s">
        <v>8447</v>
      </c>
      <c r="N131">
        <v>14021772</v>
      </c>
    </row>
    <row r="132" spans="1:14">
      <c r="A132" t="s">
        <v>12115</v>
      </c>
      <c r="B132" t="s">
        <v>12115</v>
      </c>
      <c r="C132" t="s">
        <v>12334</v>
      </c>
      <c r="D132" t="s">
        <v>12084</v>
      </c>
      <c r="F132" t="s">
        <v>11199</v>
      </c>
      <c r="G132" t="s">
        <v>6975</v>
      </c>
      <c r="H132" s="39"/>
      <c r="I132" s="39"/>
      <c r="J132" t="s">
        <v>12330</v>
      </c>
      <c r="K132" t="s">
        <v>12085</v>
      </c>
      <c r="L132" t="s">
        <v>12098</v>
      </c>
      <c r="M132" t="s">
        <v>8447</v>
      </c>
      <c r="N132">
        <v>30136216</v>
      </c>
    </row>
    <row r="133" spans="1:14">
      <c r="A133" t="s">
        <v>12116</v>
      </c>
      <c r="B133" t="s">
        <v>12116</v>
      </c>
      <c r="C133" t="s">
        <v>12334</v>
      </c>
      <c r="D133" t="s">
        <v>12084</v>
      </c>
      <c r="F133" t="s">
        <v>11199</v>
      </c>
      <c r="G133" t="s">
        <v>6975</v>
      </c>
      <c r="H133" s="39"/>
      <c r="I133" s="39"/>
      <c r="J133" t="s">
        <v>12330</v>
      </c>
      <c r="K133" t="s">
        <v>12085</v>
      </c>
      <c r="L133" t="s">
        <v>12099</v>
      </c>
      <c r="M133" t="s">
        <v>8447</v>
      </c>
      <c r="N133">
        <v>30136217</v>
      </c>
    </row>
    <row r="134" spans="1:14">
      <c r="A134" t="s">
        <v>12087</v>
      </c>
      <c r="B134" t="s">
        <v>12087</v>
      </c>
      <c r="C134" t="s">
        <v>12334</v>
      </c>
      <c r="D134" t="s">
        <v>12084</v>
      </c>
      <c r="F134" t="s">
        <v>11199</v>
      </c>
      <c r="G134" t="s">
        <v>6975</v>
      </c>
      <c r="H134" s="39"/>
      <c r="I134" s="39"/>
      <c r="J134" t="s">
        <v>12330</v>
      </c>
      <c r="K134" t="s">
        <v>12085</v>
      </c>
      <c r="L134" t="s">
        <v>12086</v>
      </c>
      <c r="M134" t="s">
        <v>8447</v>
      </c>
      <c r="N134">
        <v>30136218</v>
      </c>
    </row>
    <row r="135" spans="1:14">
      <c r="A135" t="s">
        <v>12117</v>
      </c>
      <c r="B135" t="s">
        <v>12117</v>
      </c>
      <c r="C135" t="s">
        <v>12334</v>
      </c>
      <c r="D135" t="s">
        <v>12084</v>
      </c>
      <c r="F135" t="s">
        <v>11199</v>
      </c>
      <c r="G135" t="s">
        <v>6975</v>
      </c>
      <c r="H135" s="39"/>
      <c r="I135" s="39"/>
      <c r="J135" t="s">
        <v>12330</v>
      </c>
      <c r="K135" t="s">
        <v>12085</v>
      </c>
      <c r="L135" t="s">
        <v>12100</v>
      </c>
      <c r="M135" t="s">
        <v>8447</v>
      </c>
      <c r="N135">
        <v>30136219</v>
      </c>
    </row>
    <row r="136" spans="1:14">
      <c r="A136" t="s">
        <v>12118</v>
      </c>
      <c r="B136" t="s">
        <v>12118</v>
      </c>
      <c r="C136" t="s">
        <v>12334</v>
      </c>
      <c r="D136" t="s">
        <v>12084</v>
      </c>
      <c r="F136" t="s">
        <v>11199</v>
      </c>
      <c r="G136" t="s">
        <v>6975</v>
      </c>
      <c r="H136" s="39"/>
      <c r="I136" s="39"/>
      <c r="J136" t="s">
        <v>12330</v>
      </c>
      <c r="K136" t="s">
        <v>12085</v>
      </c>
      <c r="L136" t="s">
        <v>12101</v>
      </c>
      <c r="M136" t="s">
        <v>8447</v>
      </c>
      <c r="N136">
        <v>30136220</v>
      </c>
    </row>
    <row r="137" spans="1:14">
      <c r="A137" t="s">
        <v>12119</v>
      </c>
      <c r="B137" t="s">
        <v>12119</v>
      </c>
      <c r="C137" t="s">
        <v>12334</v>
      </c>
      <c r="D137" t="s">
        <v>12084</v>
      </c>
      <c r="F137" t="s">
        <v>11199</v>
      </c>
      <c r="G137" t="s">
        <v>6975</v>
      </c>
      <c r="H137" s="39"/>
      <c r="I137" s="39"/>
      <c r="J137" t="s">
        <v>12330</v>
      </c>
      <c r="K137" t="s">
        <v>12085</v>
      </c>
      <c r="L137" t="s">
        <v>12102</v>
      </c>
      <c r="M137" t="s">
        <v>8447</v>
      </c>
      <c r="N137">
        <v>30136221</v>
      </c>
    </row>
    <row r="138" spans="1:14">
      <c r="A138" t="s">
        <v>12120</v>
      </c>
      <c r="B138" t="s">
        <v>12120</v>
      </c>
      <c r="C138" t="s">
        <v>12334</v>
      </c>
      <c r="D138" t="s">
        <v>12084</v>
      </c>
      <c r="F138" t="s">
        <v>11199</v>
      </c>
      <c r="G138" t="s">
        <v>6975</v>
      </c>
      <c r="H138" s="39"/>
      <c r="I138" s="39"/>
      <c r="J138" t="s">
        <v>12330</v>
      </c>
      <c r="K138" t="s">
        <v>12085</v>
      </c>
      <c r="L138" t="s">
        <v>12103</v>
      </c>
      <c r="M138" t="s">
        <v>8447</v>
      </c>
      <c r="N138">
        <v>30136222</v>
      </c>
    </row>
    <row r="139" spans="1:14">
      <c r="A139" t="s">
        <v>12121</v>
      </c>
      <c r="B139" t="s">
        <v>12121</v>
      </c>
      <c r="C139" t="s">
        <v>12334</v>
      </c>
      <c r="D139" t="s">
        <v>12084</v>
      </c>
      <c r="F139" t="s">
        <v>11199</v>
      </c>
      <c r="G139" t="s">
        <v>6975</v>
      </c>
      <c r="H139" s="39"/>
      <c r="I139" s="39"/>
      <c r="J139" t="s">
        <v>12330</v>
      </c>
      <c r="K139" t="s">
        <v>12085</v>
      </c>
      <c r="L139" t="s">
        <v>12104</v>
      </c>
      <c r="M139" t="s">
        <v>8447</v>
      </c>
      <c r="N139">
        <v>30136223</v>
      </c>
    </row>
    <row r="140" spans="1:14">
      <c r="A140" t="s">
        <v>12122</v>
      </c>
      <c r="B140" t="s">
        <v>12122</v>
      </c>
      <c r="C140" t="s">
        <v>12334</v>
      </c>
      <c r="D140" t="s">
        <v>12084</v>
      </c>
      <c r="F140" t="s">
        <v>11199</v>
      </c>
      <c r="G140" t="s">
        <v>6975</v>
      </c>
      <c r="H140" s="39"/>
      <c r="I140" s="39"/>
      <c r="J140" t="s">
        <v>12330</v>
      </c>
      <c r="K140" t="s">
        <v>12085</v>
      </c>
      <c r="L140" t="s">
        <v>12105</v>
      </c>
      <c r="M140" t="s">
        <v>8447</v>
      </c>
      <c r="N140">
        <v>30136224</v>
      </c>
    </row>
    <row r="141" spans="1:14">
      <c r="A141" t="s">
        <v>12123</v>
      </c>
      <c r="B141" t="s">
        <v>12123</v>
      </c>
      <c r="C141" t="s">
        <v>12334</v>
      </c>
      <c r="D141" t="s">
        <v>12084</v>
      </c>
      <c r="F141" t="s">
        <v>11199</v>
      </c>
      <c r="G141" t="s">
        <v>6975</v>
      </c>
      <c r="H141" s="39"/>
      <c r="I141" s="39"/>
      <c r="J141" t="s">
        <v>12330</v>
      </c>
      <c r="K141" t="s">
        <v>12085</v>
      </c>
      <c r="L141" t="s">
        <v>12390</v>
      </c>
    </row>
    <row r="142" spans="1:14">
      <c r="A142" t="s">
        <v>12263</v>
      </c>
      <c r="B142" t="s">
        <v>12263</v>
      </c>
      <c r="C142" t="s">
        <v>12335</v>
      </c>
      <c r="D142" t="s">
        <v>12084</v>
      </c>
      <c r="F142" t="s">
        <v>11199</v>
      </c>
      <c r="G142" t="s">
        <v>6997</v>
      </c>
      <c r="H142" s="39"/>
      <c r="I142" s="39"/>
      <c r="J142" t="s">
        <v>12331</v>
      </c>
      <c r="K142" t="s">
        <v>12085</v>
      </c>
      <c r="L142" t="s">
        <v>12271</v>
      </c>
    </row>
    <row r="143" spans="1:14">
      <c r="A143" t="s">
        <v>12264</v>
      </c>
      <c r="B143" t="s">
        <v>12264</v>
      </c>
      <c r="C143" t="s">
        <v>12335</v>
      </c>
      <c r="D143" t="s">
        <v>12084</v>
      </c>
      <c r="F143" t="s">
        <v>11199</v>
      </c>
      <c r="G143" t="s">
        <v>6997</v>
      </c>
      <c r="H143" s="39"/>
      <c r="I143" s="39"/>
      <c r="J143" t="s">
        <v>12331</v>
      </c>
      <c r="K143" t="s">
        <v>12085</v>
      </c>
      <c r="L143" t="s">
        <v>12272</v>
      </c>
      <c r="M143" t="s">
        <v>8447</v>
      </c>
      <c r="N143">
        <v>14021779</v>
      </c>
    </row>
    <row r="144" spans="1:14">
      <c r="A144" t="s">
        <v>12265</v>
      </c>
      <c r="B144" t="s">
        <v>12265</v>
      </c>
      <c r="C144" t="s">
        <v>12335</v>
      </c>
      <c r="D144" t="s">
        <v>12084</v>
      </c>
      <c r="F144" t="s">
        <v>11199</v>
      </c>
      <c r="G144" t="s">
        <v>6997</v>
      </c>
      <c r="H144" s="39"/>
      <c r="I144" s="39"/>
      <c r="J144" t="s">
        <v>12331</v>
      </c>
      <c r="K144" t="s">
        <v>12085</v>
      </c>
      <c r="L144" t="s">
        <v>12273</v>
      </c>
      <c r="M144" t="s">
        <v>8447</v>
      </c>
      <c r="N144">
        <v>14021780</v>
      </c>
    </row>
    <row r="145" spans="1:14">
      <c r="A145" t="s">
        <v>12266</v>
      </c>
      <c r="B145" t="s">
        <v>12266</v>
      </c>
      <c r="C145" t="s">
        <v>12335</v>
      </c>
      <c r="D145" t="s">
        <v>12084</v>
      </c>
      <c r="F145" t="s">
        <v>11199</v>
      </c>
      <c r="G145" t="s">
        <v>6997</v>
      </c>
      <c r="H145" s="39"/>
      <c r="I145" s="39"/>
      <c r="J145" t="s">
        <v>12331</v>
      </c>
      <c r="K145" t="s">
        <v>12085</v>
      </c>
      <c r="L145" t="s">
        <v>12274</v>
      </c>
      <c r="M145" t="s">
        <v>8447</v>
      </c>
      <c r="N145">
        <v>14021781</v>
      </c>
    </row>
    <row r="146" spans="1:14">
      <c r="A146" t="s">
        <v>12267</v>
      </c>
      <c r="B146" t="s">
        <v>12267</v>
      </c>
      <c r="C146" t="s">
        <v>12335</v>
      </c>
      <c r="D146" t="s">
        <v>12084</v>
      </c>
      <c r="F146" t="s">
        <v>11199</v>
      </c>
      <c r="G146" t="s">
        <v>6997</v>
      </c>
      <c r="H146" s="39"/>
      <c r="I146" s="39"/>
      <c r="J146" t="s">
        <v>12331</v>
      </c>
      <c r="K146" t="s">
        <v>12085</v>
      </c>
      <c r="L146" t="s">
        <v>12275</v>
      </c>
    </row>
    <row r="147" spans="1:14">
      <c r="A147" t="s">
        <v>12268</v>
      </c>
      <c r="B147" t="s">
        <v>12268</v>
      </c>
      <c r="C147" t="s">
        <v>12335</v>
      </c>
      <c r="D147" t="s">
        <v>12084</v>
      </c>
      <c r="F147" t="s">
        <v>11199</v>
      </c>
      <c r="G147" t="s">
        <v>6997</v>
      </c>
      <c r="H147" s="39"/>
      <c r="I147" s="39"/>
      <c r="J147" t="s">
        <v>12331</v>
      </c>
      <c r="K147" t="s">
        <v>12085</v>
      </c>
      <c r="L147" t="s">
        <v>12276</v>
      </c>
    </row>
    <row r="148" spans="1:14">
      <c r="A148" t="s">
        <v>12269</v>
      </c>
      <c r="B148" t="s">
        <v>12269</v>
      </c>
      <c r="C148" t="s">
        <v>12335</v>
      </c>
      <c r="D148" t="s">
        <v>12084</v>
      </c>
      <c r="F148" t="s">
        <v>11199</v>
      </c>
      <c r="G148" t="s">
        <v>6997</v>
      </c>
      <c r="H148" s="39"/>
      <c r="I148" s="39"/>
      <c r="J148" t="s">
        <v>12331</v>
      </c>
      <c r="K148" t="s">
        <v>12085</v>
      </c>
      <c r="L148" t="s">
        <v>12277</v>
      </c>
    </row>
    <row r="149" spans="1:14">
      <c r="A149" t="s">
        <v>12270</v>
      </c>
      <c r="B149" t="s">
        <v>12270</v>
      </c>
      <c r="C149" t="s">
        <v>12335</v>
      </c>
      <c r="D149" t="s">
        <v>12084</v>
      </c>
      <c r="F149" t="s">
        <v>11199</v>
      </c>
      <c r="G149" t="s">
        <v>6997</v>
      </c>
      <c r="H149" s="39"/>
      <c r="I149" s="39"/>
      <c r="J149" t="s">
        <v>12331</v>
      </c>
      <c r="K149" t="s">
        <v>12085</v>
      </c>
      <c r="L149" t="s">
        <v>12278</v>
      </c>
    </row>
    <row r="150" spans="1:14">
      <c r="A150" t="s">
        <v>12279</v>
      </c>
      <c r="B150" t="s">
        <v>12279</v>
      </c>
      <c r="C150" t="s">
        <v>12336</v>
      </c>
      <c r="D150" t="s">
        <v>12084</v>
      </c>
      <c r="F150" t="s">
        <v>11199</v>
      </c>
      <c r="G150" t="s">
        <v>6975</v>
      </c>
      <c r="H150" s="39"/>
      <c r="I150" s="39"/>
      <c r="J150" t="s">
        <v>12332</v>
      </c>
      <c r="K150" t="s">
        <v>12085</v>
      </c>
      <c r="L150" t="s">
        <v>12289</v>
      </c>
      <c r="M150" t="s">
        <v>8447</v>
      </c>
      <c r="N150">
        <v>30223684</v>
      </c>
    </row>
    <row r="151" spans="1:14">
      <c r="A151" t="s">
        <v>12280</v>
      </c>
      <c r="B151" t="s">
        <v>12280</v>
      </c>
      <c r="C151" t="s">
        <v>12336</v>
      </c>
      <c r="D151" t="s">
        <v>12084</v>
      </c>
      <c r="F151" t="s">
        <v>11199</v>
      </c>
      <c r="G151" t="s">
        <v>6975</v>
      </c>
      <c r="H151" s="39"/>
      <c r="I151" s="39"/>
      <c r="J151" t="s">
        <v>12332</v>
      </c>
      <c r="K151" t="s">
        <v>12085</v>
      </c>
      <c r="L151" t="s">
        <v>12290</v>
      </c>
      <c r="M151" t="s">
        <v>8447</v>
      </c>
      <c r="N151">
        <v>30136412</v>
      </c>
    </row>
    <row r="152" spans="1:14">
      <c r="A152" t="s">
        <v>12281</v>
      </c>
      <c r="B152" t="s">
        <v>12281</v>
      </c>
      <c r="C152" t="s">
        <v>12336</v>
      </c>
      <c r="D152" t="s">
        <v>12084</v>
      </c>
      <c r="F152" t="s">
        <v>11199</v>
      </c>
      <c r="G152" t="s">
        <v>6975</v>
      </c>
      <c r="H152" s="39"/>
      <c r="I152" s="39"/>
      <c r="J152" t="s">
        <v>12332</v>
      </c>
      <c r="K152" t="s">
        <v>12085</v>
      </c>
      <c r="L152" t="s">
        <v>12291</v>
      </c>
      <c r="M152" t="s">
        <v>8447</v>
      </c>
      <c r="N152">
        <v>30136413</v>
      </c>
    </row>
    <row r="153" spans="1:14">
      <c r="A153" t="s">
        <v>12282</v>
      </c>
      <c r="B153" t="s">
        <v>12282</v>
      </c>
      <c r="C153" t="s">
        <v>12336</v>
      </c>
      <c r="D153" t="s">
        <v>12084</v>
      </c>
      <c r="F153" t="s">
        <v>11199</v>
      </c>
      <c r="G153" t="s">
        <v>6975</v>
      </c>
      <c r="H153" s="39"/>
      <c r="I153" s="39"/>
      <c r="J153" t="s">
        <v>12332</v>
      </c>
      <c r="K153" t="s">
        <v>12085</v>
      </c>
      <c r="L153" t="s">
        <v>12292</v>
      </c>
    </row>
    <row r="154" spans="1:14">
      <c r="A154" t="s">
        <v>12283</v>
      </c>
      <c r="B154" t="s">
        <v>12283</v>
      </c>
      <c r="C154" t="s">
        <v>12336</v>
      </c>
      <c r="D154" t="s">
        <v>12084</v>
      </c>
      <c r="F154" t="s">
        <v>11199</v>
      </c>
      <c r="G154" t="s">
        <v>6975</v>
      </c>
      <c r="H154" s="39"/>
      <c r="I154" s="39"/>
      <c r="J154" t="s">
        <v>12332</v>
      </c>
      <c r="K154" t="s">
        <v>12085</v>
      </c>
      <c r="L154" t="s">
        <v>12293</v>
      </c>
      <c r="M154" t="s">
        <v>8447</v>
      </c>
      <c r="N154">
        <v>30136415</v>
      </c>
    </row>
    <row r="155" spans="1:14">
      <c r="A155" t="s">
        <v>12284</v>
      </c>
      <c r="B155" t="s">
        <v>12284</v>
      </c>
      <c r="C155" t="s">
        <v>12336</v>
      </c>
      <c r="D155" t="s">
        <v>12084</v>
      </c>
      <c r="F155" t="s">
        <v>11199</v>
      </c>
      <c r="G155" t="s">
        <v>6975</v>
      </c>
      <c r="H155" s="39"/>
      <c r="I155" s="39"/>
      <c r="J155" t="s">
        <v>12332</v>
      </c>
      <c r="K155" t="s">
        <v>12085</v>
      </c>
      <c r="L155" t="s">
        <v>12294</v>
      </c>
    </row>
    <row r="156" spans="1:14">
      <c r="A156" t="s">
        <v>12285</v>
      </c>
      <c r="B156" t="s">
        <v>12285</v>
      </c>
      <c r="C156" t="s">
        <v>12336</v>
      </c>
      <c r="D156" t="s">
        <v>12084</v>
      </c>
      <c r="F156" t="s">
        <v>11199</v>
      </c>
      <c r="G156" t="s">
        <v>6975</v>
      </c>
      <c r="H156" s="39"/>
      <c r="I156" s="39"/>
      <c r="J156" t="s">
        <v>12332</v>
      </c>
      <c r="K156" t="s">
        <v>12085</v>
      </c>
      <c r="L156" t="s">
        <v>12295</v>
      </c>
    </row>
    <row r="157" spans="1:14">
      <c r="A157" t="s">
        <v>12286</v>
      </c>
      <c r="B157" t="s">
        <v>12286</v>
      </c>
      <c r="C157" t="s">
        <v>12336</v>
      </c>
      <c r="D157" t="s">
        <v>12084</v>
      </c>
      <c r="F157" t="s">
        <v>11199</v>
      </c>
      <c r="G157" t="s">
        <v>6975</v>
      </c>
      <c r="H157" s="39"/>
      <c r="I157" s="39"/>
      <c r="J157" t="s">
        <v>12332</v>
      </c>
      <c r="K157" t="s">
        <v>12085</v>
      </c>
      <c r="L157" t="s">
        <v>12296</v>
      </c>
      <c r="M157" t="s">
        <v>8447</v>
      </c>
    </row>
    <row r="158" spans="1:14">
      <c r="A158" t="s">
        <v>12287</v>
      </c>
      <c r="B158" t="s">
        <v>12287</v>
      </c>
      <c r="C158" t="s">
        <v>12336</v>
      </c>
      <c r="D158" t="s">
        <v>12084</v>
      </c>
      <c r="F158" t="s">
        <v>11199</v>
      </c>
      <c r="G158" t="s">
        <v>6975</v>
      </c>
      <c r="H158" s="39"/>
      <c r="I158" s="39"/>
      <c r="J158" t="s">
        <v>12332</v>
      </c>
      <c r="K158" t="s">
        <v>12085</v>
      </c>
      <c r="L158" t="s">
        <v>12297</v>
      </c>
      <c r="M158" t="s">
        <v>8447</v>
      </c>
      <c r="N158">
        <v>30223687</v>
      </c>
    </row>
    <row r="159" spans="1:14">
      <c r="A159" t="s">
        <v>12288</v>
      </c>
      <c r="B159" t="s">
        <v>12288</v>
      </c>
      <c r="C159" t="s">
        <v>12336</v>
      </c>
      <c r="D159" t="s">
        <v>12084</v>
      </c>
      <c r="F159" t="s">
        <v>11199</v>
      </c>
      <c r="G159" t="s">
        <v>6975</v>
      </c>
      <c r="H159" s="39"/>
      <c r="I159" s="39"/>
      <c r="J159" t="s">
        <v>12332</v>
      </c>
      <c r="K159" t="s">
        <v>12085</v>
      </c>
      <c r="L159" t="s">
        <v>12298</v>
      </c>
      <c r="M159" t="s">
        <v>8447</v>
      </c>
      <c r="N159">
        <v>30223688</v>
      </c>
    </row>
    <row r="160" spans="1:14">
      <c r="A160" t="s">
        <v>12299</v>
      </c>
      <c r="B160" t="s">
        <v>12299</v>
      </c>
      <c r="C160" t="s">
        <v>12337</v>
      </c>
      <c r="D160" t="s">
        <v>12084</v>
      </c>
      <c r="F160" t="s">
        <v>11199</v>
      </c>
      <c r="G160" t="s">
        <v>6975</v>
      </c>
      <c r="H160" s="39"/>
      <c r="I160" s="39"/>
      <c r="J160" t="s">
        <v>12415</v>
      </c>
      <c r="K160" t="s">
        <v>12085</v>
      </c>
      <c r="L160" t="s">
        <v>12340</v>
      </c>
    </row>
    <row r="161" spans="1:14">
      <c r="A161" t="s">
        <v>12300</v>
      </c>
      <c r="B161" t="s">
        <v>12300</v>
      </c>
      <c r="C161" t="s">
        <v>12337</v>
      </c>
      <c r="D161" t="s">
        <v>12084</v>
      </c>
      <c r="F161" t="s">
        <v>11199</v>
      </c>
      <c r="G161" t="s">
        <v>6975</v>
      </c>
      <c r="H161" s="39"/>
      <c r="I161" s="39"/>
      <c r="J161" t="s">
        <v>12415</v>
      </c>
      <c r="K161" t="s">
        <v>12085</v>
      </c>
      <c r="L161" t="s">
        <v>12341</v>
      </c>
    </row>
    <row r="162" spans="1:14">
      <c r="A162" t="s">
        <v>12301</v>
      </c>
      <c r="B162" t="s">
        <v>12301</v>
      </c>
      <c r="C162" t="s">
        <v>12337</v>
      </c>
      <c r="D162" t="s">
        <v>12084</v>
      </c>
      <c r="F162" t="s">
        <v>11199</v>
      </c>
      <c r="G162" t="s">
        <v>6975</v>
      </c>
      <c r="H162" s="39"/>
      <c r="I162" s="39"/>
      <c r="J162" t="s">
        <v>12415</v>
      </c>
      <c r="K162" t="s">
        <v>12085</v>
      </c>
      <c r="L162" t="s">
        <v>12342</v>
      </c>
    </row>
    <row r="163" spans="1:14">
      <c r="A163" t="s">
        <v>12302</v>
      </c>
      <c r="B163" t="s">
        <v>12302</v>
      </c>
      <c r="C163" t="s">
        <v>12337</v>
      </c>
      <c r="D163" t="s">
        <v>12084</v>
      </c>
      <c r="F163" t="s">
        <v>11199</v>
      </c>
      <c r="G163" t="s">
        <v>6975</v>
      </c>
      <c r="H163" s="39"/>
      <c r="I163" s="39"/>
      <c r="J163" t="s">
        <v>12415</v>
      </c>
      <c r="K163" t="s">
        <v>12085</v>
      </c>
      <c r="L163" t="s">
        <v>12343</v>
      </c>
    </row>
    <row r="164" spans="1:14">
      <c r="A164" t="s">
        <v>12303</v>
      </c>
      <c r="B164" t="s">
        <v>12303</v>
      </c>
      <c r="C164" t="s">
        <v>12337</v>
      </c>
      <c r="D164" t="s">
        <v>12084</v>
      </c>
      <c r="F164" t="s">
        <v>11199</v>
      </c>
      <c r="G164" t="s">
        <v>6975</v>
      </c>
      <c r="H164" s="39"/>
      <c r="I164" s="39"/>
      <c r="J164" t="s">
        <v>12415</v>
      </c>
      <c r="K164" t="s">
        <v>12085</v>
      </c>
      <c r="L164" t="s">
        <v>12344</v>
      </c>
    </row>
    <row r="165" spans="1:14">
      <c r="A165" t="s">
        <v>12304</v>
      </c>
      <c r="B165" t="s">
        <v>12304</v>
      </c>
      <c r="C165" t="s">
        <v>12337</v>
      </c>
      <c r="D165" t="s">
        <v>12084</v>
      </c>
      <c r="F165" t="s">
        <v>11199</v>
      </c>
      <c r="G165" t="s">
        <v>6975</v>
      </c>
      <c r="H165" s="39"/>
      <c r="I165" s="39"/>
      <c r="J165" t="s">
        <v>12415</v>
      </c>
      <c r="K165" t="s">
        <v>12085</v>
      </c>
      <c r="L165" t="s">
        <v>12345</v>
      </c>
    </row>
    <row r="166" spans="1:14">
      <c r="A166" t="s">
        <v>12305</v>
      </c>
      <c r="B166" t="s">
        <v>12305</v>
      </c>
      <c r="C166" t="s">
        <v>12337</v>
      </c>
      <c r="D166" t="s">
        <v>12084</v>
      </c>
      <c r="F166" t="s">
        <v>11199</v>
      </c>
      <c r="G166" t="s">
        <v>6975</v>
      </c>
      <c r="H166" s="39"/>
      <c r="I166" s="39"/>
      <c r="J166" t="s">
        <v>12415</v>
      </c>
      <c r="K166" t="s">
        <v>12085</v>
      </c>
      <c r="L166" t="s">
        <v>12346</v>
      </c>
    </row>
    <row r="167" spans="1:14">
      <c r="A167" t="s">
        <v>12306</v>
      </c>
      <c r="B167" t="s">
        <v>12306</v>
      </c>
      <c r="C167" t="s">
        <v>12337</v>
      </c>
      <c r="D167" t="s">
        <v>12084</v>
      </c>
      <c r="F167" t="s">
        <v>11199</v>
      </c>
      <c r="G167" t="s">
        <v>6975</v>
      </c>
      <c r="H167" s="39"/>
      <c r="I167" s="39"/>
      <c r="J167" t="s">
        <v>12415</v>
      </c>
      <c r="K167" t="s">
        <v>12085</v>
      </c>
      <c r="L167" t="s">
        <v>12347</v>
      </c>
      <c r="M167" t="s">
        <v>8447</v>
      </c>
      <c r="N167">
        <v>30223530</v>
      </c>
    </row>
    <row r="168" spans="1:14">
      <c r="A168" t="s">
        <v>12307</v>
      </c>
      <c r="B168" t="s">
        <v>12307</v>
      </c>
      <c r="C168" t="s">
        <v>12337</v>
      </c>
      <c r="D168" t="s">
        <v>12084</v>
      </c>
      <c r="F168" t="s">
        <v>11199</v>
      </c>
      <c r="G168" t="s">
        <v>6975</v>
      </c>
      <c r="H168" s="39"/>
      <c r="I168" s="39"/>
      <c r="J168" t="s">
        <v>12415</v>
      </c>
      <c r="K168" t="s">
        <v>12085</v>
      </c>
      <c r="L168" t="s">
        <v>12348</v>
      </c>
      <c r="M168" t="s">
        <v>8447</v>
      </c>
      <c r="N168">
        <v>30223531</v>
      </c>
    </row>
    <row r="169" spans="1:14">
      <c r="A169" t="s">
        <v>12308</v>
      </c>
      <c r="B169" t="s">
        <v>12308</v>
      </c>
      <c r="C169" t="s">
        <v>12337</v>
      </c>
      <c r="D169" t="s">
        <v>12084</v>
      </c>
      <c r="F169" t="s">
        <v>11199</v>
      </c>
      <c r="G169" t="s">
        <v>6975</v>
      </c>
      <c r="H169" s="39"/>
      <c r="I169" s="39"/>
      <c r="J169" t="s">
        <v>12415</v>
      </c>
      <c r="K169" t="s">
        <v>12085</v>
      </c>
      <c r="L169" t="s">
        <v>12349</v>
      </c>
      <c r="M169" t="s">
        <v>8447</v>
      </c>
    </row>
    <row r="170" spans="1:14">
      <c r="A170" t="s">
        <v>12309</v>
      </c>
      <c r="B170" t="s">
        <v>12309</v>
      </c>
      <c r="C170" t="s">
        <v>12338</v>
      </c>
      <c r="D170" t="s">
        <v>12084</v>
      </c>
      <c r="F170" t="s">
        <v>11199</v>
      </c>
      <c r="G170" t="s">
        <v>6975</v>
      </c>
      <c r="H170" s="39"/>
      <c r="I170" s="39"/>
      <c r="J170" t="s">
        <v>12416</v>
      </c>
      <c r="K170" t="s">
        <v>12085</v>
      </c>
      <c r="L170" t="s">
        <v>12350</v>
      </c>
      <c r="M170" t="s">
        <v>8447</v>
      </c>
      <c r="N170">
        <v>30136211</v>
      </c>
    </row>
    <row r="171" spans="1:14">
      <c r="A171" t="s">
        <v>12310</v>
      </c>
      <c r="B171" t="s">
        <v>12310</v>
      </c>
      <c r="C171" t="s">
        <v>12338</v>
      </c>
      <c r="D171" t="s">
        <v>12084</v>
      </c>
      <c r="F171" t="s">
        <v>11199</v>
      </c>
      <c r="G171" t="s">
        <v>6975</v>
      </c>
      <c r="H171" s="39"/>
      <c r="I171" s="39"/>
      <c r="J171" t="s">
        <v>12416</v>
      </c>
      <c r="K171" t="s">
        <v>12085</v>
      </c>
      <c r="L171" t="s">
        <v>12351</v>
      </c>
      <c r="M171" t="s">
        <v>8447</v>
      </c>
      <c r="N171">
        <v>14021753</v>
      </c>
    </row>
    <row r="172" spans="1:14">
      <c r="A172" t="s">
        <v>12311</v>
      </c>
      <c r="B172" t="s">
        <v>12311</v>
      </c>
      <c r="C172" t="s">
        <v>12338</v>
      </c>
      <c r="D172" t="s">
        <v>12084</v>
      </c>
      <c r="F172" t="s">
        <v>11199</v>
      </c>
      <c r="G172" t="s">
        <v>6975</v>
      </c>
      <c r="H172" s="39"/>
      <c r="I172" s="39"/>
      <c r="J172" t="s">
        <v>12416</v>
      </c>
      <c r="K172" t="s">
        <v>12085</v>
      </c>
      <c r="L172" t="s">
        <v>12352</v>
      </c>
      <c r="M172" t="s">
        <v>8447</v>
      </c>
      <c r="N172">
        <v>14021754</v>
      </c>
    </row>
    <row r="173" spans="1:14">
      <c r="A173" t="s">
        <v>12312</v>
      </c>
      <c r="B173" t="s">
        <v>12312</v>
      </c>
      <c r="C173" t="s">
        <v>12338</v>
      </c>
      <c r="D173" t="s">
        <v>12084</v>
      </c>
      <c r="F173" t="s">
        <v>11199</v>
      </c>
      <c r="G173" t="s">
        <v>6975</v>
      </c>
      <c r="H173" s="39"/>
      <c r="I173" s="39"/>
      <c r="J173" t="s">
        <v>12416</v>
      </c>
      <c r="K173" t="s">
        <v>12085</v>
      </c>
      <c r="L173" t="s">
        <v>12353</v>
      </c>
      <c r="M173" t="s">
        <v>8447</v>
      </c>
      <c r="N173">
        <v>14021757</v>
      </c>
    </row>
    <row r="174" spans="1:14">
      <c r="A174" t="s">
        <v>12313</v>
      </c>
      <c r="B174" t="s">
        <v>12313</v>
      </c>
      <c r="C174" t="s">
        <v>12338</v>
      </c>
      <c r="D174" t="s">
        <v>12084</v>
      </c>
      <c r="F174" t="s">
        <v>11199</v>
      </c>
      <c r="G174" t="s">
        <v>6975</v>
      </c>
      <c r="H174" s="39"/>
      <c r="I174" s="39"/>
      <c r="J174" t="s">
        <v>12416</v>
      </c>
      <c r="K174" t="s">
        <v>12085</v>
      </c>
      <c r="L174" t="s">
        <v>12354</v>
      </c>
      <c r="M174" t="s">
        <v>8447</v>
      </c>
      <c r="N174">
        <v>14021755</v>
      </c>
    </row>
    <row r="175" spans="1:14">
      <c r="A175" t="s">
        <v>12314</v>
      </c>
      <c r="B175" t="s">
        <v>12314</v>
      </c>
      <c r="C175" t="s">
        <v>12338</v>
      </c>
      <c r="D175" t="s">
        <v>12084</v>
      </c>
      <c r="F175" t="s">
        <v>11199</v>
      </c>
      <c r="G175" t="s">
        <v>6975</v>
      </c>
      <c r="H175" s="39"/>
      <c r="I175" s="39"/>
      <c r="J175" t="s">
        <v>12416</v>
      </c>
      <c r="K175" t="s">
        <v>12085</v>
      </c>
      <c r="L175" t="s">
        <v>12355</v>
      </c>
      <c r="M175" t="s">
        <v>8447</v>
      </c>
      <c r="N175">
        <v>14021756</v>
      </c>
    </row>
    <row r="176" spans="1:14">
      <c r="A176" t="s">
        <v>12315</v>
      </c>
      <c r="B176" t="s">
        <v>12315</v>
      </c>
      <c r="C176" t="s">
        <v>12338</v>
      </c>
      <c r="D176" t="s">
        <v>12084</v>
      </c>
      <c r="F176" t="s">
        <v>11199</v>
      </c>
      <c r="G176" t="s">
        <v>6975</v>
      </c>
      <c r="H176" s="39"/>
      <c r="I176" s="39"/>
      <c r="J176" t="s">
        <v>12416</v>
      </c>
      <c r="K176" t="s">
        <v>12085</v>
      </c>
      <c r="L176" t="s">
        <v>12356</v>
      </c>
    </row>
    <row r="177" spans="1:14">
      <c r="A177" t="s">
        <v>12316</v>
      </c>
      <c r="B177" t="s">
        <v>12316</v>
      </c>
      <c r="C177" t="s">
        <v>12338</v>
      </c>
      <c r="D177" t="s">
        <v>12084</v>
      </c>
      <c r="F177" t="s">
        <v>11199</v>
      </c>
      <c r="G177" t="s">
        <v>6975</v>
      </c>
      <c r="H177" s="39"/>
      <c r="I177" s="39"/>
      <c r="J177" t="s">
        <v>12416</v>
      </c>
      <c r="K177" t="s">
        <v>12085</v>
      </c>
      <c r="L177" t="s">
        <v>12357</v>
      </c>
      <c r="M177" t="s">
        <v>8447</v>
      </c>
      <c r="N177">
        <v>30136213</v>
      </c>
    </row>
    <row r="178" spans="1:14">
      <c r="A178" t="s">
        <v>12317</v>
      </c>
      <c r="B178" t="s">
        <v>12317</v>
      </c>
      <c r="C178" t="s">
        <v>12338</v>
      </c>
      <c r="D178" t="s">
        <v>12084</v>
      </c>
      <c r="F178" t="s">
        <v>11199</v>
      </c>
      <c r="G178" t="s">
        <v>6975</v>
      </c>
      <c r="H178" s="39"/>
      <c r="I178" s="39"/>
      <c r="J178" t="s">
        <v>12416</v>
      </c>
      <c r="K178" t="s">
        <v>12085</v>
      </c>
      <c r="L178" t="s">
        <v>12358</v>
      </c>
    </row>
    <row r="179" spans="1:14">
      <c r="A179" t="s">
        <v>12318</v>
      </c>
      <c r="B179" t="s">
        <v>12318</v>
      </c>
      <c r="C179" t="s">
        <v>12338</v>
      </c>
      <c r="D179" t="s">
        <v>12084</v>
      </c>
      <c r="F179" t="s">
        <v>11199</v>
      </c>
      <c r="G179" t="s">
        <v>6975</v>
      </c>
      <c r="H179" s="39"/>
      <c r="I179" s="39"/>
      <c r="J179" t="s">
        <v>12416</v>
      </c>
      <c r="K179" t="s">
        <v>12085</v>
      </c>
      <c r="L179" t="s">
        <v>12359</v>
      </c>
    </row>
    <row r="180" spans="1:14">
      <c r="A180" t="s">
        <v>12319</v>
      </c>
      <c r="B180" t="s">
        <v>12319</v>
      </c>
      <c r="C180" t="s">
        <v>12339</v>
      </c>
      <c r="D180" t="s">
        <v>12084</v>
      </c>
      <c r="F180" t="s">
        <v>11199</v>
      </c>
      <c r="G180" t="s">
        <v>6975</v>
      </c>
      <c r="H180" s="39"/>
      <c r="I180" s="39"/>
      <c r="J180" t="s">
        <v>12417</v>
      </c>
      <c r="K180" t="s">
        <v>12085</v>
      </c>
      <c r="L180" t="s">
        <v>12360</v>
      </c>
      <c r="M180" t="s">
        <v>8447</v>
      </c>
      <c r="N180">
        <v>14021809</v>
      </c>
    </row>
    <row r="181" spans="1:14">
      <c r="A181" t="s">
        <v>12320</v>
      </c>
      <c r="B181" t="s">
        <v>12320</v>
      </c>
      <c r="C181" t="s">
        <v>12339</v>
      </c>
      <c r="D181" t="s">
        <v>12084</v>
      </c>
      <c r="F181" t="s">
        <v>11199</v>
      </c>
      <c r="G181" t="s">
        <v>6975</v>
      </c>
      <c r="H181" s="39"/>
      <c r="I181" s="39"/>
      <c r="J181" t="s">
        <v>12417</v>
      </c>
      <c r="K181" t="s">
        <v>12085</v>
      </c>
      <c r="L181" t="s">
        <v>12361</v>
      </c>
      <c r="M181" t="s">
        <v>8447</v>
      </c>
      <c r="N181">
        <v>14021804</v>
      </c>
    </row>
    <row r="182" spans="1:14">
      <c r="A182" t="s">
        <v>12321</v>
      </c>
      <c r="B182" t="s">
        <v>12321</v>
      </c>
      <c r="C182" t="s">
        <v>12339</v>
      </c>
      <c r="D182" t="s">
        <v>12084</v>
      </c>
      <c r="F182" t="s">
        <v>11199</v>
      </c>
      <c r="G182" t="s">
        <v>6975</v>
      </c>
      <c r="H182" s="39"/>
      <c r="I182" s="39"/>
      <c r="J182" t="s">
        <v>12417</v>
      </c>
      <c r="K182" t="s">
        <v>12085</v>
      </c>
      <c r="L182" t="s">
        <v>12362</v>
      </c>
      <c r="M182" t="s">
        <v>8447</v>
      </c>
      <c r="N182">
        <v>14021805</v>
      </c>
    </row>
    <row r="183" spans="1:14">
      <c r="A183" t="s">
        <v>12322</v>
      </c>
      <c r="B183" t="s">
        <v>12322</v>
      </c>
      <c r="C183" t="s">
        <v>12339</v>
      </c>
      <c r="D183" t="s">
        <v>12084</v>
      </c>
      <c r="F183" t="s">
        <v>11199</v>
      </c>
      <c r="G183" t="s">
        <v>6975</v>
      </c>
      <c r="H183" s="39"/>
      <c r="I183" s="39"/>
      <c r="J183" t="s">
        <v>12417</v>
      </c>
      <c r="K183" t="s">
        <v>12085</v>
      </c>
      <c r="L183" t="s">
        <v>12363</v>
      </c>
      <c r="M183" t="s">
        <v>8447</v>
      </c>
      <c r="N183">
        <v>14021808</v>
      </c>
    </row>
    <row r="184" spans="1:14">
      <c r="A184" t="s">
        <v>12323</v>
      </c>
      <c r="B184" t="s">
        <v>12323</v>
      </c>
      <c r="C184" t="s">
        <v>12339</v>
      </c>
      <c r="D184" t="s">
        <v>12084</v>
      </c>
      <c r="F184" t="s">
        <v>11199</v>
      </c>
      <c r="G184" t="s">
        <v>6975</v>
      </c>
      <c r="H184" s="39"/>
      <c r="I184" s="39"/>
      <c r="J184" t="s">
        <v>12417</v>
      </c>
      <c r="K184" t="s">
        <v>12085</v>
      </c>
      <c r="L184" t="s">
        <v>12364</v>
      </c>
    </row>
    <row r="185" spans="1:14">
      <c r="A185" t="s">
        <v>12324</v>
      </c>
      <c r="B185" t="s">
        <v>12324</v>
      </c>
      <c r="C185" t="s">
        <v>12339</v>
      </c>
      <c r="D185" t="s">
        <v>12084</v>
      </c>
      <c r="F185" t="s">
        <v>11199</v>
      </c>
      <c r="G185" t="s">
        <v>6975</v>
      </c>
      <c r="H185" s="39"/>
      <c r="I185" s="39"/>
      <c r="J185" t="s">
        <v>12417</v>
      </c>
      <c r="K185" t="s">
        <v>12085</v>
      </c>
      <c r="L185" t="s">
        <v>12365</v>
      </c>
    </row>
    <row r="186" spans="1:14">
      <c r="A186" t="s">
        <v>12325</v>
      </c>
      <c r="B186" t="s">
        <v>12325</v>
      </c>
      <c r="C186" t="s">
        <v>12339</v>
      </c>
      <c r="D186" t="s">
        <v>12084</v>
      </c>
      <c r="F186" t="s">
        <v>11199</v>
      </c>
      <c r="G186" t="s">
        <v>6975</v>
      </c>
      <c r="H186" s="39"/>
      <c r="I186" s="39"/>
      <c r="J186" t="s">
        <v>12417</v>
      </c>
      <c r="K186" t="s">
        <v>12085</v>
      </c>
      <c r="L186" t="s">
        <v>12366</v>
      </c>
    </row>
    <row r="187" spans="1:14">
      <c r="A187" t="s">
        <v>12326</v>
      </c>
      <c r="B187" t="s">
        <v>12326</v>
      </c>
      <c r="C187" t="s">
        <v>12339</v>
      </c>
      <c r="D187" t="s">
        <v>12084</v>
      </c>
      <c r="F187" t="s">
        <v>11199</v>
      </c>
      <c r="G187" t="s">
        <v>6975</v>
      </c>
      <c r="H187" s="39"/>
      <c r="I187" s="39"/>
      <c r="J187" t="s">
        <v>12417</v>
      </c>
      <c r="K187" t="s">
        <v>12085</v>
      </c>
      <c r="L187" t="s">
        <v>12367</v>
      </c>
    </row>
    <row r="188" spans="1:14">
      <c r="A188" t="s">
        <v>12327</v>
      </c>
      <c r="B188" t="s">
        <v>12327</v>
      </c>
      <c r="C188" t="s">
        <v>12339</v>
      </c>
      <c r="D188" t="s">
        <v>12084</v>
      </c>
      <c r="F188" t="s">
        <v>11199</v>
      </c>
      <c r="G188" t="s">
        <v>6975</v>
      </c>
      <c r="H188" s="39"/>
      <c r="I188" s="39"/>
      <c r="J188" t="s">
        <v>12417</v>
      </c>
      <c r="K188" t="s">
        <v>12085</v>
      </c>
      <c r="L188" t="s">
        <v>12368</v>
      </c>
    </row>
    <row r="189" spans="1:14">
      <c r="A189" t="s">
        <v>12328</v>
      </c>
      <c r="B189" t="s">
        <v>12328</v>
      </c>
      <c r="C189" t="s">
        <v>12339</v>
      </c>
      <c r="D189" t="s">
        <v>12084</v>
      </c>
      <c r="F189" t="s">
        <v>11199</v>
      </c>
      <c r="G189" t="s">
        <v>6975</v>
      </c>
      <c r="H189" s="39"/>
      <c r="I189" s="39"/>
      <c r="J189" t="s">
        <v>12417</v>
      </c>
      <c r="K189" t="s">
        <v>12085</v>
      </c>
      <c r="L189" t="s">
        <v>12369</v>
      </c>
    </row>
    <row r="190" spans="1:14">
      <c r="A190" t="s">
        <v>12393</v>
      </c>
      <c r="B190" t="s">
        <v>12393</v>
      </c>
      <c r="C190" t="s">
        <v>12414</v>
      </c>
      <c r="D190" t="s">
        <v>12084</v>
      </c>
      <c r="F190" t="s">
        <v>11199</v>
      </c>
      <c r="G190" t="s">
        <v>6975</v>
      </c>
      <c r="H190" s="39"/>
      <c r="I190" s="39"/>
      <c r="J190" t="s">
        <v>12370</v>
      </c>
      <c r="K190" t="s">
        <v>12085</v>
      </c>
      <c r="L190" t="s">
        <v>12371</v>
      </c>
    </row>
    <row r="191" spans="1:14">
      <c r="A191" t="s">
        <v>12394</v>
      </c>
      <c r="B191" t="s">
        <v>12394</v>
      </c>
      <c r="C191" t="s">
        <v>12414</v>
      </c>
      <c r="D191" t="s">
        <v>12084</v>
      </c>
      <c r="F191" t="s">
        <v>11199</v>
      </c>
      <c r="G191" t="s">
        <v>6975</v>
      </c>
      <c r="H191" s="39"/>
      <c r="I191" s="39"/>
      <c r="J191" t="s">
        <v>12370</v>
      </c>
      <c r="K191" t="s">
        <v>12085</v>
      </c>
      <c r="L191" t="s">
        <v>12372</v>
      </c>
      <c r="M191" t="s">
        <v>8447</v>
      </c>
      <c r="N191">
        <v>30136393</v>
      </c>
    </row>
    <row r="192" spans="1:14">
      <c r="A192" t="s">
        <v>12395</v>
      </c>
      <c r="B192" t="s">
        <v>12395</v>
      </c>
      <c r="C192" t="s">
        <v>12414</v>
      </c>
      <c r="D192" t="s">
        <v>12084</v>
      </c>
      <c r="F192" t="s">
        <v>11199</v>
      </c>
      <c r="G192" t="s">
        <v>6975</v>
      </c>
      <c r="H192" s="39"/>
      <c r="I192" s="39"/>
      <c r="J192" t="s">
        <v>12370</v>
      </c>
      <c r="K192" t="s">
        <v>12085</v>
      </c>
      <c r="L192" t="s">
        <v>12373</v>
      </c>
      <c r="M192" t="s">
        <v>8447</v>
      </c>
      <c r="N192">
        <v>30136394</v>
      </c>
    </row>
    <row r="193" spans="1:14">
      <c r="A193" t="s">
        <v>12396</v>
      </c>
      <c r="B193" t="s">
        <v>12396</v>
      </c>
      <c r="C193" t="s">
        <v>12414</v>
      </c>
      <c r="D193" t="s">
        <v>12084</v>
      </c>
      <c r="F193" t="s">
        <v>11199</v>
      </c>
      <c r="G193" t="s">
        <v>6975</v>
      </c>
      <c r="H193" s="39"/>
      <c r="I193" s="39"/>
      <c r="J193" t="s">
        <v>12370</v>
      </c>
      <c r="K193" t="s">
        <v>12085</v>
      </c>
      <c r="L193" t="s">
        <v>12374</v>
      </c>
      <c r="M193" t="s">
        <v>8447</v>
      </c>
      <c r="N193">
        <v>30136395</v>
      </c>
    </row>
    <row r="194" spans="1:14">
      <c r="A194" t="s">
        <v>12397</v>
      </c>
      <c r="B194" t="s">
        <v>12397</v>
      </c>
      <c r="C194" t="s">
        <v>12414</v>
      </c>
      <c r="D194" t="s">
        <v>12084</v>
      </c>
      <c r="F194" t="s">
        <v>11199</v>
      </c>
      <c r="G194" t="s">
        <v>6975</v>
      </c>
      <c r="H194" s="39"/>
      <c r="I194" s="39"/>
      <c r="J194" t="s">
        <v>12370</v>
      </c>
      <c r="K194" t="s">
        <v>12085</v>
      </c>
      <c r="L194" t="s">
        <v>12375</v>
      </c>
      <c r="M194" t="s">
        <v>8447</v>
      </c>
      <c r="N194">
        <v>30136396</v>
      </c>
    </row>
    <row r="195" spans="1:14">
      <c r="A195" t="s">
        <v>12398</v>
      </c>
      <c r="B195" t="s">
        <v>12398</v>
      </c>
      <c r="C195" t="s">
        <v>12414</v>
      </c>
      <c r="D195" t="s">
        <v>12084</v>
      </c>
      <c r="F195" t="s">
        <v>11199</v>
      </c>
      <c r="G195" t="s">
        <v>6975</v>
      </c>
      <c r="H195" s="39"/>
      <c r="I195" s="39"/>
      <c r="J195" t="s">
        <v>12370</v>
      </c>
      <c r="K195" t="s">
        <v>12085</v>
      </c>
      <c r="L195" t="s">
        <v>12376</v>
      </c>
    </row>
    <row r="196" spans="1:14">
      <c r="A196" t="s">
        <v>12399</v>
      </c>
      <c r="B196" t="s">
        <v>12399</v>
      </c>
      <c r="C196" t="s">
        <v>12414</v>
      </c>
      <c r="D196" t="s">
        <v>12084</v>
      </c>
      <c r="F196" t="s">
        <v>11199</v>
      </c>
      <c r="G196" t="s">
        <v>6975</v>
      </c>
      <c r="H196" s="39"/>
      <c r="I196" s="39"/>
      <c r="J196" t="s">
        <v>12370</v>
      </c>
      <c r="K196" t="s">
        <v>12085</v>
      </c>
      <c r="L196" t="s">
        <v>12377</v>
      </c>
    </row>
    <row r="197" spans="1:14">
      <c r="A197" t="s">
        <v>12400</v>
      </c>
      <c r="B197" t="s">
        <v>12400</v>
      </c>
      <c r="C197" t="s">
        <v>12414</v>
      </c>
      <c r="D197" t="s">
        <v>12084</v>
      </c>
      <c r="F197" t="s">
        <v>11199</v>
      </c>
      <c r="G197" t="s">
        <v>6975</v>
      </c>
      <c r="H197" s="39"/>
      <c r="I197" s="39"/>
      <c r="J197" t="s">
        <v>12370</v>
      </c>
      <c r="K197" t="s">
        <v>12085</v>
      </c>
      <c r="L197" t="s">
        <v>12378</v>
      </c>
      <c r="M197" t="s">
        <v>8447</v>
      </c>
      <c r="N197">
        <v>30136399</v>
      </c>
    </row>
    <row r="198" spans="1:14">
      <c r="A198" t="s">
        <v>12401</v>
      </c>
      <c r="B198" t="s">
        <v>12401</v>
      </c>
      <c r="C198" t="s">
        <v>12414</v>
      </c>
      <c r="D198" t="s">
        <v>12084</v>
      </c>
      <c r="F198" t="s">
        <v>11199</v>
      </c>
      <c r="G198" t="s">
        <v>6975</v>
      </c>
      <c r="H198" s="39"/>
      <c r="I198" s="39"/>
      <c r="J198" t="s">
        <v>12370</v>
      </c>
      <c r="K198" t="s">
        <v>12085</v>
      </c>
      <c r="L198" t="s">
        <v>12379</v>
      </c>
      <c r="M198" t="s">
        <v>8447</v>
      </c>
      <c r="N198">
        <v>30136400</v>
      </c>
    </row>
    <row r="199" spans="1:14">
      <c r="A199" t="s">
        <v>12402</v>
      </c>
      <c r="B199" t="s">
        <v>12402</v>
      </c>
      <c r="C199" t="s">
        <v>12414</v>
      </c>
      <c r="D199" t="s">
        <v>12084</v>
      </c>
      <c r="F199" t="s">
        <v>11199</v>
      </c>
      <c r="G199" t="s">
        <v>6975</v>
      </c>
      <c r="H199" s="39"/>
      <c r="I199" s="39"/>
      <c r="J199" t="s">
        <v>12370</v>
      </c>
      <c r="K199" t="s">
        <v>12085</v>
      </c>
      <c r="L199" t="s">
        <v>12380</v>
      </c>
    </row>
    <row r="200" spans="1:14">
      <c r="A200" t="s">
        <v>12403</v>
      </c>
      <c r="B200" t="s">
        <v>12403</v>
      </c>
      <c r="C200" t="s">
        <v>12404</v>
      </c>
      <c r="D200" t="s">
        <v>12084</v>
      </c>
      <c r="F200" t="s">
        <v>11199</v>
      </c>
      <c r="G200" t="s">
        <v>6975</v>
      </c>
      <c r="H200" s="39"/>
      <c r="I200" s="39"/>
      <c r="J200" t="s">
        <v>12392</v>
      </c>
      <c r="K200" t="s">
        <v>12085</v>
      </c>
      <c r="L200" t="s">
        <v>12381</v>
      </c>
    </row>
    <row r="201" spans="1:14">
      <c r="A201" t="s">
        <v>12405</v>
      </c>
      <c r="B201" t="s">
        <v>12405</v>
      </c>
      <c r="C201" t="s">
        <v>12404</v>
      </c>
      <c r="D201" t="s">
        <v>12084</v>
      </c>
      <c r="F201" t="s">
        <v>11199</v>
      </c>
      <c r="G201" t="s">
        <v>6975</v>
      </c>
      <c r="H201" s="39"/>
      <c r="I201" s="39"/>
      <c r="J201" t="s">
        <v>12392</v>
      </c>
      <c r="K201" t="s">
        <v>12085</v>
      </c>
      <c r="L201" t="s">
        <v>12382</v>
      </c>
      <c r="M201" t="s">
        <v>8447</v>
      </c>
      <c r="N201">
        <v>30136403</v>
      </c>
    </row>
    <row r="202" spans="1:14">
      <c r="A202" t="s">
        <v>12406</v>
      </c>
      <c r="B202" t="s">
        <v>12406</v>
      </c>
      <c r="C202" t="s">
        <v>12404</v>
      </c>
      <c r="D202" t="s">
        <v>12084</v>
      </c>
      <c r="F202" t="s">
        <v>11199</v>
      </c>
      <c r="G202" t="s">
        <v>6975</v>
      </c>
      <c r="H202" s="39"/>
      <c r="I202" s="39"/>
      <c r="J202" t="s">
        <v>12392</v>
      </c>
      <c r="K202" t="s">
        <v>12085</v>
      </c>
      <c r="L202" t="s">
        <v>12383</v>
      </c>
      <c r="M202" t="s">
        <v>8447</v>
      </c>
      <c r="N202">
        <v>30136404</v>
      </c>
    </row>
    <row r="203" spans="1:14">
      <c r="A203" t="s">
        <v>12407</v>
      </c>
      <c r="B203" t="s">
        <v>12407</v>
      </c>
      <c r="C203" t="s">
        <v>12404</v>
      </c>
      <c r="D203" t="s">
        <v>12084</v>
      </c>
      <c r="F203" t="s">
        <v>11199</v>
      </c>
      <c r="G203" t="s">
        <v>6975</v>
      </c>
      <c r="H203" s="39"/>
      <c r="I203" s="39"/>
      <c r="J203" t="s">
        <v>12392</v>
      </c>
      <c r="K203" t="s">
        <v>12085</v>
      </c>
      <c r="L203" t="s">
        <v>12384</v>
      </c>
      <c r="M203" t="s">
        <v>8447</v>
      </c>
      <c r="N203">
        <v>30136405</v>
      </c>
    </row>
    <row r="204" spans="1:14">
      <c r="A204" t="s">
        <v>12408</v>
      </c>
      <c r="B204" t="s">
        <v>12408</v>
      </c>
      <c r="C204" t="s">
        <v>12404</v>
      </c>
      <c r="D204" t="s">
        <v>12084</v>
      </c>
      <c r="F204" t="s">
        <v>11199</v>
      </c>
      <c r="G204" t="s">
        <v>6975</v>
      </c>
      <c r="H204" s="39"/>
      <c r="I204" s="39"/>
      <c r="J204" t="s">
        <v>12392</v>
      </c>
      <c r="K204" t="s">
        <v>12085</v>
      </c>
      <c r="L204" t="s">
        <v>12385</v>
      </c>
    </row>
    <row r="205" spans="1:14">
      <c r="A205" t="s">
        <v>12409</v>
      </c>
      <c r="B205" t="s">
        <v>12409</v>
      </c>
      <c r="C205" t="s">
        <v>12404</v>
      </c>
      <c r="D205" t="s">
        <v>12084</v>
      </c>
      <c r="F205" t="s">
        <v>11199</v>
      </c>
      <c r="G205" t="s">
        <v>6975</v>
      </c>
      <c r="H205" s="39"/>
      <c r="I205" s="39"/>
      <c r="J205" t="s">
        <v>12392</v>
      </c>
      <c r="K205" t="s">
        <v>12085</v>
      </c>
      <c r="L205" t="s">
        <v>12386</v>
      </c>
    </row>
    <row r="206" spans="1:14">
      <c r="A206" t="s">
        <v>12410</v>
      </c>
      <c r="B206" t="s">
        <v>12410</v>
      </c>
      <c r="C206" t="s">
        <v>12404</v>
      </c>
      <c r="D206" t="s">
        <v>12084</v>
      </c>
      <c r="F206" t="s">
        <v>11199</v>
      </c>
      <c r="G206" t="s">
        <v>6975</v>
      </c>
      <c r="H206" s="39"/>
      <c r="I206" s="39"/>
      <c r="J206" t="s">
        <v>12392</v>
      </c>
      <c r="K206" t="s">
        <v>12085</v>
      </c>
      <c r="L206" t="s">
        <v>12387</v>
      </c>
    </row>
    <row r="207" spans="1:14">
      <c r="A207" t="s">
        <v>12411</v>
      </c>
      <c r="B207" t="s">
        <v>12411</v>
      </c>
      <c r="C207" t="s">
        <v>12404</v>
      </c>
      <c r="D207" t="s">
        <v>12084</v>
      </c>
      <c r="F207" t="s">
        <v>11199</v>
      </c>
      <c r="G207" t="s">
        <v>6975</v>
      </c>
      <c r="H207" s="39"/>
      <c r="I207" s="39"/>
      <c r="J207" t="s">
        <v>12392</v>
      </c>
      <c r="K207" t="s">
        <v>12085</v>
      </c>
      <c r="L207" t="s">
        <v>12388</v>
      </c>
      <c r="M207" t="s">
        <v>8447</v>
      </c>
      <c r="N207">
        <v>30136409</v>
      </c>
    </row>
    <row r="208" spans="1:14">
      <c r="A208" t="s">
        <v>12412</v>
      </c>
      <c r="B208" t="s">
        <v>12412</v>
      </c>
      <c r="C208" t="s">
        <v>12404</v>
      </c>
      <c r="D208" t="s">
        <v>12084</v>
      </c>
      <c r="F208" t="s">
        <v>11199</v>
      </c>
      <c r="G208" t="s">
        <v>6975</v>
      </c>
      <c r="H208" s="39"/>
      <c r="I208" s="39"/>
      <c r="J208" t="s">
        <v>12392</v>
      </c>
      <c r="K208" t="s">
        <v>12085</v>
      </c>
      <c r="L208" t="s">
        <v>12389</v>
      </c>
      <c r="M208" t="s">
        <v>8447</v>
      </c>
      <c r="N208">
        <v>30136410</v>
      </c>
    </row>
    <row r="209" spans="1:14">
      <c r="A209" t="s">
        <v>12413</v>
      </c>
      <c r="B209" t="s">
        <v>12413</v>
      </c>
      <c r="C209" t="s">
        <v>12404</v>
      </c>
      <c r="D209" t="s">
        <v>12084</v>
      </c>
      <c r="F209" t="s">
        <v>11199</v>
      </c>
      <c r="G209" t="s">
        <v>6975</v>
      </c>
      <c r="H209" s="39"/>
      <c r="I209" s="39"/>
      <c r="J209" t="s">
        <v>12392</v>
      </c>
      <c r="K209" t="s">
        <v>12085</v>
      </c>
      <c r="L209" t="s">
        <v>12391</v>
      </c>
    </row>
    <row r="210" spans="1:14">
      <c r="A210" t="s">
        <v>12171</v>
      </c>
      <c r="B210" t="s">
        <v>12171</v>
      </c>
      <c r="C210" t="s">
        <v>12172</v>
      </c>
      <c r="D210" t="s">
        <v>12173</v>
      </c>
      <c r="F210" t="s">
        <v>8453</v>
      </c>
      <c r="G210" t="s">
        <v>12174</v>
      </c>
      <c r="H210" t="s">
        <v>8455</v>
      </c>
      <c r="I210" t="s">
        <v>12171</v>
      </c>
      <c r="J210" t="s">
        <v>12175</v>
      </c>
      <c r="K210" t="s">
        <v>12173</v>
      </c>
      <c r="L210" t="s">
        <v>12171</v>
      </c>
      <c r="M210" t="s">
        <v>25</v>
      </c>
      <c r="N210" t="s">
        <v>12176</v>
      </c>
    </row>
    <row r="211" spans="1:14">
      <c r="A211" t="s">
        <v>12192</v>
      </c>
      <c r="B211" t="s">
        <v>12192</v>
      </c>
      <c r="C211" t="s">
        <v>12178</v>
      </c>
      <c r="D211" t="s">
        <v>12191</v>
      </c>
      <c r="F211" t="s">
        <v>7986</v>
      </c>
      <c r="G211" t="s">
        <v>7987</v>
      </c>
      <c r="H211" t="s">
        <v>7988</v>
      </c>
      <c r="I211" t="s">
        <v>12220</v>
      </c>
      <c r="J211" t="s">
        <v>12177</v>
      </c>
      <c r="K211" t="s">
        <v>12191</v>
      </c>
      <c r="L211" t="s">
        <v>12192</v>
      </c>
      <c r="M211" t="s">
        <v>25</v>
      </c>
      <c r="N211" t="s">
        <v>12222</v>
      </c>
    </row>
    <row r="212" spans="1:14">
      <c r="A212" t="s">
        <v>12193</v>
      </c>
      <c r="B212" t="s">
        <v>12193</v>
      </c>
      <c r="C212" t="s">
        <v>12179</v>
      </c>
      <c r="D212" t="s">
        <v>12191</v>
      </c>
      <c r="F212" t="s">
        <v>7986</v>
      </c>
      <c r="G212" t="s">
        <v>12219</v>
      </c>
      <c r="H212" t="s">
        <v>7988</v>
      </c>
      <c r="I212" t="s">
        <v>12221</v>
      </c>
      <c r="J212" t="s">
        <v>12177</v>
      </c>
      <c r="K212" t="s">
        <v>12191</v>
      </c>
      <c r="L212" t="s">
        <v>12193</v>
      </c>
      <c r="M212" t="s">
        <v>25</v>
      </c>
      <c r="N212" t="s">
        <v>12223</v>
      </c>
    </row>
    <row r="213" spans="1:14">
      <c r="A213" t="s">
        <v>12194</v>
      </c>
      <c r="B213" t="s">
        <v>12194</v>
      </c>
      <c r="C213" t="s">
        <v>12180</v>
      </c>
      <c r="D213" t="s">
        <v>12191</v>
      </c>
      <c r="F213" t="s">
        <v>7986</v>
      </c>
      <c r="G213" t="s">
        <v>12219</v>
      </c>
      <c r="H213" t="s">
        <v>7988</v>
      </c>
      <c r="I213" t="s">
        <v>12221</v>
      </c>
      <c r="J213" t="s">
        <v>12177</v>
      </c>
      <c r="K213" t="s">
        <v>12191</v>
      </c>
      <c r="L213" t="s">
        <v>12194</v>
      </c>
      <c r="M213" t="s">
        <v>25</v>
      </c>
      <c r="N213" t="s">
        <v>12224</v>
      </c>
    </row>
    <row r="214" spans="1:14">
      <c r="A214" t="s">
        <v>12195</v>
      </c>
      <c r="B214" t="s">
        <v>12195</v>
      </c>
      <c r="C214" t="s">
        <v>12179</v>
      </c>
      <c r="D214" t="s">
        <v>12191</v>
      </c>
      <c r="F214" t="s">
        <v>7986</v>
      </c>
      <c r="G214" t="s">
        <v>12219</v>
      </c>
      <c r="H214" t="s">
        <v>7988</v>
      </c>
      <c r="I214" t="s">
        <v>12221</v>
      </c>
      <c r="J214" t="s">
        <v>12177</v>
      </c>
      <c r="K214" t="s">
        <v>12191</v>
      </c>
      <c r="L214" t="s">
        <v>12195</v>
      </c>
      <c r="M214" t="s">
        <v>25</v>
      </c>
      <c r="N214" t="s">
        <v>12225</v>
      </c>
    </row>
    <row r="215" spans="1:14">
      <c r="A215" t="s">
        <v>12196</v>
      </c>
      <c r="B215" t="s">
        <v>12196</v>
      </c>
      <c r="C215" t="s">
        <v>12181</v>
      </c>
      <c r="D215" t="s">
        <v>12191</v>
      </c>
      <c r="F215" t="s">
        <v>7986</v>
      </c>
      <c r="G215" t="s">
        <v>12219</v>
      </c>
      <c r="H215" t="s">
        <v>7988</v>
      </c>
      <c r="I215" t="s">
        <v>12221</v>
      </c>
      <c r="J215" t="s">
        <v>12177</v>
      </c>
      <c r="K215" t="s">
        <v>12191</v>
      </c>
      <c r="L215" t="s">
        <v>12196</v>
      </c>
      <c r="M215" t="s">
        <v>25</v>
      </c>
      <c r="N215" t="s">
        <v>12226</v>
      </c>
    </row>
    <row r="216" spans="1:14">
      <c r="A216" t="s">
        <v>12197</v>
      </c>
      <c r="B216" t="s">
        <v>12197</v>
      </c>
      <c r="C216" t="s">
        <v>12182</v>
      </c>
      <c r="D216" t="s">
        <v>12191</v>
      </c>
      <c r="F216" t="s">
        <v>7986</v>
      </c>
      <c r="G216" t="s">
        <v>12219</v>
      </c>
      <c r="H216" t="s">
        <v>7988</v>
      </c>
      <c r="I216" t="s">
        <v>12221</v>
      </c>
      <c r="J216" t="s">
        <v>12177</v>
      </c>
      <c r="K216" t="s">
        <v>12191</v>
      </c>
      <c r="L216" t="s">
        <v>12197</v>
      </c>
      <c r="M216" t="s">
        <v>25</v>
      </c>
      <c r="N216" t="s">
        <v>12227</v>
      </c>
    </row>
    <row r="217" spans="1:14">
      <c r="A217" t="s">
        <v>12198</v>
      </c>
      <c r="B217" t="s">
        <v>12198</v>
      </c>
      <c r="C217" t="s">
        <v>12183</v>
      </c>
      <c r="D217" t="s">
        <v>12191</v>
      </c>
      <c r="F217" t="s">
        <v>7986</v>
      </c>
      <c r="G217" t="s">
        <v>7987</v>
      </c>
      <c r="H217" t="s">
        <v>7988</v>
      </c>
      <c r="I217" t="s">
        <v>12220</v>
      </c>
      <c r="J217" t="s">
        <v>12177</v>
      </c>
      <c r="K217" t="s">
        <v>12191</v>
      </c>
      <c r="L217" t="s">
        <v>12198</v>
      </c>
      <c r="M217" t="s">
        <v>25</v>
      </c>
      <c r="N217" t="s">
        <v>12228</v>
      </c>
    </row>
    <row r="218" spans="1:14">
      <c r="A218" t="s">
        <v>12199</v>
      </c>
      <c r="B218" t="s">
        <v>12199</v>
      </c>
      <c r="C218" t="s">
        <v>12182</v>
      </c>
      <c r="D218" t="s">
        <v>12191</v>
      </c>
      <c r="F218" t="s">
        <v>7986</v>
      </c>
      <c r="G218" t="s">
        <v>12219</v>
      </c>
      <c r="H218" t="s">
        <v>7988</v>
      </c>
      <c r="I218" t="s">
        <v>12221</v>
      </c>
      <c r="J218" t="s">
        <v>12177</v>
      </c>
      <c r="K218" t="s">
        <v>12191</v>
      </c>
      <c r="L218" t="s">
        <v>12199</v>
      </c>
      <c r="M218" t="s">
        <v>25</v>
      </c>
      <c r="N218" t="s">
        <v>12229</v>
      </c>
    </row>
    <row r="219" spans="1:14">
      <c r="A219" t="s">
        <v>12200</v>
      </c>
      <c r="B219" t="s">
        <v>12200</v>
      </c>
      <c r="C219" t="s">
        <v>12181</v>
      </c>
      <c r="D219" t="s">
        <v>12191</v>
      </c>
      <c r="F219" t="s">
        <v>7986</v>
      </c>
      <c r="G219" t="s">
        <v>12219</v>
      </c>
      <c r="H219" t="s">
        <v>7988</v>
      </c>
      <c r="I219" t="s">
        <v>12221</v>
      </c>
      <c r="J219" t="s">
        <v>12177</v>
      </c>
      <c r="K219" t="s">
        <v>12191</v>
      </c>
      <c r="L219" t="s">
        <v>12200</v>
      </c>
      <c r="M219" t="s">
        <v>25</v>
      </c>
      <c r="N219" t="s">
        <v>12230</v>
      </c>
    </row>
    <row r="220" spans="1:14">
      <c r="A220" t="s">
        <v>12201</v>
      </c>
      <c r="B220" t="s">
        <v>12201</v>
      </c>
      <c r="C220" t="s">
        <v>12184</v>
      </c>
      <c r="D220" t="s">
        <v>12191</v>
      </c>
      <c r="F220" t="s">
        <v>7986</v>
      </c>
      <c r="G220" t="s">
        <v>7987</v>
      </c>
      <c r="H220" t="s">
        <v>7988</v>
      </c>
      <c r="I220" t="s">
        <v>12220</v>
      </c>
      <c r="J220" t="s">
        <v>12177</v>
      </c>
      <c r="K220" t="s">
        <v>12191</v>
      </c>
      <c r="L220" t="s">
        <v>12201</v>
      </c>
      <c r="M220" t="s">
        <v>25</v>
      </c>
      <c r="N220" t="s">
        <v>12231</v>
      </c>
    </row>
    <row r="221" spans="1:14">
      <c r="A221" t="s">
        <v>12202</v>
      </c>
      <c r="B221" t="s">
        <v>12202</v>
      </c>
      <c r="C221" t="s">
        <v>12185</v>
      </c>
      <c r="D221" t="s">
        <v>12191</v>
      </c>
      <c r="F221" t="s">
        <v>7986</v>
      </c>
      <c r="G221" t="s">
        <v>7987</v>
      </c>
      <c r="H221" t="s">
        <v>7988</v>
      </c>
      <c r="I221" t="s">
        <v>12220</v>
      </c>
      <c r="J221" t="s">
        <v>12177</v>
      </c>
      <c r="K221" t="s">
        <v>12191</v>
      </c>
      <c r="L221" t="s">
        <v>12202</v>
      </c>
      <c r="M221" t="s">
        <v>25</v>
      </c>
      <c r="N221" t="s">
        <v>12232</v>
      </c>
    </row>
    <row r="222" spans="1:14">
      <c r="A222" t="s">
        <v>12203</v>
      </c>
      <c r="B222" t="s">
        <v>12203</v>
      </c>
      <c r="C222" t="s">
        <v>12184</v>
      </c>
      <c r="D222" t="s">
        <v>12191</v>
      </c>
      <c r="F222" t="s">
        <v>7986</v>
      </c>
      <c r="G222" t="s">
        <v>7987</v>
      </c>
      <c r="H222" t="s">
        <v>7988</v>
      </c>
      <c r="I222" t="s">
        <v>12220</v>
      </c>
      <c r="J222" t="s">
        <v>12177</v>
      </c>
      <c r="K222" t="s">
        <v>12191</v>
      </c>
      <c r="L222" t="s">
        <v>12203</v>
      </c>
      <c r="M222" t="s">
        <v>25</v>
      </c>
      <c r="N222" t="s">
        <v>12233</v>
      </c>
    </row>
    <row r="223" spans="1:14">
      <c r="A223" t="s">
        <v>12204</v>
      </c>
      <c r="B223" t="s">
        <v>12204</v>
      </c>
      <c r="C223" t="s">
        <v>12180</v>
      </c>
      <c r="D223" t="s">
        <v>12191</v>
      </c>
      <c r="F223" t="s">
        <v>7986</v>
      </c>
      <c r="G223" t="s">
        <v>12219</v>
      </c>
      <c r="H223" t="s">
        <v>7988</v>
      </c>
      <c r="I223" t="s">
        <v>12221</v>
      </c>
      <c r="J223" t="s">
        <v>12177</v>
      </c>
      <c r="K223" t="s">
        <v>12191</v>
      </c>
      <c r="L223" t="s">
        <v>12204</v>
      </c>
      <c r="M223" t="s">
        <v>25</v>
      </c>
      <c r="N223" t="s">
        <v>12234</v>
      </c>
    </row>
    <row r="224" spans="1:14">
      <c r="A224" t="s">
        <v>12205</v>
      </c>
      <c r="B224" t="s">
        <v>12205</v>
      </c>
      <c r="C224" t="s">
        <v>12180</v>
      </c>
      <c r="D224" t="s">
        <v>12191</v>
      </c>
      <c r="F224" t="s">
        <v>7986</v>
      </c>
      <c r="G224" t="s">
        <v>12219</v>
      </c>
      <c r="H224" t="s">
        <v>7988</v>
      </c>
      <c r="I224" t="s">
        <v>12221</v>
      </c>
      <c r="J224" t="s">
        <v>12177</v>
      </c>
      <c r="K224" t="s">
        <v>12191</v>
      </c>
      <c r="L224" t="s">
        <v>12205</v>
      </c>
      <c r="M224" t="s">
        <v>25</v>
      </c>
      <c r="N224" t="s">
        <v>12235</v>
      </c>
    </row>
    <row r="225" spans="1:18">
      <c r="A225" t="s">
        <v>12206</v>
      </c>
      <c r="B225" t="s">
        <v>12206</v>
      </c>
      <c r="C225" t="s">
        <v>12178</v>
      </c>
      <c r="D225" t="s">
        <v>12191</v>
      </c>
      <c r="F225" t="s">
        <v>7986</v>
      </c>
      <c r="G225" t="s">
        <v>7987</v>
      </c>
      <c r="H225" t="s">
        <v>7988</v>
      </c>
      <c r="I225" t="s">
        <v>12220</v>
      </c>
      <c r="J225" t="s">
        <v>12177</v>
      </c>
      <c r="K225" t="s">
        <v>12191</v>
      </c>
      <c r="L225" t="s">
        <v>12206</v>
      </c>
      <c r="M225" t="s">
        <v>25</v>
      </c>
      <c r="N225" t="s">
        <v>12236</v>
      </c>
    </row>
    <row r="226" spans="1:18">
      <c r="A226" t="s">
        <v>12207</v>
      </c>
      <c r="B226" t="s">
        <v>12207</v>
      </c>
      <c r="C226" t="s">
        <v>12178</v>
      </c>
      <c r="D226" t="s">
        <v>12191</v>
      </c>
      <c r="F226" t="s">
        <v>7986</v>
      </c>
      <c r="G226" t="s">
        <v>7987</v>
      </c>
      <c r="H226" t="s">
        <v>7988</v>
      </c>
      <c r="I226" t="s">
        <v>12220</v>
      </c>
      <c r="J226" t="s">
        <v>12177</v>
      </c>
      <c r="K226" t="s">
        <v>12191</v>
      </c>
      <c r="L226" t="s">
        <v>12207</v>
      </c>
      <c r="M226" t="s">
        <v>25</v>
      </c>
      <c r="N226" t="s">
        <v>12237</v>
      </c>
    </row>
    <row r="227" spans="1:18">
      <c r="A227" t="s">
        <v>12208</v>
      </c>
      <c r="B227" t="s">
        <v>12208</v>
      </c>
      <c r="C227" t="s">
        <v>12185</v>
      </c>
      <c r="D227" t="s">
        <v>12191</v>
      </c>
      <c r="F227" t="s">
        <v>7986</v>
      </c>
      <c r="G227" t="s">
        <v>7987</v>
      </c>
      <c r="H227" t="s">
        <v>7988</v>
      </c>
      <c r="I227" t="s">
        <v>12220</v>
      </c>
      <c r="J227" t="s">
        <v>12177</v>
      </c>
      <c r="K227" t="s">
        <v>12191</v>
      </c>
      <c r="L227" t="s">
        <v>12208</v>
      </c>
      <c r="M227" t="s">
        <v>25</v>
      </c>
      <c r="N227" t="s">
        <v>12238</v>
      </c>
    </row>
    <row r="228" spans="1:18">
      <c r="A228" t="s">
        <v>12209</v>
      </c>
      <c r="B228" t="s">
        <v>12209</v>
      </c>
      <c r="C228" t="s">
        <v>12182</v>
      </c>
      <c r="D228" t="s">
        <v>12191</v>
      </c>
      <c r="F228" t="s">
        <v>7986</v>
      </c>
      <c r="G228" t="s">
        <v>12219</v>
      </c>
      <c r="H228" t="s">
        <v>7988</v>
      </c>
      <c r="I228" t="s">
        <v>12221</v>
      </c>
      <c r="J228" t="s">
        <v>12177</v>
      </c>
      <c r="K228" t="s">
        <v>12191</v>
      </c>
      <c r="L228" t="s">
        <v>12209</v>
      </c>
      <c r="M228" t="s">
        <v>25</v>
      </c>
      <c r="N228" t="s">
        <v>12239</v>
      </c>
    </row>
    <row r="229" spans="1:18">
      <c r="A229" t="s">
        <v>12210</v>
      </c>
      <c r="B229" t="s">
        <v>12210</v>
      </c>
      <c r="C229" t="s">
        <v>12186</v>
      </c>
      <c r="D229" t="s">
        <v>12191</v>
      </c>
      <c r="F229" t="s">
        <v>7986</v>
      </c>
      <c r="G229" t="s">
        <v>12219</v>
      </c>
      <c r="H229" t="s">
        <v>7988</v>
      </c>
      <c r="I229" t="s">
        <v>12221</v>
      </c>
      <c r="J229" t="s">
        <v>12177</v>
      </c>
      <c r="K229" t="s">
        <v>12191</v>
      </c>
      <c r="L229" t="s">
        <v>12210</v>
      </c>
      <c r="M229" t="s">
        <v>25</v>
      </c>
      <c r="N229" t="s">
        <v>12240</v>
      </c>
    </row>
    <row r="230" spans="1:18">
      <c r="A230" t="s">
        <v>12211</v>
      </c>
      <c r="B230" t="s">
        <v>12211</v>
      </c>
      <c r="C230" t="s">
        <v>12180</v>
      </c>
      <c r="D230" t="s">
        <v>12191</v>
      </c>
      <c r="F230" t="s">
        <v>7986</v>
      </c>
      <c r="G230" t="s">
        <v>12219</v>
      </c>
      <c r="H230" t="s">
        <v>7988</v>
      </c>
      <c r="I230" t="s">
        <v>12221</v>
      </c>
      <c r="J230" t="s">
        <v>12177</v>
      </c>
      <c r="K230" t="s">
        <v>12191</v>
      </c>
      <c r="L230" t="s">
        <v>12211</v>
      </c>
      <c r="M230" t="s">
        <v>25</v>
      </c>
      <c r="N230" t="s">
        <v>12241</v>
      </c>
    </row>
    <row r="231" spans="1:18">
      <c r="A231" t="s">
        <v>12212</v>
      </c>
      <c r="B231" t="s">
        <v>12212</v>
      </c>
      <c r="C231" t="s">
        <v>12185</v>
      </c>
      <c r="D231" t="s">
        <v>12191</v>
      </c>
      <c r="F231" t="s">
        <v>7986</v>
      </c>
      <c r="G231" t="s">
        <v>7987</v>
      </c>
      <c r="H231" t="s">
        <v>7988</v>
      </c>
      <c r="I231" t="s">
        <v>12220</v>
      </c>
      <c r="J231" t="s">
        <v>12177</v>
      </c>
      <c r="K231" t="s">
        <v>12191</v>
      </c>
      <c r="L231" t="s">
        <v>12212</v>
      </c>
      <c r="M231" t="s">
        <v>25</v>
      </c>
      <c r="N231" t="s">
        <v>12242</v>
      </c>
    </row>
    <row r="232" spans="1:18">
      <c r="A232" t="s">
        <v>12213</v>
      </c>
      <c r="B232" t="s">
        <v>12213</v>
      </c>
      <c r="C232" t="s">
        <v>12187</v>
      </c>
      <c r="D232" t="s">
        <v>12191</v>
      </c>
      <c r="F232" t="s">
        <v>7986</v>
      </c>
      <c r="G232" t="s">
        <v>7987</v>
      </c>
      <c r="H232" t="s">
        <v>7988</v>
      </c>
      <c r="I232" t="s">
        <v>12220</v>
      </c>
      <c r="J232" t="s">
        <v>12177</v>
      </c>
      <c r="K232" t="s">
        <v>12191</v>
      </c>
      <c r="L232" t="s">
        <v>12213</v>
      </c>
      <c r="M232" t="s">
        <v>25</v>
      </c>
      <c r="N232" t="s">
        <v>12243</v>
      </c>
    </row>
    <row r="233" spans="1:18">
      <c r="A233" t="s">
        <v>12214</v>
      </c>
      <c r="B233" t="s">
        <v>12214</v>
      </c>
      <c r="C233" t="s">
        <v>12188</v>
      </c>
      <c r="D233" t="s">
        <v>12191</v>
      </c>
      <c r="F233" t="s">
        <v>7986</v>
      </c>
      <c r="G233" t="s">
        <v>12219</v>
      </c>
      <c r="H233" t="s">
        <v>7988</v>
      </c>
      <c r="I233" t="s">
        <v>12221</v>
      </c>
      <c r="J233" t="s">
        <v>12177</v>
      </c>
      <c r="K233" t="s">
        <v>12191</v>
      </c>
      <c r="L233" t="s">
        <v>12214</v>
      </c>
      <c r="M233" t="s">
        <v>25</v>
      </c>
      <c r="N233" t="s">
        <v>12244</v>
      </c>
    </row>
    <row r="234" spans="1:18">
      <c r="A234" t="s">
        <v>12215</v>
      </c>
      <c r="B234" t="s">
        <v>12215</v>
      </c>
      <c r="C234" t="s">
        <v>12184</v>
      </c>
      <c r="D234" t="s">
        <v>12191</v>
      </c>
      <c r="F234" t="s">
        <v>7986</v>
      </c>
      <c r="G234" t="s">
        <v>7987</v>
      </c>
      <c r="H234" t="s">
        <v>7988</v>
      </c>
      <c r="I234" t="s">
        <v>12220</v>
      </c>
      <c r="J234" t="s">
        <v>12177</v>
      </c>
      <c r="K234" t="s">
        <v>12191</v>
      </c>
      <c r="L234" t="s">
        <v>12215</v>
      </c>
      <c r="M234" t="s">
        <v>25</v>
      </c>
      <c r="N234" t="s">
        <v>12245</v>
      </c>
    </row>
    <row r="235" spans="1:18">
      <c r="A235" t="s">
        <v>12216</v>
      </c>
      <c r="B235" t="s">
        <v>12216</v>
      </c>
      <c r="C235" t="s">
        <v>12189</v>
      </c>
      <c r="D235" t="s">
        <v>12191</v>
      </c>
      <c r="F235" t="s">
        <v>7986</v>
      </c>
      <c r="G235" t="s">
        <v>7987</v>
      </c>
      <c r="H235" t="s">
        <v>7988</v>
      </c>
      <c r="I235" t="s">
        <v>12220</v>
      </c>
      <c r="J235" t="s">
        <v>12177</v>
      </c>
      <c r="K235" t="s">
        <v>12191</v>
      </c>
      <c r="L235" t="s">
        <v>12216</v>
      </c>
      <c r="M235" t="s">
        <v>25</v>
      </c>
      <c r="N235" t="s">
        <v>12246</v>
      </c>
    </row>
    <row r="236" spans="1:18">
      <c r="A236" t="s">
        <v>12217</v>
      </c>
      <c r="B236" t="s">
        <v>12217</v>
      </c>
      <c r="C236" t="s">
        <v>12190</v>
      </c>
      <c r="D236" t="s">
        <v>12191</v>
      </c>
      <c r="F236" t="s">
        <v>7986</v>
      </c>
      <c r="G236" t="s">
        <v>12219</v>
      </c>
      <c r="H236" t="s">
        <v>7988</v>
      </c>
      <c r="I236" t="s">
        <v>12221</v>
      </c>
      <c r="J236" t="s">
        <v>12177</v>
      </c>
      <c r="K236" t="s">
        <v>12191</v>
      </c>
      <c r="L236" t="s">
        <v>12217</v>
      </c>
      <c r="M236" t="s">
        <v>25</v>
      </c>
      <c r="N236" t="s">
        <v>12247</v>
      </c>
    </row>
    <row r="237" spans="1:18">
      <c r="A237" t="s">
        <v>12218</v>
      </c>
      <c r="B237" t="s">
        <v>12218</v>
      </c>
      <c r="C237" t="s">
        <v>12183</v>
      </c>
      <c r="D237" t="s">
        <v>12191</v>
      </c>
      <c r="F237" t="s">
        <v>7986</v>
      </c>
      <c r="G237" t="s">
        <v>7987</v>
      </c>
      <c r="H237" t="s">
        <v>7988</v>
      </c>
      <c r="I237" t="s">
        <v>12220</v>
      </c>
      <c r="J237" t="s">
        <v>12177</v>
      </c>
      <c r="K237" t="s">
        <v>12191</v>
      </c>
      <c r="L237" t="s">
        <v>12218</v>
      </c>
      <c r="M237" t="s">
        <v>25</v>
      </c>
      <c r="N237" t="s">
        <v>12248</v>
      </c>
    </row>
    <row r="238" spans="1:18">
      <c r="A238" t="s">
        <v>12513</v>
      </c>
      <c r="B238" t="s">
        <v>12513</v>
      </c>
      <c r="C238" t="s">
        <v>12521</v>
      </c>
      <c r="D238" t="s">
        <v>12522</v>
      </c>
      <c r="F238" t="s">
        <v>8453</v>
      </c>
      <c r="G238" t="s">
        <v>12519</v>
      </c>
      <c r="H238" t="s">
        <v>8455</v>
      </c>
      <c r="I238" t="s">
        <v>12518</v>
      </c>
      <c r="J238" t="s">
        <v>12540</v>
      </c>
      <c r="K238" t="s">
        <v>12522</v>
      </c>
      <c r="L238">
        <v>7346710</v>
      </c>
      <c r="M238" t="s">
        <v>8447</v>
      </c>
      <c r="N238">
        <v>30403424</v>
      </c>
      <c r="O238" t="s">
        <v>12522</v>
      </c>
      <c r="P238">
        <v>7346710</v>
      </c>
      <c r="Q238" t="s">
        <v>11193</v>
      </c>
      <c r="R238">
        <v>7346710</v>
      </c>
    </row>
    <row r="239" spans="1:18">
      <c r="A239" t="s">
        <v>12523</v>
      </c>
      <c r="B239" t="s">
        <v>12523</v>
      </c>
      <c r="C239" t="s">
        <v>12527</v>
      </c>
      <c r="D239" t="s">
        <v>12522</v>
      </c>
      <c r="F239" t="s">
        <v>8453</v>
      </c>
      <c r="G239" t="s">
        <v>12520</v>
      </c>
      <c r="H239" t="s">
        <v>8455</v>
      </c>
      <c r="I239" t="s">
        <v>12533</v>
      </c>
      <c r="J239" t="s">
        <v>12545</v>
      </c>
      <c r="K239" t="s">
        <v>12522</v>
      </c>
      <c r="L239" t="s">
        <v>12544</v>
      </c>
      <c r="M239" t="s">
        <v>11193</v>
      </c>
      <c r="N239" t="s">
        <v>12544</v>
      </c>
    </row>
    <row r="240" spans="1:18">
      <c r="A240" t="s">
        <v>12515</v>
      </c>
      <c r="B240" t="s">
        <v>12515</v>
      </c>
      <c r="C240" t="s">
        <v>12516</v>
      </c>
      <c r="D240" t="s">
        <v>12522</v>
      </c>
      <c r="F240" t="s">
        <v>8453</v>
      </c>
      <c r="G240" t="s">
        <v>12520</v>
      </c>
      <c r="H240" t="s">
        <v>8455</v>
      </c>
      <c r="I240" t="s">
        <v>12534</v>
      </c>
      <c r="J240" t="s">
        <v>12541</v>
      </c>
      <c r="K240" t="s">
        <v>12522</v>
      </c>
      <c r="L240">
        <v>7346704</v>
      </c>
      <c r="M240" t="s">
        <v>8447</v>
      </c>
      <c r="N240">
        <v>30403423</v>
      </c>
      <c r="O240" t="s">
        <v>12522</v>
      </c>
      <c r="P240" t="s">
        <v>12542</v>
      </c>
      <c r="Q240" t="s">
        <v>11193</v>
      </c>
      <c r="R240" t="s">
        <v>12542</v>
      </c>
    </row>
    <row r="241" spans="1:18">
      <c r="A241" t="s">
        <v>12514</v>
      </c>
      <c r="B241" t="s">
        <v>12514</v>
      </c>
      <c r="C241" t="s">
        <v>12517</v>
      </c>
      <c r="D241" t="s">
        <v>12522</v>
      </c>
      <c r="F241" t="s">
        <v>8453</v>
      </c>
      <c r="G241" t="s">
        <v>12520</v>
      </c>
      <c r="H241" t="s">
        <v>8455</v>
      </c>
      <c r="I241" t="s">
        <v>12518</v>
      </c>
      <c r="J241" t="s">
        <v>12548</v>
      </c>
      <c r="K241" t="s">
        <v>12522</v>
      </c>
      <c r="L241">
        <v>7346716</v>
      </c>
      <c r="M241" t="s">
        <v>8447</v>
      </c>
      <c r="N241">
        <v>30395366</v>
      </c>
      <c r="O241" t="s">
        <v>12522</v>
      </c>
      <c r="P241" t="s">
        <v>12543</v>
      </c>
      <c r="Q241" t="s">
        <v>11193</v>
      </c>
      <c r="R241" t="s">
        <v>12543</v>
      </c>
    </row>
    <row r="242" spans="1:18">
      <c r="A242" t="s">
        <v>12524</v>
      </c>
      <c r="B242" t="s">
        <v>12524</v>
      </c>
      <c r="C242" t="s">
        <v>12528</v>
      </c>
      <c r="D242" t="s">
        <v>12522</v>
      </c>
      <c r="F242" t="s">
        <v>8453</v>
      </c>
      <c r="G242" t="s">
        <v>12520</v>
      </c>
      <c r="H242" t="s">
        <v>8455</v>
      </c>
      <c r="I242" t="s">
        <v>12535</v>
      </c>
      <c r="J242" t="s">
        <v>12547</v>
      </c>
      <c r="K242" t="s">
        <v>12522</v>
      </c>
      <c r="L242" t="s">
        <v>12546</v>
      </c>
      <c r="M242" t="s">
        <v>11193</v>
      </c>
      <c r="N242" t="s">
        <v>12546</v>
      </c>
      <c r="O242" t="s">
        <v>12522</v>
      </c>
    </row>
    <row r="243" spans="1:18">
      <c r="A243" t="s">
        <v>12525</v>
      </c>
      <c r="B243" t="s">
        <v>12525</v>
      </c>
      <c r="C243" t="s">
        <v>12529</v>
      </c>
      <c r="D243" t="s">
        <v>12522</v>
      </c>
      <c r="F243" t="s">
        <v>8453</v>
      </c>
      <c r="G243" t="s">
        <v>12520</v>
      </c>
      <c r="H243" t="s">
        <v>8455</v>
      </c>
      <c r="I243" t="s">
        <v>12536</v>
      </c>
      <c r="J243" t="s">
        <v>12550</v>
      </c>
      <c r="K243" t="s">
        <v>12522</v>
      </c>
      <c r="L243" t="s">
        <v>12549</v>
      </c>
      <c r="M243" t="s">
        <v>11193</v>
      </c>
      <c r="N243" t="s">
        <v>12549</v>
      </c>
      <c r="O243" t="s">
        <v>12522</v>
      </c>
      <c r="Q243" t="s">
        <v>11193</v>
      </c>
      <c r="R243" t="s">
        <v>12539</v>
      </c>
    </row>
    <row r="244" spans="1:18">
      <c r="A244" t="s">
        <v>12526</v>
      </c>
      <c r="B244" t="s">
        <v>12526</v>
      </c>
      <c r="C244" t="s">
        <v>12530</v>
      </c>
      <c r="D244" t="s">
        <v>12522</v>
      </c>
      <c r="F244" t="s">
        <v>8453</v>
      </c>
      <c r="G244" t="s">
        <v>12520</v>
      </c>
      <c r="H244" t="s">
        <v>8455</v>
      </c>
      <c r="I244" t="s">
        <v>12537</v>
      </c>
      <c r="J244" t="s">
        <v>12552</v>
      </c>
      <c r="K244" t="s">
        <v>12522</v>
      </c>
      <c r="L244" t="s">
        <v>12551</v>
      </c>
      <c r="M244" t="s">
        <v>11193</v>
      </c>
      <c r="N244" t="s">
        <v>12551</v>
      </c>
      <c r="O244" t="s">
        <v>12522</v>
      </c>
    </row>
    <row r="245" spans="1:18">
      <c r="A245" t="s">
        <v>12531</v>
      </c>
      <c r="B245" t="s">
        <v>12531</v>
      </c>
      <c r="C245" t="s">
        <v>12532</v>
      </c>
      <c r="D245" t="s">
        <v>12522</v>
      </c>
      <c r="F245" t="s">
        <v>8453</v>
      </c>
      <c r="G245" t="s">
        <v>12520</v>
      </c>
      <c r="H245" t="s">
        <v>8455</v>
      </c>
      <c r="I245" t="s">
        <v>12538</v>
      </c>
      <c r="J245" t="s">
        <v>12553</v>
      </c>
      <c r="K245" t="s">
        <v>12522</v>
      </c>
      <c r="L245" t="s">
        <v>12554</v>
      </c>
      <c r="M245" t="s">
        <v>11193</v>
      </c>
      <c r="N245" t="s">
        <v>12554</v>
      </c>
      <c r="O245" t="s">
        <v>12522</v>
      </c>
    </row>
    <row r="246" spans="1:18">
      <c r="A246" t="s">
        <v>12555</v>
      </c>
      <c r="B246" t="s">
        <v>12557</v>
      </c>
      <c r="C246" t="s">
        <v>12569</v>
      </c>
      <c r="F246" t="s">
        <v>8453</v>
      </c>
      <c r="G246" t="s">
        <v>12520</v>
      </c>
      <c r="H246" t="s">
        <v>8455</v>
      </c>
      <c r="I246" t="s">
        <v>12590</v>
      </c>
      <c r="J246" t="s">
        <v>12603</v>
      </c>
      <c r="K246" t="s">
        <v>12191</v>
      </c>
      <c r="L246" t="s">
        <v>12604</v>
      </c>
      <c r="M246" t="s">
        <v>25</v>
      </c>
      <c r="N246" t="s">
        <v>12625</v>
      </c>
    </row>
    <row r="247" spans="1:18">
      <c r="A247" t="s">
        <v>12556</v>
      </c>
      <c r="B247" t="s">
        <v>12557</v>
      </c>
      <c r="C247" t="s">
        <v>12570</v>
      </c>
      <c r="F247" t="s">
        <v>8453</v>
      </c>
      <c r="G247" t="s">
        <v>12520</v>
      </c>
      <c r="H247" t="s">
        <v>8455</v>
      </c>
      <c r="I247" t="s">
        <v>12591</v>
      </c>
      <c r="J247" t="s">
        <v>12603</v>
      </c>
      <c r="K247" t="s">
        <v>12191</v>
      </c>
      <c r="L247" t="s">
        <v>12605</v>
      </c>
      <c r="M247" t="s">
        <v>25</v>
      </c>
      <c r="N247" t="s">
        <v>12626</v>
      </c>
    </row>
    <row r="248" spans="1:18">
      <c r="A248" t="s">
        <v>12558</v>
      </c>
      <c r="B248" t="s">
        <v>12557</v>
      </c>
      <c r="C248" t="s">
        <v>12571</v>
      </c>
      <c r="F248" t="s">
        <v>8453</v>
      </c>
      <c r="G248" t="s">
        <v>12520</v>
      </c>
      <c r="H248" t="s">
        <v>8455</v>
      </c>
      <c r="I248" t="s">
        <v>12594</v>
      </c>
      <c r="J248" t="s">
        <v>12603</v>
      </c>
      <c r="K248" t="s">
        <v>12191</v>
      </c>
      <c r="L248" t="s">
        <v>12606</v>
      </c>
      <c r="M248" t="s">
        <v>25</v>
      </c>
      <c r="N248" t="s">
        <v>12627</v>
      </c>
    </row>
    <row r="249" spans="1:18">
      <c r="A249" t="s">
        <v>12559</v>
      </c>
      <c r="B249" t="s">
        <v>12557</v>
      </c>
      <c r="C249" t="s">
        <v>12572</v>
      </c>
      <c r="F249" t="s">
        <v>8453</v>
      </c>
      <c r="G249" t="s">
        <v>12520</v>
      </c>
      <c r="H249" t="s">
        <v>8455</v>
      </c>
      <c r="I249" t="s">
        <v>12595</v>
      </c>
      <c r="J249" t="s">
        <v>12603</v>
      </c>
      <c r="K249" t="s">
        <v>12191</v>
      </c>
      <c r="L249" t="s">
        <v>12607</v>
      </c>
      <c r="M249" t="s">
        <v>25</v>
      </c>
      <c r="N249" t="s">
        <v>12628</v>
      </c>
    </row>
    <row r="250" spans="1:18">
      <c r="A250" t="s">
        <v>12560</v>
      </c>
      <c r="B250" t="s">
        <v>12557</v>
      </c>
      <c r="C250" t="s">
        <v>12573</v>
      </c>
      <c r="F250" t="s">
        <v>8453</v>
      </c>
      <c r="G250" t="s">
        <v>12520</v>
      </c>
      <c r="H250" t="s">
        <v>8455</v>
      </c>
      <c r="I250" t="s">
        <v>12596</v>
      </c>
      <c r="J250" t="s">
        <v>12603</v>
      </c>
      <c r="K250" t="s">
        <v>12191</v>
      </c>
      <c r="L250" t="s">
        <v>12608</v>
      </c>
      <c r="M250" t="s">
        <v>25</v>
      </c>
      <c r="N250" t="s">
        <v>12629</v>
      </c>
    </row>
    <row r="251" spans="1:18">
      <c r="A251" t="s">
        <v>12561</v>
      </c>
      <c r="B251" t="s">
        <v>12557</v>
      </c>
      <c r="C251" t="s">
        <v>12574</v>
      </c>
      <c r="F251" t="s">
        <v>8453</v>
      </c>
      <c r="G251" t="s">
        <v>12520</v>
      </c>
      <c r="H251" t="s">
        <v>8455</v>
      </c>
      <c r="I251" t="s">
        <v>12597</v>
      </c>
      <c r="J251" t="s">
        <v>12603</v>
      </c>
      <c r="K251" t="s">
        <v>12191</v>
      </c>
      <c r="L251" t="s">
        <v>12609</v>
      </c>
      <c r="M251" t="s">
        <v>25</v>
      </c>
      <c r="N251" t="s">
        <v>12630</v>
      </c>
    </row>
    <row r="252" spans="1:18">
      <c r="A252" t="s">
        <v>12562</v>
      </c>
      <c r="B252" t="s">
        <v>12557</v>
      </c>
      <c r="C252" t="s">
        <v>12575</v>
      </c>
      <c r="F252" t="s">
        <v>8453</v>
      </c>
      <c r="G252" t="s">
        <v>12520</v>
      </c>
      <c r="H252" t="s">
        <v>8455</v>
      </c>
      <c r="I252" t="s">
        <v>12598</v>
      </c>
      <c r="J252" t="s">
        <v>12603</v>
      </c>
      <c r="K252" t="s">
        <v>12191</v>
      </c>
      <c r="L252" t="s">
        <v>12610</v>
      </c>
      <c r="M252" t="s">
        <v>25</v>
      </c>
      <c r="N252" t="s">
        <v>12631</v>
      </c>
    </row>
    <row r="253" spans="1:18">
      <c r="A253" t="s">
        <v>12563</v>
      </c>
      <c r="B253" t="s">
        <v>12557</v>
      </c>
      <c r="C253" t="s">
        <v>12576</v>
      </c>
      <c r="F253" t="s">
        <v>8453</v>
      </c>
      <c r="G253" t="s">
        <v>12520</v>
      </c>
      <c r="H253" t="s">
        <v>8455</v>
      </c>
      <c r="I253" t="s">
        <v>12599</v>
      </c>
      <c r="J253" t="s">
        <v>12603</v>
      </c>
      <c r="K253" t="s">
        <v>12191</v>
      </c>
      <c r="L253" t="s">
        <v>12611</v>
      </c>
      <c r="M253" t="s">
        <v>25</v>
      </c>
      <c r="N253" t="s">
        <v>12632</v>
      </c>
    </row>
    <row r="254" spans="1:18">
      <c r="A254" t="s">
        <v>12564</v>
      </c>
      <c r="B254" t="s">
        <v>12557</v>
      </c>
      <c r="C254" t="s">
        <v>12577</v>
      </c>
      <c r="F254" t="s">
        <v>8453</v>
      </c>
      <c r="G254" t="s">
        <v>12520</v>
      </c>
      <c r="H254" t="s">
        <v>8455</v>
      </c>
      <c r="I254" t="s">
        <v>12600</v>
      </c>
      <c r="J254" t="s">
        <v>12603</v>
      </c>
      <c r="K254" t="s">
        <v>12191</v>
      </c>
      <c r="L254" t="s">
        <v>12612</v>
      </c>
      <c r="M254" t="s">
        <v>25</v>
      </c>
      <c r="N254" t="s">
        <v>12633</v>
      </c>
    </row>
    <row r="255" spans="1:18">
      <c r="A255" t="s">
        <v>12565</v>
      </c>
      <c r="B255" t="s">
        <v>12557</v>
      </c>
      <c r="C255" t="s">
        <v>12578</v>
      </c>
      <c r="F255" t="s">
        <v>8453</v>
      </c>
      <c r="G255" t="s">
        <v>12520</v>
      </c>
      <c r="H255" t="s">
        <v>8455</v>
      </c>
      <c r="I255" t="s">
        <v>12592</v>
      </c>
      <c r="J255" t="s">
        <v>12603</v>
      </c>
      <c r="K255" t="s">
        <v>12191</v>
      </c>
      <c r="L255" t="s">
        <v>12613</v>
      </c>
      <c r="M255" t="s">
        <v>25</v>
      </c>
      <c r="N255" t="s">
        <v>12634</v>
      </c>
    </row>
    <row r="256" spans="1:18">
      <c r="A256" t="s">
        <v>12566</v>
      </c>
      <c r="B256" t="s">
        <v>12557</v>
      </c>
      <c r="C256" t="s">
        <v>12579</v>
      </c>
      <c r="F256" t="s">
        <v>8453</v>
      </c>
      <c r="G256" t="s">
        <v>12520</v>
      </c>
      <c r="H256" t="s">
        <v>8455</v>
      </c>
      <c r="I256" t="s">
        <v>12601</v>
      </c>
      <c r="J256" t="s">
        <v>12603</v>
      </c>
      <c r="K256" t="s">
        <v>12191</v>
      </c>
      <c r="L256" t="s">
        <v>12614</v>
      </c>
      <c r="M256" t="s">
        <v>25</v>
      </c>
      <c r="N256" t="s">
        <v>12635</v>
      </c>
    </row>
    <row r="257" spans="1:23">
      <c r="A257" t="s">
        <v>12567</v>
      </c>
      <c r="B257" t="s">
        <v>12557</v>
      </c>
      <c r="C257" t="s">
        <v>12580</v>
      </c>
      <c r="F257" t="s">
        <v>8453</v>
      </c>
      <c r="G257" t="s">
        <v>12520</v>
      </c>
      <c r="H257" t="s">
        <v>8455</v>
      </c>
      <c r="I257" t="s">
        <v>12593</v>
      </c>
      <c r="J257" t="s">
        <v>12603</v>
      </c>
      <c r="K257" t="s">
        <v>12191</v>
      </c>
      <c r="L257" t="s">
        <v>12615</v>
      </c>
      <c r="M257" t="s">
        <v>25</v>
      </c>
      <c r="N257" t="s">
        <v>12636</v>
      </c>
    </row>
    <row r="258" spans="1:23">
      <c r="A258" t="s">
        <v>12568</v>
      </c>
      <c r="B258" t="s">
        <v>12557</v>
      </c>
      <c r="C258" t="s">
        <v>12581</v>
      </c>
      <c r="F258" t="s">
        <v>8453</v>
      </c>
      <c r="G258" t="s">
        <v>12520</v>
      </c>
      <c r="H258" t="s">
        <v>8455</v>
      </c>
      <c r="I258" t="s">
        <v>12602</v>
      </c>
      <c r="J258" t="s">
        <v>12603</v>
      </c>
      <c r="K258" t="s">
        <v>12191</v>
      </c>
      <c r="L258" t="s">
        <v>12616</v>
      </c>
      <c r="M258" t="s">
        <v>25</v>
      </c>
      <c r="N258" t="s">
        <v>12637</v>
      </c>
    </row>
    <row r="259" spans="1:23">
      <c r="A259" t="s">
        <v>12582</v>
      </c>
      <c r="B259" t="s">
        <v>12557</v>
      </c>
      <c r="C259" t="s">
        <v>12586</v>
      </c>
      <c r="F259" t="s">
        <v>8453</v>
      </c>
      <c r="G259" t="s">
        <v>12520</v>
      </c>
      <c r="H259" t="s">
        <v>8455</v>
      </c>
      <c r="I259" t="s">
        <v>12591</v>
      </c>
      <c r="J259" t="s">
        <v>12603</v>
      </c>
      <c r="K259" t="s">
        <v>12191</v>
      </c>
      <c r="L259" t="s">
        <v>12617</v>
      </c>
      <c r="M259" t="s">
        <v>25</v>
      </c>
      <c r="N259" t="s">
        <v>12621</v>
      </c>
    </row>
    <row r="260" spans="1:23">
      <c r="A260" t="s">
        <v>12583</v>
      </c>
      <c r="B260" t="s">
        <v>12557</v>
      </c>
      <c r="C260" t="s">
        <v>12587</v>
      </c>
      <c r="F260" t="s">
        <v>8453</v>
      </c>
      <c r="G260" t="s">
        <v>12520</v>
      </c>
      <c r="H260" t="s">
        <v>8455</v>
      </c>
      <c r="I260" t="s">
        <v>12597</v>
      </c>
      <c r="J260" t="s">
        <v>12603</v>
      </c>
      <c r="K260" t="s">
        <v>12191</v>
      </c>
      <c r="L260" t="s">
        <v>12618</v>
      </c>
      <c r="M260" t="s">
        <v>25</v>
      </c>
      <c r="N260" t="s">
        <v>12622</v>
      </c>
    </row>
    <row r="261" spans="1:23">
      <c r="A261" t="s">
        <v>12584</v>
      </c>
      <c r="B261" t="s">
        <v>12557</v>
      </c>
      <c r="C261" t="s">
        <v>12588</v>
      </c>
      <c r="F261" t="s">
        <v>8453</v>
      </c>
      <c r="G261" t="s">
        <v>12520</v>
      </c>
      <c r="H261" t="s">
        <v>8455</v>
      </c>
      <c r="I261" t="s">
        <v>12592</v>
      </c>
      <c r="J261" t="s">
        <v>12603</v>
      </c>
      <c r="K261" t="s">
        <v>12191</v>
      </c>
      <c r="L261" t="s">
        <v>12619</v>
      </c>
      <c r="M261" t="s">
        <v>25</v>
      </c>
      <c r="N261" t="s">
        <v>12623</v>
      </c>
    </row>
    <row r="262" spans="1:23">
      <c r="A262" t="s">
        <v>12585</v>
      </c>
      <c r="B262" t="s">
        <v>12557</v>
      </c>
      <c r="C262" t="s">
        <v>12589</v>
      </c>
      <c r="F262" t="s">
        <v>8453</v>
      </c>
      <c r="G262" t="s">
        <v>12520</v>
      </c>
      <c r="H262" t="s">
        <v>8455</v>
      </c>
      <c r="I262" t="s">
        <v>12602</v>
      </c>
      <c r="J262" t="s">
        <v>12603</v>
      </c>
      <c r="K262" t="s">
        <v>12191</v>
      </c>
      <c r="L262" t="s">
        <v>12620</v>
      </c>
      <c r="M262" t="s">
        <v>25</v>
      </c>
      <c r="N262" t="s">
        <v>12624</v>
      </c>
    </row>
    <row r="263" spans="1:23">
      <c r="A263" t="s">
        <v>14210</v>
      </c>
      <c r="B263" t="s">
        <v>14188</v>
      </c>
      <c r="C263" t="s">
        <v>14190</v>
      </c>
      <c r="D263" t="s">
        <v>12970</v>
      </c>
      <c r="E263" t="s">
        <v>14211</v>
      </c>
      <c r="F263" t="s">
        <v>2655</v>
      </c>
      <c r="G263" t="s">
        <v>14199</v>
      </c>
      <c r="H263" t="s">
        <v>12992</v>
      </c>
      <c r="S263" t="s">
        <v>12941</v>
      </c>
      <c r="T263" t="s">
        <v>12940</v>
      </c>
      <c r="U263" t="s">
        <v>4559</v>
      </c>
      <c r="V263" t="s">
        <v>12942</v>
      </c>
      <c r="W263" t="s">
        <v>4727</v>
      </c>
    </row>
    <row r="264" spans="1:23">
      <c r="A264" t="s">
        <v>13304</v>
      </c>
      <c r="B264" t="s">
        <v>14188</v>
      </c>
      <c r="C264" t="s">
        <v>14190</v>
      </c>
      <c r="D264" t="s">
        <v>6223</v>
      </c>
      <c r="E264" t="s">
        <v>12937</v>
      </c>
      <c r="F264" t="s">
        <v>2655</v>
      </c>
      <c r="G264" t="s">
        <v>14199</v>
      </c>
      <c r="H264" t="s">
        <v>12992</v>
      </c>
      <c r="I264" t="s">
        <v>12989</v>
      </c>
      <c r="J264" t="s">
        <v>12938</v>
      </c>
      <c r="K264" t="s">
        <v>6223</v>
      </c>
      <c r="L264">
        <v>830025159</v>
      </c>
      <c r="M264" t="s">
        <v>25</v>
      </c>
      <c r="N264" t="s">
        <v>12939</v>
      </c>
    </row>
    <row r="265" spans="1:23">
      <c r="A265" t="s">
        <v>12967</v>
      </c>
      <c r="B265" t="s">
        <v>12968</v>
      </c>
      <c r="C265" t="s">
        <v>12969</v>
      </c>
      <c r="D265" t="s">
        <v>12970</v>
      </c>
      <c r="F265" t="s">
        <v>2655</v>
      </c>
      <c r="G265" t="s">
        <v>12991</v>
      </c>
      <c r="H265" t="s">
        <v>12992</v>
      </c>
      <c r="I265" t="s">
        <v>12990</v>
      </c>
      <c r="J265" t="s">
        <v>12971</v>
      </c>
      <c r="K265" t="s">
        <v>6223</v>
      </c>
      <c r="L265">
        <v>830053099</v>
      </c>
      <c r="M265" t="s">
        <v>25</v>
      </c>
      <c r="N265" t="s">
        <v>12972</v>
      </c>
      <c r="S265" t="s">
        <v>12974</v>
      </c>
      <c r="T265" t="s">
        <v>12973</v>
      </c>
      <c r="U265" t="s">
        <v>4559</v>
      </c>
      <c r="V265" t="s">
        <v>12975</v>
      </c>
    </row>
    <row r="266" spans="1:23">
      <c r="A266" t="s">
        <v>12966</v>
      </c>
      <c r="B266" t="s">
        <v>12977</v>
      </c>
      <c r="C266" t="s">
        <v>12976</v>
      </c>
      <c r="D266" t="s">
        <v>12978</v>
      </c>
      <c r="F266" t="s">
        <v>11199</v>
      </c>
      <c r="G266" t="s">
        <v>12981</v>
      </c>
      <c r="H266" t="s">
        <v>12987</v>
      </c>
      <c r="I266" t="s">
        <v>12988</v>
      </c>
      <c r="J266" t="s">
        <v>12993</v>
      </c>
      <c r="K266" t="s">
        <v>12978</v>
      </c>
      <c r="L266" t="s">
        <v>12980</v>
      </c>
      <c r="M266" t="s">
        <v>25</v>
      </c>
      <c r="N266" t="s">
        <v>12979</v>
      </c>
      <c r="S266" t="s">
        <v>12983</v>
      </c>
      <c r="T266" t="s">
        <v>12982</v>
      </c>
      <c r="U266" t="s">
        <v>4559</v>
      </c>
      <c r="V266" t="s">
        <v>12984</v>
      </c>
    </row>
    <row r="267" spans="1:23">
      <c r="A267" t="s">
        <v>12994</v>
      </c>
      <c r="B267" t="s">
        <v>12994</v>
      </c>
      <c r="C267" t="s">
        <v>12995</v>
      </c>
      <c r="D267" t="s">
        <v>12970</v>
      </c>
      <c r="F267" t="s">
        <v>4358</v>
      </c>
      <c r="G267" t="s">
        <v>10932</v>
      </c>
      <c r="H267" t="s">
        <v>4359</v>
      </c>
      <c r="I267" t="s">
        <v>12994</v>
      </c>
      <c r="J267" t="s">
        <v>12996</v>
      </c>
      <c r="K267" t="s">
        <v>12997</v>
      </c>
      <c r="L267" t="s">
        <v>12999</v>
      </c>
      <c r="M267" t="s">
        <v>25</v>
      </c>
      <c r="N267" t="s">
        <v>12998</v>
      </c>
      <c r="S267" t="s">
        <v>13000</v>
      </c>
      <c r="T267" t="s">
        <v>13002</v>
      </c>
      <c r="U267" t="s">
        <v>4559</v>
      </c>
      <c r="V267" t="s">
        <v>13001</v>
      </c>
    </row>
    <row r="268" spans="1:23">
      <c r="A268" t="s">
        <v>13262</v>
      </c>
      <c r="B268" t="s">
        <v>13262</v>
      </c>
      <c r="C268" t="s">
        <v>13266</v>
      </c>
      <c r="F268" t="s">
        <v>2655</v>
      </c>
      <c r="G268" t="s">
        <v>12991</v>
      </c>
      <c r="H268" t="s">
        <v>12992</v>
      </c>
      <c r="I268" t="s">
        <v>13268</v>
      </c>
      <c r="J268" t="s">
        <v>13265</v>
      </c>
      <c r="K268" t="s">
        <v>13264</v>
      </c>
      <c r="L268" t="s">
        <v>13263</v>
      </c>
      <c r="M268" t="s">
        <v>25</v>
      </c>
      <c r="N268" t="s">
        <v>13267</v>
      </c>
      <c r="S268" t="s">
        <v>13271</v>
      </c>
      <c r="T268" t="s">
        <v>13270</v>
      </c>
      <c r="U268" t="s">
        <v>4559</v>
      </c>
      <c r="V268" t="s">
        <v>13269</v>
      </c>
    </row>
    <row r="269" spans="1:23">
      <c r="A269" t="s">
        <v>12935</v>
      </c>
      <c r="B269" t="s">
        <v>12936</v>
      </c>
      <c r="C269" t="s">
        <v>14191</v>
      </c>
      <c r="F269" t="s">
        <v>2655</v>
      </c>
      <c r="G269" t="s">
        <v>13295</v>
      </c>
      <c r="H269" t="s">
        <v>12992</v>
      </c>
      <c r="I269" t="s">
        <v>13303</v>
      </c>
      <c r="J269" t="s">
        <v>13302</v>
      </c>
      <c r="K269" t="s">
        <v>13301</v>
      </c>
      <c r="L269" t="s">
        <v>13300</v>
      </c>
      <c r="M269" t="s">
        <v>25</v>
      </c>
      <c r="N269" t="s">
        <v>13299</v>
      </c>
      <c r="S269" t="s">
        <v>13297</v>
      </c>
      <c r="T269" t="s">
        <v>13296</v>
      </c>
      <c r="U269" t="s">
        <v>4559</v>
      </c>
      <c r="V269" t="s">
        <v>13298</v>
      </c>
      <c r="W269" t="s">
        <v>4727</v>
      </c>
    </row>
    <row r="270" spans="1:23">
      <c r="A270" t="s">
        <v>13314</v>
      </c>
      <c r="B270" t="s">
        <v>13313</v>
      </c>
      <c r="C270" t="s">
        <v>13312</v>
      </c>
      <c r="F270" t="s">
        <v>13306</v>
      </c>
      <c r="G270" t="s">
        <v>13305</v>
      </c>
      <c r="H270" t="s">
        <v>13307</v>
      </c>
      <c r="I270" t="s">
        <v>13315</v>
      </c>
      <c r="J270" t="s">
        <v>13311</v>
      </c>
      <c r="S270" t="s">
        <v>13310</v>
      </c>
      <c r="T270" t="s">
        <v>13308</v>
      </c>
      <c r="U270" t="s">
        <v>4559</v>
      </c>
      <c r="V270" t="s">
        <v>13309</v>
      </c>
    </row>
    <row r="271" spans="1:23">
      <c r="A271" t="s">
        <v>14189</v>
      </c>
      <c r="B271" t="s">
        <v>14189</v>
      </c>
      <c r="C271" t="s">
        <v>14204</v>
      </c>
      <c r="D271" t="s">
        <v>14192</v>
      </c>
      <c r="E271" t="s">
        <v>14193</v>
      </c>
      <c r="F271" t="s">
        <v>2655</v>
      </c>
      <c r="G271" t="s">
        <v>12934</v>
      </c>
      <c r="H271" t="s">
        <v>12992</v>
      </c>
      <c r="I271" t="s">
        <v>14200</v>
      </c>
      <c r="J271" t="s">
        <v>14194</v>
      </c>
      <c r="K271" t="s">
        <v>13301</v>
      </c>
      <c r="L271" t="s">
        <v>14195</v>
      </c>
      <c r="M271" t="s">
        <v>25</v>
      </c>
      <c r="N271" t="s">
        <v>14196</v>
      </c>
      <c r="S271" t="s">
        <v>13301</v>
      </c>
      <c r="T271" t="s">
        <v>14197</v>
      </c>
      <c r="U271" t="s">
        <v>4559</v>
      </c>
      <c r="V271" t="s">
        <v>14198</v>
      </c>
      <c r="W271" t="s">
        <v>4728</v>
      </c>
    </row>
    <row r="272" spans="1:23">
      <c r="A272" t="s">
        <v>14202</v>
      </c>
      <c r="B272" t="s">
        <v>14202</v>
      </c>
      <c r="C272" t="s">
        <v>14203</v>
      </c>
      <c r="D272" t="s">
        <v>14205</v>
      </c>
      <c r="E272" t="s">
        <v>14201</v>
      </c>
      <c r="F272" t="s">
        <v>2655</v>
      </c>
      <c r="G272" t="s">
        <v>12934</v>
      </c>
      <c r="H272" t="s">
        <v>12992</v>
      </c>
      <c r="I272" t="s">
        <v>14209</v>
      </c>
      <c r="J272" t="s">
        <v>14206</v>
      </c>
      <c r="S272" t="s">
        <v>14205</v>
      </c>
      <c r="T272" t="s">
        <v>14207</v>
      </c>
      <c r="U272" t="s">
        <v>4559</v>
      </c>
      <c r="V272" t="s">
        <v>14208</v>
      </c>
      <c r="W272" t="s">
        <v>4727</v>
      </c>
    </row>
    <row r="273" spans="1:23">
      <c r="A273" t="s">
        <v>14212</v>
      </c>
      <c r="B273" t="s">
        <v>14212</v>
      </c>
      <c r="C273" t="s">
        <v>14213</v>
      </c>
      <c r="D273" t="s">
        <v>14214</v>
      </c>
      <c r="F273" t="s">
        <v>7986</v>
      </c>
      <c r="G273" t="s">
        <v>18601</v>
      </c>
      <c r="H273" t="s">
        <v>7988</v>
      </c>
      <c r="I273" t="s">
        <v>14218</v>
      </c>
      <c r="J273" t="s">
        <v>14215</v>
      </c>
      <c r="S273" t="s">
        <v>14216</v>
      </c>
      <c r="T273" t="s">
        <v>14212</v>
      </c>
      <c r="U273" t="s">
        <v>4559</v>
      </c>
      <c r="V273" t="s">
        <v>14217</v>
      </c>
      <c r="W273" t="s">
        <v>4727</v>
      </c>
    </row>
    <row r="274" spans="1:23">
      <c r="A274" t="s">
        <v>14219</v>
      </c>
      <c r="B274" t="s">
        <v>14219</v>
      </c>
      <c r="C274" t="s">
        <v>14221</v>
      </c>
      <c r="D274" t="s">
        <v>14223</v>
      </c>
      <c r="F274" t="s">
        <v>7986</v>
      </c>
      <c r="G274" t="s">
        <v>18601</v>
      </c>
      <c r="H274" t="s">
        <v>7988</v>
      </c>
      <c r="I274" t="s">
        <v>14225</v>
      </c>
      <c r="J274" t="s">
        <v>14226</v>
      </c>
      <c r="K274" t="s">
        <v>14227</v>
      </c>
      <c r="L274" t="s">
        <v>14228</v>
      </c>
      <c r="M274" t="s">
        <v>25</v>
      </c>
      <c r="N274" t="s">
        <v>14229</v>
      </c>
      <c r="S274" t="s">
        <v>6981</v>
      </c>
      <c r="T274" t="s">
        <v>14228</v>
      </c>
      <c r="U274" t="s">
        <v>4559</v>
      </c>
      <c r="V274" t="s">
        <v>14232</v>
      </c>
      <c r="W274" t="s">
        <v>4727</v>
      </c>
    </row>
    <row r="275" spans="1:23">
      <c r="A275" t="s">
        <v>14220</v>
      </c>
      <c r="B275" t="s">
        <v>14220</v>
      </c>
      <c r="C275" t="s">
        <v>14222</v>
      </c>
      <c r="D275" t="s">
        <v>14223</v>
      </c>
      <c r="F275" t="s">
        <v>7986</v>
      </c>
      <c r="G275" t="s">
        <v>18601</v>
      </c>
      <c r="H275" t="s">
        <v>7988</v>
      </c>
      <c r="I275" t="s">
        <v>14224</v>
      </c>
      <c r="J275" t="s">
        <v>14226</v>
      </c>
      <c r="K275" t="s">
        <v>14227</v>
      </c>
      <c r="L275" t="s">
        <v>14230</v>
      </c>
      <c r="M275" t="s">
        <v>25</v>
      </c>
      <c r="N275" t="s">
        <v>14231</v>
      </c>
      <c r="S275" t="s">
        <v>6981</v>
      </c>
      <c r="T275" t="s">
        <v>14233</v>
      </c>
      <c r="U275" t="s">
        <v>4559</v>
      </c>
      <c r="V275" t="s">
        <v>14234</v>
      </c>
      <c r="W275" t="s">
        <v>4727</v>
      </c>
    </row>
    <row r="276" spans="1:23">
      <c r="A276" t="s">
        <v>18018</v>
      </c>
      <c r="B276" t="s">
        <v>18018</v>
      </c>
      <c r="C276" t="s">
        <v>18019</v>
      </c>
      <c r="D276" t="s">
        <v>13264</v>
      </c>
      <c r="F276" t="s">
        <v>2655</v>
      </c>
      <c r="G276" t="s">
        <v>18020</v>
      </c>
      <c r="H276" t="s">
        <v>12992</v>
      </c>
      <c r="I276" t="s">
        <v>18021</v>
      </c>
      <c r="J276" t="s">
        <v>18024</v>
      </c>
      <c r="K276" t="s">
        <v>13264</v>
      </c>
      <c r="L276" t="s">
        <v>18023</v>
      </c>
      <c r="M276" t="s">
        <v>25</v>
      </c>
      <c r="N276" t="s">
        <v>18022</v>
      </c>
      <c r="S276" t="s">
        <v>18027</v>
      </c>
      <c r="T276" t="s">
        <v>18026</v>
      </c>
      <c r="U276" t="s">
        <v>4559</v>
      </c>
      <c r="V276" t="s">
        <v>18025</v>
      </c>
    </row>
    <row r="277" spans="1:23">
      <c r="A277" t="s">
        <v>18657</v>
      </c>
      <c r="B277" t="s">
        <v>18657</v>
      </c>
      <c r="C277" t="s">
        <v>18669</v>
      </c>
      <c r="D277" t="s">
        <v>18658</v>
      </c>
      <c r="E277" t="s">
        <v>18659</v>
      </c>
      <c r="F277" t="s">
        <v>7986</v>
      </c>
      <c r="G277" t="s">
        <v>7987</v>
      </c>
      <c r="H277" t="s">
        <v>7988</v>
      </c>
      <c r="I277" t="s">
        <v>18660</v>
      </c>
      <c r="J277" t="s">
        <v>18661</v>
      </c>
    </row>
    <row r="278" spans="1:23">
      <c r="A278" t="s">
        <v>18654</v>
      </c>
      <c r="B278" t="s">
        <v>18654</v>
      </c>
      <c r="C278" t="s">
        <v>18670</v>
      </c>
      <c r="D278" t="s">
        <v>18658</v>
      </c>
      <c r="E278" t="s">
        <v>18659</v>
      </c>
      <c r="F278" t="s">
        <v>7986</v>
      </c>
      <c r="G278" t="s">
        <v>7987</v>
      </c>
      <c r="H278" t="s">
        <v>7988</v>
      </c>
      <c r="I278" t="s">
        <v>18660</v>
      </c>
      <c r="J278" t="s">
        <v>18661</v>
      </c>
      <c r="K278" t="s">
        <v>18662</v>
      </c>
      <c r="L278" t="s">
        <v>18654</v>
      </c>
      <c r="M278" t="s">
        <v>25</v>
      </c>
      <c r="N278" t="s">
        <v>18663</v>
      </c>
    </row>
    <row r="279" spans="1:23">
      <c r="A279" t="s">
        <v>18655</v>
      </c>
      <c r="B279" t="s">
        <v>18655</v>
      </c>
      <c r="C279" t="s">
        <v>18671</v>
      </c>
      <c r="D279" t="s">
        <v>18658</v>
      </c>
      <c r="E279" t="s">
        <v>18659</v>
      </c>
      <c r="F279" t="s">
        <v>7986</v>
      </c>
      <c r="G279" t="s">
        <v>7987</v>
      </c>
      <c r="H279" t="s">
        <v>7988</v>
      </c>
      <c r="I279" t="s">
        <v>18660</v>
      </c>
      <c r="J279" t="s">
        <v>18661</v>
      </c>
      <c r="K279" t="s">
        <v>18662</v>
      </c>
      <c r="L279" t="s">
        <v>18655</v>
      </c>
      <c r="M279" t="s">
        <v>25</v>
      </c>
      <c r="N279" t="s">
        <v>18664</v>
      </c>
    </row>
    <row r="280" spans="1:23">
      <c r="A280" t="s">
        <v>18656</v>
      </c>
      <c r="B280" t="s">
        <v>18656</v>
      </c>
      <c r="C280" t="s">
        <v>18672</v>
      </c>
      <c r="D280" t="s">
        <v>18658</v>
      </c>
      <c r="E280" t="s">
        <v>18659</v>
      </c>
      <c r="F280" t="s">
        <v>7986</v>
      </c>
      <c r="G280" t="s">
        <v>7987</v>
      </c>
      <c r="H280" t="s">
        <v>7988</v>
      </c>
      <c r="I280" t="s">
        <v>18660</v>
      </c>
      <c r="J280" t="s">
        <v>18661</v>
      </c>
      <c r="K280" t="s">
        <v>18662</v>
      </c>
      <c r="L280" t="s">
        <v>18656</v>
      </c>
      <c r="M280" t="s">
        <v>25</v>
      </c>
      <c r="N280" t="s">
        <v>18665</v>
      </c>
    </row>
    <row r="281" spans="1:23">
      <c r="A281" s="25" t="s">
        <v>18667</v>
      </c>
      <c r="B281" s="25" t="s">
        <v>18667</v>
      </c>
      <c r="C281" t="s">
        <v>18673</v>
      </c>
      <c r="D281" t="s">
        <v>18675</v>
      </c>
      <c r="E281">
        <v>9105</v>
      </c>
      <c r="F281" t="s">
        <v>7986</v>
      </c>
      <c r="G281" t="s">
        <v>7987</v>
      </c>
      <c r="H281" t="s">
        <v>7988</v>
      </c>
      <c r="I281" t="s">
        <v>18676</v>
      </c>
      <c r="J281" t="s">
        <v>18666</v>
      </c>
      <c r="K281" t="s">
        <v>18677</v>
      </c>
      <c r="L281" t="s">
        <v>18678</v>
      </c>
      <c r="M281" t="s">
        <v>25</v>
      </c>
      <c r="N281" t="s">
        <v>18679</v>
      </c>
      <c r="O281" t="s">
        <v>18677</v>
      </c>
      <c r="P281" t="s">
        <v>18680</v>
      </c>
      <c r="Q281" t="s">
        <v>25</v>
      </c>
      <c r="R281" t="s">
        <v>18681</v>
      </c>
    </row>
    <row r="282" spans="1:23">
      <c r="A282" s="25" t="s">
        <v>18668</v>
      </c>
      <c r="B282" s="25" t="s">
        <v>18668</v>
      </c>
      <c r="C282" t="s">
        <v>18674</v>
      </c>
      <c r="D282" t="s">
        <v>18675</v>
      </c>
      <c r="E282">
        <v>9105</v>
      </c>
      <c r="F282" t="s">
        <v>7986</v>
      </c>
      <c r="G282" t="s">
        <v>7987</v>
      </c>
      <c r="H282" t="s">
        <v>7988</v>
      </c>
      <c r="I282" t="s">
        <v>18676</v>
      </c>
      <c r="J282" t="s">
        <v>18666</v>
      </c>
      <c r="K282" t="s">
        <v>18677</v>
      </c>
      <c r="L282" t="s">
        <v>18682</v>
      </c>
      <c r="M282" t="s">
        <v>25</v>
      </c>
      <c r="N282" t="s">
        <v>18683</v>
      </c>
      <c r="O282" t="s">
        <v>18677</v>
      </c>
      <c r="P282" t="s">
        <v>18684</v>
      </c>
      <c r="Q282" t="s">
        <v>25</v>
      </c>
      <c r="R282" t="s">
        <v>18685</v>
      </c>
    </row>
    <row r="283" spans="1:23">
      <c r="A283" t="s">
        <v>18686</v>
      </c>
      <c r="B283" t="s">
        <v>18686</v>
      </c>
      <c r="C283" t="s">
        <v>18689</v>
      </c>
      <c r="D283" t="s">
        <v>18692</v>
      </c>
      <c r="E283" t="s">
        <v>18693</v>
      </c>
      <c r="F283" t="s">
        <v>7986</v>
      </c>
      <c r="G283" t="s">
        <v>7987</v>
      </c>
      <c r="H283" t="s">
        <v>7988</v>
      </c>
      <c r="I283" t="s">
        <v>18660</v>
      </c>
      <c r="J283" t="s">
        <v>18695</v>
      </c>
      <c r="S283" t="s">
        <v>18692</v>
      </c>
      <c r="T283" t="s">
        <v>18686</v>
      </c>
      <c r="U283" t="s">
        <v>4559</v>
      </c>
      <c r="V283" t="s">
        <v>18697</v>
      </c>
      <c r="W283" t="s">
        <v>4727</v>
      </c>
    </row>
    <row r="284" spans="1:23">
      <c r="A284" t="s">
        <v>18687</v>
      </c>
      <c r="B284" t="s">
        <v>18687</v>
      </c>
      <c r="C284" t="s">
        <v>18690</v>
      </c>
      <c r="D284" t="s">
        <v>18692</v>
      </c>
      <c r="E284" t="s">
        <v>18693</v>
      </c>
      <c r="F284" t="s">
        <v>7986</v>
      </c>
      <c r="G284" t="s">
        <v>7987</v>
      </c>
      <c r="H284" t="s">
        <v>7988</v>
      </c>
      <c r="I284" t="s">
        <v>18660</v>
      </c>
      <c r="J284" t="s">
        <v>18694</v>
      </c>
      <c r="S284" t="s">
        <v>18692</v>
      </c>
      <c r="T284" t="s">
        <v>18687</v>
      </c>
      <c r="U284" t="s">
        <v>4559</v>
      </c>
      <c r="V284" t="s">
        <v>18698</v>
      </c>
      <c r="W284" t="s">
        <v>4727</v>
      </c>
    </row>
    <row r="285" spans="1:23">
      <c r="A285" t="s">
        <v>18688</v>
      </c>
      <c r="B285" t="s">
        <v>18688</v>
      </c>
      <c r="C285" t="s">
        <v>18691</v>
      </c>
      <c r="D285" t="s">
        <v>18692</v>
      </c>
      <c r="E285" t="s">
        <v>18693</v>
      </c>
      <c r="F285" t="s">
        <v>7986</v>
      </c>
      <c r="G285" t="s">
        <v>7987</v>
      </c>
      <c r="H285" t="s">
        <v>7988</v>
      </c>
      <c r="I285" t="s">
        <v>18660</v>
      </c>
      <c r="J285" t="s">
        <v>18696</v>
      </c>
      <c r="S285" t="s">
        <v>18692</v>
      </c>
      <c r="T285" t="s">
        <v>18688</v>
      </c>
      <c r="U285" t="s">
        <v>4559</v>
      </c>
      <c r="V285" t="s">
        <v>18699</v>
      </c>
      <c r="W28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16090</v>
      </c>
      <c r="L1" s="1" t="s">
        <v>16091</v>
      </c>
      <c r="M1" s="1" t="s">
        <v>16092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14920</v>
      </c>
      <c r="B2" t="s">
        <v>14920</v>
      </c>
      <c r="C2" t="s">
        <v>14860</v>
      </c>
      <c r="D2" t="s">
        <v>4310</v>
      </c>
      <c r="F2" t="str">
        <f>Config!$B$7</f>
        <v>SCH/Connector.SchLib</v>
      </c>
      <c r="G2" t="s">
        <v>14827</v>
      </c>
      <c r="H2" t="s">
        <v>14919</v>
      </c>
      <c r="I2" t="s">
        <v>14857</v>
      </c>
      <c r="J2" s="47"/>
      <c r="K2" s="47" t="s">
        <v>16093</v>
      </c>
      <c r="L2" t="s">
        <v>16093</v>
      </c>
      <c r="M2" t="s">
        <v>16114</v>
      </c>
    </row>
    <row r="3" spans="1:23">
      <c r="A3" t="s">
        <v>14828</v>
      </c>
      <c r="B3" t="s">
        <v>14828</v>
      </c>
      <c r="C3" t="s">
        <v>14859</v>
      </c>
      <c r="D3" t="s">
        <v>4310</v>
      </c>
      <c r="F3" t="str">
        <f>Config!$B$7</f>
        <v>SCH/Connector.SchLib</v>
      </c>
      <c r="G3" t="s">
        <v>14827</v>
      </c>
      <c r="H3" t="s">
        <v>14919</v>
      </c>
      <c r="I3" t="s">
        <v>14858</v>
      </c>
      <c r="J3" s="47"/>
      <c r="K3" s="47" t="s">
        <v>16093</v>
      </c>
      <c r="L3" t="s">
        <v>16094</v>
      </c>
      <c r="M3" t="s">
        <v>16114</v>
      </c>
    </row>
    <row r="4" spans="1:23">
      <c r="A4" t="s">
        <v>14921</v>
      </c>
      <c r="B4" t="s">
        <v>14921</v>
      </c>
      <c r="C4" t="s">
        <v>14861</v>
      </c>
      <c r="D4" t="s">
        <v>4310</v>
      </c>
      <c r="F4" t="str">
        <f>Config!$B$7</f>
        <v>SCH/Connector.SchLib</v>
      </c>
      <c r="G4" t="s">
        <v>14827</v>
      </c>
      <c r="H4" t="s">
        <v>14919</v>
      </c>
      <c r="I4" t="s">
        <v>14829</v>
      </c>
      <c r="J4" s="47"/>
      <c r="K4" s="47" t="s">
        <v>16094</v>
      </c>
      <c r="L4" t="s">
        <v>16093</v>
      </c>
      <c r="M4" t="s">
        <v>16114</v>
      </c>
    </row>
    <row r="5" spans="1:23">
      <c r="A5" t="s">
        <v>14922</v>
      </c>
      <c r="B5" t="s">
        <v>14922</v>
      </c>
      <c r="C5" t="s">
        <v>14862</v>
      </c>
      <c r="D5" t="s">
        <v>4310</v>
      </c>
      <c r="F5" t="str">
        <f>Config!$B$7</f>
        <v>SCH/Connector.SchLib</v>
      </c>
      <c r="G5" t="s">
        <v>14827</v>
      </c>
      <c r="H5" t="s">
        <v>14919</v>
      </c>
      <c r="I5" t="s">
        <v>14830</v>
      </c>
      <c r="J5" s="47"/>
      <c r="K5" s="47" t="s">
        <v>16094</v>
      </c>
      <c r="L5" t="s">
        <v>16094</v>
      </c>
      <c r="M5" t="s">
        <v>16114</v>
      </c>
    </row>
    <row r="6" spans="1:23">
      <c r="A6" t="s">
        <v>14923</v>
      </c>
      <c r="B6" t="s">
        <v>14923</v>
      </c>
      <c r="C6" t="s">
        <v>14864</v>
      </c>
      <c r="D6" t="s">
        <v>4310</v>
      </c>
      <c r="F6" t="str">
        <f>Config!$B$7</f>
        <v>SCH/Connector.SchLib</v>
      </c>
      <c r="G6" t="s">
        <v>14827</v>
      </c>
      <c r="H6" t="s">
        <v>14919</v>
      </c>
      <c r="I6" t="s">
        <v>14831</v>
      </c>
      <c r="J6" s="47"/>
      <c r="K6" s="47" t="s">
        <v>16094</v>
      </c>
      <c r="L6" t="s">
        <v>16095</v>
      </c>
      <c r="M6" t="s">
        <v>16114</v>
      </c>
    </row>
    <row r="7" spans="1:23">
      <c r="A7" t="s">
        <v>14924</v>
      </c>
      <c r="B7" t="s">
        <v>14924</v>
      </c>
      <c r="C7" t="s">
        <v>14865</v>
      </c>
      <c r="D7" t="s">
        <v>4310</v>
      </c>
      <c r="F7" t="str">
        <f>Config!$B$7</f>
        <v>SCH/Connector.SchLib</v>
      </c>
      <c r="G7" t="s">
        <v>14827</v>
      </c>
      <c r="H7" t="s">
        <v>14919</v>
      </c>
      <c r="I7" t="s">
        <v>14832</v>
      </c>
      <c r="J7" s="47"/>
      <c r="K7" s="47" t="s">
        <v>16095</v>
      </c>
      <c r="L7" t="s">
        <v>16093</v>
      </c>
      <c r="M7" t="s">
        <v>16114</v>
      </c>
    </row>
    <row r="8" spans="1:23">
      <c r="A8" t="s">
        <v>14925</v>
      </c>
      <c r="B8" t="s">
        <v>14925</v>
      </c>
      <c r="C8" t="s">
        <v>14866</v>
      </c>
      <c r="D8" t="s">
        <v>4310</v>
      </c>
      <c r="F8" t="str">
        <f>Config!$B$7</f>
        <v>SCH/Connector.SchLib</v>
      </c>
      <c r="G8" t="s">
        <v>14827</v>
      </c>
      <c r="H8" t="s">
        <v>14919</v>
      </c>
      <c r="I8" t="s">
        <v>14833</v>
      </c>
      <c r="J8" s="47"/>
      <c r="K8" s="47" t="s">
        <v>16095</v>
      </c>
      <c r="L8" t="s">
        <v>16094</v>
      </c>
      <c r="M8" t="s">
        <v>16114</v>
      </c>
    </row>
    <row r="9" spans="1:23">
      <c r="A9" t="s">
        <v>14926</v>
      </c>
      <c r="B9" t="s">
        <v>14926</v>
      </c>
      <c r="C9" t="s">
        <v>14867</v>
      </c>
      <c r="D9" t="s">
        <v>4310</v>
      </c>
      <c r="F9" t="str">
        <f>Config!$B$7</f>
        <v>SCH/Connector.SchLib</v>
      </c>
      <c r="G9" t="s">
        <v>14827</v>
      </c>
      <c r="H9" t="s">
        <v>14919</v>
      </c>
      <c r="I9" t="s">
        <v>14834</v>
      </c>
      <c r="J9" s="47"/>
      <c r="K9" s="47" t="s">
        <v>16095</v>
      </c>
      <c r="L9" t="s">
        <v>16095</v>
      </c>
      <c r="M9" t="s">
        <v>16114</v>
      </c>
    </row>
    <row r="10" spans="1:23">
      <c r="A10" t="s">
        <v>14927</v>
      </c>
      <c r="B10" t="s">
        <v>14927</v>
      </c>
      <c r="C10" t="s">
        <v>14868</v>
      </c>
      <c r="D10" t="s">
        <v>4310</v>
      </c>
      <c r="F10" t="str">
        <f>Config!$B$7</f>
        <v>SCH/Connector.SchLib</v>
      </c>
      <c r="G10" t="s">
        <v>14827</v>
      </c>
      <c r="H10" t="s">
        <v>14919</v>
      </c>
      <c r="I10" t="s">
        <v>14835</v>
      </c>
      <c r="J10" s="47"/>
      <c r="K10" s="47" t="s">
        <v>16095</v>
      </c>
      <c r="L10" t="s">
        <v>16097</v>
      </c>
      <c r="M10" t="s">
        <v>16114</v>
      </c>
    </row>
    <row r="11" spans="1:23">
      <c r="A11" t="s">
        <v>14928</v>
      </c>
      <c r="B11" t="s">
        <v>14928</v>
      </c>
      <c r="C11" t="s">
        <v>14869</v>
      </c>
      <c r="D11" t="s">
        <v>4310</v>
      </c>
      <c r="F11" t="str">
        <f>Config!$B$7</f>
        <v>SCH/Connector.SchLib</v>
      </c>
      <c r="G11" t="s">
        <v>14827</v>
      </c>
      <c r="H11" t="s">
        <v>14919</v>
      </c>
      <c r="I11" t="s">
        <v>14836</v>
      </c>
      <c r="J11" s="47"/>
      <c r="K11" s="47" t="s">
        <v>16096</v>
      </c>
      <c r="L11" t="s">
        <v>16104</v>
      </c>
      <c r="M11" t="s">
        <v>16114</v>
      </c>
    </row>
    <row r="12" spans="1:23">
      <c r="A12" t="s">
        <v>14929</v>
      </c>
      <c r="B12" t="s">
        <v>14929</v>
      </c>
      <c r="C12" t="s">
        <v>14863</v>
      </c>
      <c r="D12" t="s">
        <v>4310</v>
      </c>
      <c r="F12" t="str">
        <f>Config!$B$7</f>
        <v>SCH/Connector.SchLib</v>
      </c>
      <c r="G12" t="s">
        <v>14827</v>
      </c>
      <c r="H12" t="s">
        <v>14919</v>
      </c>
      <c r="I12" t="s">
        <v>14837</v>
      </c>
      <c r="J12" s="47"/>
      <c r="K12" s="47" t="s">
        <v>16096</v>
      </c>
      <c r="L12" t="s">
        <v>16096</v>
      </c>
      <c r="M12" t="s">
        <v>16114</v>
      </c>
    </row>
    <row r="13" spans="1:23">
      <c r="A13" t="s">
        <v>14930</v>
      </c>
      <c r="B13" t="s">
        <v>14930</v>
      </c>
      <c r="C13" t="s">
        <v>14870</v>
      </c>
      <c r="D13" t="s">
        <v>4310</v>
      </c>
      <c r="F13" t="str">
        <f>Config!$B$7</f>
        <v>SCH/Connector.SchLib</v>
      </c>
      <c r="G13" t="s">
        <v>14827</v>
      </c>
      <c r="H13" t="s">
        <v>14919</v>
      </c>
      <c r="I13" t="s">
        <v>14838</v>
      </c>
      <c r="J13" s="47"/>
      <c r="K13" s="47" t="s">
        <v>16096</v>
      </c>
      <c r="L13" t="s">
        <v>16098</v>
      </c>
      <c r="M13" t="s">
        <v>16114</v>
      </c>
    </row>
    <row r="14" spans="1:23">
      <c r="A14" t="s">
        <v>14931</v>
      </c>
      <c r="B14" t="s">
        <v>14931</v>
      </c>
      <c r="C14" t="s">
        <v>14871</v>
      </c>
      <c r="D14" t="s">
        <v>4310</v>
      </c>
      <c r="F14" t="str">
        <f>Config!$B$7</f>
        <v>SCH/Connector.SchLib</v>
      </c>
      <c r="G14" t="s">
        <v>14827</v>
      </c>
      <c r="H14" t="s">
        <v>14919</v>
      </c>
      <c r="I14" t="s">
        <v>14839</v>
      </c>
      <c r="J14" s="47"/>
      <c r="K14" s="47" t="s">
        <v>16097</v>
      </c>
      <c r="L14" t="s">
        <v>16094</v>
      </c>
      <c r="M14" t="s">
        <v>16114</v>
      </c>
    </row>
    <row r="15" spans="1:23">
      <c r="A15" t="s">
        <v>14932</v>
      </c>
      <c r="B15" t="s">
        <v>14932</v>
      </c>
      <c r="C15" t="s">
        <v>14872</v>
      </c>
      <c r="D15" t="s">
        <v>4310</v>
      </c>
      <c r="F15" t="str">
        <f>Config!$B$7</f>
        <v>SCH/Connector.SchLib</v>
      </c>
      <c r="G15" t="s">
        <v>14827</v>
      </c>
      <c r="H15" t="s">
        <v>14919</v>
      </c>
      <c r="I15" t="s">
        <v>14840</v>
      </c>
      <c r="J15" s="47"/>
      <c r="K15" s="47" t="s">
        <v>16097</v>
      </c>
      <c r="L15" t="s">
        <v>16095</v>
      </c>
      <c r="M15" t="s">
        <v>16114</v>
      </c>
    </row>
    <row r="16" spans="1:23">
      <c r="A16" t="s">
        <v>14933</v>
      </c>
      <c r="B16" t="s">
        <v>14933</v>
      </c>
      <c r="C16" t="s">
        <v>14873</v>
      </c>
      <c r="D16" t="s">
        <v>4310</v>
      </c>
      <c r="F16" t="str">
        <f>Config!$B$7</f>
        <v>SCH/Connector.SchLib</v>
      </c>
      <c r="G16" t="s">
        <v>14827</v>
      </c>
      <c r="H16" t="s">
        <v>14919</v>
      </c>
      <c r="I16" t="s">
        <v>14841</v>
      </c>
      <c r="J16" s="47"/>
      <c r="K16" s="47" t="s">
        <v>16097</v>
      </c>
      <c r="L16" t="s">
        <v>16097</v>
      </c>
      <c r="M16" t="s">
        <v>16114</v>
      </c>
    </row>
    <row r="17" spans="1:13">
      <c r="A17" t="s">
        <v>14934</v>
      </c>
      <c r="B17" t="s">
        <v>14934</v>
      </c>
      <c r="C17" t="s">
        <v>14874</v>
      </c>
      <c r="D17" t="s">
        <v>4310</v>
      </c>
      <c r="F17" t="str">
        <f>Config!$B$7</f>
        <v>SCH/Connector.SchLib</v>
      </c>
      <c r="G17" t="s">
        <v>14827</v>
      </c>
      <c r="H17" t="s">
        <v>14919</v>
      </c>
      <c r="I17" t="s">
        <v>14842</v>
      </c>
      <c r="J17" s="47"/>
      <c r="K17" s="47" t="s">
        <v>16097</v>
      </c>
      <c r="L17" t="s">
        <v>16099</v>
      </c>
      <c r="M17" t="s">
        <v>16114</v>
      </c>
    </row>
    <row r="18" spans="1:13">
      <c r="A18" t="s">
        <v>14935</v>
      </c>
      <c r="B18" t="s">
        <v>14935</v>
      </c>
      <c r="C18" t="s">
        <v>14875</v>
      </c>
      <c r="D18" t="s">
        <v>4310</v>
      </c>
      <c r="F18" t="str">
        <f>Config!$B$7</f>
        <v>SCH/Connector.SchLib</v>
      </c>
      <c r="G18" t="s">
        <v>14827</v>
      </c>
      <c r="H18" t="s">
        <v>14919</v>
      </c>
      <c r="I18" t="s">
        <v>14843</v>
      </c>
      <c r="J18" s="47"/>
      <c r="K18" s="47" t="s">
        <v>16098</v>
      </c>
      <c r="L18" t="s">
        <v>16104</v>
      </c>
      <c r="M18" t="s">
        <v>16114</v>
      </c>
    </row>
    <row r="19" spans="1:13">
      <c r="A19" t="s">
        <v>14936</v>
      </c>
      <c r="B19" t="s">
        <v>14936</v>
      </c>
      <c r="C19" t="s">
        <v>14876</v>
      </c>
      <c r="D19" t="s">
        <v>4310</v>
      </c>
      <c r="F19" t="str">
        <f>Config!$B$7</f>
        <v>SCH/Connector.SchLib</v>
      </c>
      <c r="G19" t="s">
        <v>14827</v>
      </c>
      <c r="H19" t="s">
        <v>14919</v>
      </c>
      <c r="I19" t="s">
        <v>14844</v>
      </c>
      <c r="J19" s="47"/>
      <c r="K19" s="47" t="s">
        <v>16098</v>
      </c>
      <c r="L19" t="s">
        <v>16096</v>
      </c>
      <c r="M19" t="s">
        <v>16114</v>
      </c>
    </row>
    <row r="20" spans="1:13">
      <c r="A20" t="s">
        <v>14937</v>
      </c>
      <c r="B20" t="s">
        <v>14937</v>
      </c>
      <c r="C20" t="s">
        <v>14877</v>
      </c>
      <c r="D20" t="s">
        <v>4310</v>
      </c>
      <c r="F20" t="str">
        <f>Config!$B$7</f>
        <v>SCH/Connector.SchLib</v>
      </c>
      <c r="G20" t="s">
        <v>14827</v>
      </c>
      <c r="H20" t="s">
        <v>14919</v>
      </c>
      <c r="I20" t="s">
        <v>14845</v>
      </c>
      <c r="J20" s="47"/>
      <c r="K20" s="47" t="s">
        <v>16098</v>
      </c>
      <c r="L20" t="s">
        <v>16098</v>
      </c>
      <c r="M20" t="s">
        <v>16114</v>
      </c>
    </row>
    <row r="21" spans="1:13">
      <c r="A21" t="s">
        <v>14938</v>
      </c>
      <c r="B21" t="s">
        <v>14938</v>
      </c>
      <c r="C21" t="s">
        <v>14878</v>
      </c>
      <c r="D21" t="s">
        <v>4310</v>
      </c>
      <c r="F21" t="str">
        <f>Config!$B$7</f>
        <v>SCH/Connector.SchLib</v>
      </c>
      <c r="G21" t="s">
        <v>14827</v>
      </c>
      <c r="H21" t="s">
        <v>14919</v>
      </c>
      <c r="I21" t="s">
        <v>14846</v>
      </c>
      <c r="J21" s="47"/>
      <c r="K21" s="47" t="s">
        <v>16098</v>
      </c>
      <c r="L21" t="s">
        <v>16101</v>
      </c>
      <c r="M21" t="s">
        <v>16114</v>
      </c>
    </row>
    <row r="22" spans="1:13">
      <c r="A22" t="s">
        <v>14939</v>
      </c>
      <c r="B22" t="s">
        <v>14939</v>
      </c>
      <c r="C22" t="s">
        <v>14879</v>
      </c>
      <c r="D22" t="s">
        <v>4310</v>
      </c>
      <c r="F22" t="str">
        <f>Config!$B$7</f>
        <v>SCH/Connector.SchLib</v>
      </c>
      <c r="G22" t="s">
        <v>14827</v>
      </c>
      <c r="H22" t="s">
        <v>14919</v>
      </c>
      <c r="I22" t="s">
        <v>14847</v>
      </c>
      <c r="J22" s="47"/>
      <c r="K22" s="47" t="s">
        <v>16099</v>
      </c>
      <c r="L22" t="s">
        <v>16105</v>
      </c>
      <c r="M22" t="s">
        <v>16114</v>
      </c>
    </row>
    <row r="23" spans="1:13">
      <c r="A23" t="s">
        <v>14940</v>
      </c>
      <c r="B23" t="s">
        <v>14940</v>
      </c>
      <c r="C23" t="s">
        <v>14880</v>
      </c>
      <c r="D23" t="s">
        <v>4310</v>
      </c>
      <c r="F23" t="str">
        <f>Config!$B$7</f>
        <v>SCH/Connector.SchLib</v>
      </c>
      <c r="G23" t="s">
        <v>14827</v>
      </c>
      <c r="H23" t="s">
        <v>14919</v>
      </c>
      <c r="I23" t="s">
        <v>14848</v>
      </c>
      <c r="J23" s="47"/>
      <c r="K23" s="47" t="s">
        <v>16099</v>
      </c>
      <c r="L23" t="s">
        <v>16095</v>
      </c>
      <c r="M23" t="s">
        <v>16114</v>
      </c>
    </row>
    <row r="24" spans="1:13">
      <c r="A24" t="s">
        <v>14941</v>
      </c>
      <c r="B24" t="s">
        <v>14941</v>
      </c>
      <c r="C24" t="s">
        <v>14881</v>
      </c>
      <c r="D24" t="s">
        <v>4310</v>
      </c>
      <c r="F24" t="str">
        <f>Config!$B$7</f>
        <v>SCH/Connector.SchLib</v>
      </c>
      <c r="G24" t="s">
        <v>14827</v>
      </c>
      <c r="H24" t="s">
        <v>14919</v>
      </c>
      <c r="I24" t="s">
        <v>14849</v>
      </c>
      <c r="J24" s="47"/>
      <c r="K24" s="47" t="s">
        <v>16099</v>
      </c>
      <c r="L24" t="s">
        <v>16097</v>
      </c>
      <c r="M24" t="s">
        <v>16114</v>
      </c>
    </row>
    <row r="25" spans="1:13">
      <c r="A25" t="s">
        <v>14942</v>
      </c>
      <c r="B25" t="s">
        <v>14942</v>
      </c>
      <c r="C25" t="s">
        <v>14882</v>
      </c>
      <c r="D25" t="s">
        <v>4310</v>
      </c>
      <c r="F25" t="str">
        <f>Config!$B$7</f>
        <v>SCH/Connector.SchLib</v>
      </c>
      <c r="G25" t="s">
        <v>14827</v>
      </c>
      <c r="H25" t="s">
        <v>14919</v>
      </c>
      <c r="I25" t="s">
        <v>14850</v>
      </c>
      <c r="J25" s="47"/>
      <c r="K25" s="47" t="s">
        <v>16099</v>
      </c>
      <c r="L25" t="s">
        <v>16099</v>
      </c>
      <c r="M25" t="s">
        <v>16114</v>
      </c>
    </row>
    <row r="26" spans="1:13">
      <c r="A26" t="s">
        <v>14943</v>
      </c>
      <c r="B26" t="s">
        <v>14943</v>
      </c>
      <c r="C26" t="s">
        <v>14883</v>
      </c>
      <c r="D26" t="s">
        <v>4310</v>
      </c>
      <c r="F26" t="str">
        <f>Config!$B$7</f>
        <v>SCH/Connector.SchLib</v>
      </c>
      <c r="G26" t="s">
        <v>14827</v>
      </c>
      <c r="H26" t="s">
        <v>14919</v>
      </c>
      <c r="I26" t="s">
        <v>14851</v>
      </c>
      <c r="J26" s="47"/>
      <c r="K26" s="47" t="s">
        <v>16099</v>
      </c>
      <c r="L26" t="s">
        <v>16102</v>
      </c>
      <c r="M26" t="s">
        <v>16114</v>
      </c>
    </row>
    <row r="27" spans="1:13">
      <c r="A27" t="s">
        <v>14944</v>
      </c>
      <c r="B27" t="s">
        <v>14944</v>
      </c>
      <c r="C27" t="s">
        <v>14884</v>
      </c>
      <c r="D27" t="s">
        <v>4310</v>
      </c>
      <c r="F27" t="str">
        <f>Config!$B$7</f>
        <v>SCH/Connector.SchLib</v>
      </c>
      <c r="G27" t="s">
        <v>14827</v>
      </c>
      <c r="H27" t="s">
        <v>14919</v>
      </c>
      <c r="I27" t="s">
        <v>14852</v>
      </c>
      <c r="J27" s="47"/>
      <c r="K27" s="47" t="s">
        <v>16100</v>
      </c>
      <c r="L27" t="s">
        <v>16094</v>
      </c>
      <c r="M27" t="s">
        <v>16114</v>
      </c>
    </row>
    <row r="28" spans="1:13">
      <c r="A28" t="s">
        <v>15592</v>
      </c>
      <c r="B28" t="s">
        <v>15592</v>
      </c>
      <c r="C28" t="s">
        <v>15591</v>
      </c>
      <c r="D28" t="s">
        <v>4310</v>
      </c>
      <c r="F28" t="str">
        <f>Config!$B$7</f>
        <v>SCH/Connector.SchLib</v>
      </c>
      <c r="G28" t="s">
        <v>14827</v>
      </c>
      <c r="H28" t="s">
        <v>14919</v>
      </c>
      <c r="I28" t="s">
        <v>15590</v>
      </c>
      <c r="J28" s="47"/>
      <c r="K28" s="47" t="s">
        <v>16100</v>
      </c>
      <c r="L28" t="s">
        <v>16095</v>
      </c>
      <c r="M28" t="s">
        <v>16114</v>
      </c>
    </row>
    <row r="29" spans="1:13">
      <c r="A29" t="s">
        <v>14945</v>
      </c>
      <c r="B29" t="s">
        <v>14945</v>
      </c>
      <c r="C29" t="s">
        <v>14885</v>
      </c>
      <c r="D29" t="s">
        <v>4310</v>
      </c>
      <c r="F29" t="str">
        <f>Config!$B$7</f>
        <v>SCH/Connector.SchLib</v>
      </c>
      <c r="G29" t="s">
        <v>14827</v>
      </c>
      <c r="H29" t="s">
        <v>14919</v>
      </c>
      <c r="I29" t="s">
        <v>14853</v>
      </c>
      <c r="J29" s="47"/>
      <c r="K29" s="47" t="s">
        <v>16100</v>
      </c>
      <c r="L29" t="s">
        <v>16106</v>
      </c>
      <c r="M29" t="s">
        <v>16114</v>
      </c>
    </row>
    <row r="30" spans="1:13">
      <c r="A30" t="s">
        <v>14946</v>
      </c>
      <c r="B30" t="s">
        <v>14946</v>
      </c>
      <c r="C30" t="s">
        <v>14886</v>
      </c>
      <c r="D30" t="s">
        <v>4310</v>
      </c>
      <c r="F30" t="str">
        <f>Config!$B$7</f>
        <v>SCH/Connector.SchLib</v>
      </c>
      <c r="G30" t="s">
        <v>14827</v>
      </c>
      <c r="H30" t="s">
        <v>14919</v>
      </c>
      <c r="I30" t="s">
        <v>14854</v>
      </c>
      <c r="J30" s="47"/>
      <c r="K30" s="47" t="s">
        <v>16100</v>
      </c>
      <c r="L30" t="s">
        <v>16107</v>
      </c>
      <c r="M30" t="s">
        <v>16114</v>
      </c>
    </row>
    <row r="31" spans="1:13">
      <c r="A31" t="s">
        <v>14947</v>
      </c>
      <c r="B31" t="s">
        <v>14947</v>
      </c>
      <c r="C31" t="s">
        <v>14887</v>
      </c>
      <c r="D31" t="s">
        <v>4310</v>
      </c>
      <c r="F31" t="str">
        <f>Config!$B$7</f>
        <v>SCH/Connector.SchLib</v>
      </c>
      <c r="G31" t="s">
        <v>14827</v>
      </c>
      <c r="H31" t="s">
        <v>14919</v>
      </c>
      <c r="I31" t="s">
        <v>14855</v>
      </c>
      <c r="J31" s="47"/>
      <c r="K31" s="47" t="s">
        <v>16100</v>
      </c>
      <c r="L31" t="s">
        <v>16100</v>
      </c>
      <c r="M31" t="s">
        <v>16114</v>
      </c>
    </row>
    <row r="32" spans="1:13">
      <c r="A32" t="s">
        <v>14948</v>
      </c>
      <c r="B32" t="s">
        <v>14948</v>
      </c>
      <c r="C32" t="s">
        <v>14888</v>
      </c>
      <c r="D32" t="s">
        <v>4310</v>
      </c>
      <c r="F32" t="str">
        <f>Config!$B$7</f>
        <v>SCH/Connector.SchLib</v>
      </c>
      <c r="G32" t="s">
        <v>14827</v>
      </c>
      <c r="H32" t="s">
        <v>14919</v>
      </c>
      <c r="I32" t="s">
        <v>14856</v>
      </c>
      <c r="J32" s="47"/>
      <c r="K32" s="47" t="s">
        <v>16100</v>
      </c>
      <c r="L32" t="s">
        <v>16108</v>
      </c>
      <c r="M32" t="s">
        <v>16114</v>
      </c>
    </row>
    <row r="33" spans="1:13">
      <c r="A33" t="s">
        <v>15615</v>
      </c>
      <c r="B33" t="s">
        <v>15615</v>
      </c>
      <c r="C33" t="s">
        <v>15631</v>
      </c>
      <c r="D33" t="s">
        <v>4310</v>
      </c>
      <c r="F33" t="str">
        <f>Config!$B$7</f>
        <v>SCH/Connector.SchLib</v>
      </c>
      <c r="G33" t="s">
        <v>14827</v>
      </c>
      <c r="H33" t="s">
        <v>14919</v>
      </c>
      <c r="I33" t="s">
        <v>15593</v>
      </c>
      <c r="J33" s="47"/>
      <c r="K33" s="47" t="s">
        <v>16101</v>
      </c>
      <c r="L33" t="s">
        <v>16109</v>
      </c>
      <c r="M33" t="s">
        <v>16114</v>
      </c>
    </row>
    <row r="34" spans="1:13">
      <c r="A34" t="s">
        <v>15612</v>
      </c>
      <c r="B34" t="s">
        <v>15612</v>
      </c>
      <c r="C34" t="s">
        <v>15632</v>
      </c>
      <c r="D34" t="s">
        <v>4310</v>
      </c>
      <c r="F34" t="str">
        <f>Config!$B$7</f>
        <v>SCH/Connector.SchLib</v>
      </c>
      <c r="G34" t="s">
        <v>14827</v>
      </c>
      <c r="H34" t="s">
        <v>14919</v>
      </c>
      <c r="I34" t="s">
        <v>15594</v>
      </c>
      <c r="J34" s="47"/>
      <c r="K34" s="47" t="s">
        <v>16101</v>
      </c>
      <c r="L34" t="s">
        <v>16095</v>
      </c>
      <c r="M34" t="s">
        <v>16114</v>
      </c>
    </row>
    <row r="35" spans="1:13">
      <c r="A35" t="s">
        <v>15616</v>
      </c>
      <c r="B35" t="s">
        <v>15616</v>
      </c>
      <c r="C35" t="s">
        <v>15633</v>
      </c>
      <c r="D35" t="s">
        <v>4310</v>
      </c>
      <c r="F35" t="str">
        <f>Config!$B$7</f>
        <v>SCH/Connector.SchLib</v>
      </c>
      <c r="G35" t="s">
        <v>14827</v>
      </c>
      <c r="H35" t="s">
        <v>14919</v>
      </c>
      <c r="I35" t="s">
        <v>15595</v>
      </c>
      <c r="J35" s="47"/>
      <c r="K35" s="47" t="s">
        <v>16101</v>
      </c>
      <c r="L35" t="s">
        <v>16096</v>
      </c>
      <c r="M35" t="s">
        <v>16114</v>
      </c>
    </row>
    <row r="36" spans="1:13">
      <c r="A36" t="s">
        <v>15617</v>
      </c>
      <c r="B36" t="s">
        <v>15617</v>
      </c>
      <c r="C36" t="s">
        <v>15634</v>
      </c>
      <c r="D36" t="s">
        <v>4310</v>
      </c>
      <c r="F36" t="str">
        <f>Config!$B$7</f>
        <v>SCH/Connector.SchLib</v>
      </c>
      <c r="G36" t="s">
        <v>14827</v>
      </c>
      <c r="H36" t="s">
        <v>14919</v>
      </c>
      <c r="I36" t="s">
        <v>15596</v>
      </c>
      <c r="J36" s="47"/>
      <c r="K36" s="47" t="s">
        <v>16101</v>
      </c>
      <c r="L36" t="s">
        <v>16098</v>
      </c>
      <c r="M36" t="s">
        <v>16114</v>
      </c>
    </row>
    <row r="37" spans="1:13">
      <c r="A37" t="s">
        <v>15618</v>
      </c>
      <c r="B37" t="s">
        <v>15618</v>
      </c>
      <c r="C37" t="s">
        <v>15635</v>
      </c>
      <c r="D37" t="s">
        <v>4310</v>
      </c>
      <c r="F37" t="str">
        <f>Config!$B$7</f>
        <v>SCH/Connector.SchLib</v>
      </c>
      <c r="G37" t="s">
        <v>14827</v>
      </c>
      <c r="H37" t="s">
        <v>14919</v>
      </c>
      <c r="I37" t="s">
        <v>15597</v>
      </c>
      <c r="J37" s="47"/>
      <c r="K37" s="47" t="s">
        <v>16101</v>
      </c>
      <c r="L37" t="s">
        <v>16101</v>
      </c>
      <c r="M37" t="s">
        <v>16114</v>
      </c>
    </row>
    <row r="38" spans="1:13">
      <c r="A38" t="s">
        <v>15619</v>
      </c>
      <c r="B38" t="s">
        <v>15619</v>
      </c>
      <c r="C38" t="s">
        <v>15636</v>
      </c>
      <c r="D38" t="s">
        <v>4310</v>
      </c>
      <c r="F38" t="str">
        <f>Config!$B$7</f>
        <v>SCH/Connector.SchLib</v>
      </c>
      <c r="G38" t="s">
        <v>14827</v>
      </c>
      <c r="H38" t="s">
        <v>14919</v>
      </c>
      <c r="I38" t="s">
        <v>15598</v>
      </c>
      <c r="J38" s="47"/>
      <c r="K38" s="47" t="s">
        <v>16101</v>
      </c>
      <c r="L38" t="s">
        <v>16110</v>
      </c>
      <c r="M38" t="s">
        <v>16114</v>
      </c>
    </row>
    <row r="39" spans="1:13">
      <c r="A39" t="s">
        <v>15620</v>
      </c>
      <c r="B39" t="s">
        <v>15620</v>
      </c>
      <c r="C39" t="s">
        <v>15637</v>
      </c>
      <c r="D39" t="s">
        <v>4310</v>
      </c>
      <c r="F39" t="str">
        <f>Config!$B$7</f>
        <v>SCH/Connector.SchLib</v>
      </c>
      <c r="G39" t="s">
        <v>14827</v>
      </c>
      <c r="H39" t="s">
        <v>14919</v>
      </c>
      <c r="I39" t="s">
        <v>15599</v>
      </c>
      <c r="J39" s="47"/>
      <c r="K39" s="47" t="s">
        <v>16102</v>
      </c>
      <c r="L39" t="s">
        <v>16094</v>
      </c>
      <c r="M39" t="s">
        <v>16114</v>
      </c>
    </row>
    <row r="40" spans="1:13">
      <c r="A40" t="s">
        <v>15621</v>
      </c>
      <c r="B40" t="s">
        <v>15621</v>
      </c>
      <c r="C40" t="s">
        <v>15638</v>
      </c>
      <c r="D40" t="s">
        <v>4310</v>
      </c>
      <c r="F40" t="str">
        <f>Config!$B$7</f>
        <v>SCH/Connector.SchLib</v>
      </c>
      <c r="G40" t="s">
        <v>14827</v>
      </c>
      <c r="H40" t="s">
        <v>14919</v>
      </c>
      <c r="I40" t="s">
        <v>15600</v>
      </c>
      <c r="J40" s="47"/>
      <c r="K40" s="47" t="s">
        <v>16102</v>
      </c>
      <c r="L40" t="s">
        <v>16111</v>
      </c>
      <c r="M40" t="s">
        <v>16114</v>
      </c>
    </row>
    <row r="41" spans="1:13">
      <c r="A41" t="s">
        <v>15613</v>
      </c>
      <c r="B41" t="s">
        <v>15613</v>
      </c>
      <c r="C41" t="s">
        <v>15639</v>
      </c>
      <c r="D41" t="s">
        <v>4310</v>
      </c>
      <c r="F41" t="str">
        <f>Config!$B$7</f>
        <v>SCH/Connector.SchLib</v>
      </c>
      <c r="G41" t="s">
        <v>14827</v>
      </c>
      <c r="H41" t="s">
        <v>14919</v>
      </c>
      <c r="I41" t="s">
        <v>15601</v>
      </c>
      <c r="J41" s="47"/>
      <c r="K41" s="47" t="s">
        <v>16102</v>
      </c>
      <c r="L41" t="s">
        <v>16095</v>
      </c>
      <c r="M41" t="s">
        <v>16114</v>
      </c>
    </row>
    <row r="42" spans="1:13">
      <c r="A42" t="s">
        <v>15622</v>
      </c>
      <c r="B42" t="s">
        <v>15622</v>
      </c>
      <c r="C42" t="s">
        <v>15640</v>
      </c>
      <c r="D42" t="s">
        <v>4310</v>
      </c>
      <c r="F42" t="str">
        <f>Config!$B$7</f>
        <v>SCH/Connector.SchLib</v>
      </c>
      <c r="G42" t="s">
        <v>14827</v>
      </c>
      <c r="H42" t="s">
        <v>14919</v>
      </c>
      <c r="I42" t="s">
        <v>15602</v>
      </c>
      <c r="J42" s="47"/>
      <c r="K42" s="47" t="s">
        <v>16102</v>
      </c>
      <c r="L42" t="s">
        <v>16097</v>
      </c>
      <c r="M42" t="s">
        <v>16114</v>
      </c>
    </row>
    <row r="43" spans="1:13">
      <c r="A43" t="s">
        <v>15623</v>
      </c>
      <c r="B43" t="s">
        <v>15623</v>
      </c>
      <c r="C43" t="s">
        <v>15641</v>
      </c>
      <c r="D43" t="s">
        <v>4310</v>
      </c>
      <c r="F43" t="str">
        <f>Config!$B$7</f>
        <v>SCH/Connector.SchLib</v>
      </c>
      <c r="G43" t="s">
        <v>14827</v>
      </c>
      <c r="H43" t="s">
        <v>14919</v>
      </c>
      <c r="I43" t="s">
        <v>15603</v>
      </c>
      <c r="J43" s="47"/>
      <c r="K43" s="47" t="s">
        <v>16102</v>
      </c>
      <c r="L43" t="s">
        <v>16099</v>
      </c>
      <c r="M43" t="s">
        <v>16114</v>
      </c>
    </row>
    <row r="44" spans="1:13">
      <c r="A44" t="s">
        <v>15624</v>
      </c>
      <c r="B44" t="s">
        <v>15624</v>
      </c>
      <c r="C44" t="s">
        <v>15642</v>
      </c>
      <c r="D44" t="s">
        <v>4310</v>
      </c>
      <c r="F44" t="str">
        <f>Config!$B$7</f>
        <v>SCH/Connector.SchLib</v>
      </c>
      <c r="G44" t="s">
        <v>14827</v>
      </c>
      <c r="H44" t="s">
        <v>14919</v>
      </c>
      <c r="I44" t="s">
        <v>15604</v>
      </c>
      <c r="J44" s="47"/>
      <c r="K44" s="47" t="s">
        <v>16102</v>
      </c>
      <c r="L44" t="s">
        <v>16102</v>
      </c>
      <c r="M44" t="s">
        <v>16114</v>
      </c>
    </row>
    <row r="45" spans="1:13">
      <c r="A45" t="s">
        <v>15625</v>
      </c>
      <c r="B45" t="s">
        <v>15625</v>
      </c>
      <c r="C45" t="s">
        <v>15643</v>
      </c>
      <c r="D45" t="s">
        <v>4310</v>
      </c>
      <c r="F45" t="str">
        <f>Config!$B$7</f>
        <v>SCH/Connector.SchLib</v>
      </c>
      <c r="G45" t="s">
        <v>14827</v>
      </c>
      <c r="H45" t="s">
        <v>14919</v>
      </c>
      <c r="I45" t="s">
        <v>15605</v>
      </c>
      <c r="J45" s="47"/>
      <c r="K45" s="47" t="s">
        <v>16102</v>
      </c>
      <c r="L45" t="s">
        <v>16112</v>
      </c>
      <c r="M45" t="s">
        <v>16114</v>
      </c>
    </row>
    <row r="46" spans="1:13">
      <c r="A46" t="s">
        <v>15626</v>
      </c>
      <c r="B46" t="s">
        <v>15626</v>
      </c>
      <c r="C46" t="s">
        <v>15644</v>
      </c>
      <c r="D46" t="s">
        <v>4310</v>
      </c>
      <c r="F46" t="str">
        <f>Config!$B$7</f>
        <v>SCH/Connector.SchLib</v>
      </c>
      <c r="G46" t="s">
        <v>14827</v>
      </c>
      <c r="H46" t="s">
        <v>14919</v>
      </c>
      <c r="I46" t="s">
        <v>15606</v>
      </c>
      <c r="J46" s="47"/>
      <c r="K46" s="47" t="s">
        <v>16103</v>
      </c>
      <c r="L46" t="s">
        <v>16094</v>
      </c>
      <c r="M46" t="s">
        <v>16114</v>
      </c>
    </row>
    <row r="47" spans="1:13">
      <c r="A47" t="s">
        <v>15614</v>
      </c>
      <c r="B47" t="s">
        <v>15614</v>
      </c>
      <c r="C47" t="s">
        <v>15645</v>
      </c>
      <c r="D47" t="s">
        <v>4310</v>
      </c>
      <c r="F47" t="str">
        <f>Config!$B$7</f>
        <v>SCH/Connector.SchLib</v>
      </c>
      <c r="G47" t="s">
        <v>14827</v>
      </c>
      <c r="H47" t="s">
        <v>14919</v>
      </c>
      <c r="I47" t="s">
        <v>15607</v>
      </c>
      <c r="J47" s="47"/>
      <c r="K47" s="47" t="s">
        <v>16103</v>
      </c>
      <c r="L47" t="s">
        <v>16095</v>
      </c>
      <c r="M47" t="s">
        <v>16114</v>
      </c>
    </row>
    <row r="48" spans="1:13">
      <c r="A48" t="s">
        <v>15627</v>
      </c>
      <c r="B48" t="s">
        <v>15627</v>
      </c>
      <c r="C48" t="s">
        <v>15646</v>
      </c>
      <c r="D48" t="s">
        <v>4310</v>
      </c>
      <c r="F48" t="str">
        <f>Config!$B$7</f>
        <v>SCH/Connector.SchLib</v>
      </c>
      <c r="G48" t="s">
        <v>14827</v>
      </c>
      <c r="H48" t="s">
        <v>14919</v>
      </c>
      <c r="I48" t="s">
        <v>15608</v>
      </c>
      <c r="J48" s="47"/>
      <c r="K48" s="47" t="s">
        <v>16103</v>
      </c>
      <c r="L48" t="s">
        <v>16107</v>
      </c>
      <c r="M48" t="s">
        <v>16114</v>
      </c>
    </row>
    <row r="49" spans="1:13">
      <c r="A49" t="s">
        <v>15628</v>
      </c>
      <c r="B49" t="s">
        <v>15628</v>
      </c>
      <c r="C49" t="s">
        <v>15647</v>
      </c>
      <c r="D49" t="s">
        <v>4310</v>
      </c>
      <c r="F49" t="str">
        <f>Config!$B$7</f>
        <v>SCH/Connector.SchLib</v>
      </c>
      <c r="G49" t="s">
        <v>14827</v>
      </c>
      <c r="H49" t="s">
        <v>14919</v>
      </c>
      <c r="I49" t="s">
        <v>15609</v>
      </c>
      <c r="J49" s="47"/>
      <c r="K49" s="47" t="s">
        <v>16103</v>
      </c>
      <c r="L49" t="s">
        <v>16100</v>
      </c>
      <c r="M49" t="s">
        <v>16114</v>
      </c>
    </row>
    <row r="50" spans="1:13">
      <c r="A50" t="s">
        <v>15629</v>
      </c>
      <c r="B50" t="s">
        <v>15629</v>
      </c>
      <c r="C50" t="s">
        <v>15648</v>
      </c>
      <c r="D50" t="s">
        <v>4310</v>
      </c>
      <c r="F50" t="str">
        <f>Config!$B$7</f>
        <v>SCH/Connector.SchLib</v>
      </c>
      <c r="G50" t="s">
        <v>14827</v>
      </c>
      <c r="H50" t="s">
        <v>14919</v>
      </c>
      <c r="I50" t="s">
        <v>15610</v>
      </c>
      <c r="J50" s="47"/>
      <c r="K50" s="47" t="s">
        <v>16103</v>
      </c>
      <c r="L50" t="s">
        <v>16108</v>
      </c>
      <c r="M50" t="s">
        <v>16114</v>
      </c>
    </row>
    <row r="51" spans="1:13">
      <c r="A51" t="s">
        <v>15630</v>
      </c>
      <c r="B51" t="s">
        <v>15630</v>
      </c>
      <c r="C51" t="s">
        <v>15649</v>
      </c>
      <c r="D51" t="s">
        <v>4310</v>
      </c>
      <c r="F51" t="str">
        <f>Config!$B$7</f>
        <v>SCH/Connector.SchLib</v>
      </c>
      <c r="G51" t="s">
        <v>14827</v>
      </c>
      <c r="H51" t="s">
        <v>14919</v>
      </c>
      <c r="I51" t="s">
        <v>15611</v>
      </c>
      <c r="J51" s="47"/>
      <c r="K51" s="47" t="s">
        <v>16103</v>
      </c>
      <c r="L51" t="s">
        <v>16113</v>
      </c>
      <c r="M51" t="s">
        <v>16114</v>
      </c>
    </row>
    <row r="52" spans="1:13">
      <c r="J52" s="47"/>
      <c r="K52" s="47"/>
    </row>
    <row r="53" spans="1:13">
      <c r="A53" t="s">
        <v>15529</v>
      </c>
      <c r="B53" t="s">
        <v>15529</v>
      </c>
      <c r="C53" t="s">
        <v>15530</v>
      </c>
      <c r="D53" t="s">
        <v>4310</v>
      </c>
      <c r="F53" t="str">
        <f>Config!$B$7</f>
        <v>SCH/Connector.SchLib</v>
      </c>
      <c r="G53" t="s">
        <v>14827</v>
      </c>
      <c r="H53" t="s">
        <v>15531</v>
      </c>
      <c r="I53" t="s">
        <v>14857</v>
      </c>
      <c r="J53" s="47"/>
      <c r="K53" s="47" t="s">
        <v>16093</v>
      </c>
      <c r="L53" t="s">
        <v>16093</v>
      </c>
      <c r="M53" t="s">
        <v>16118</v>
      </c>
    </row>
    <row r="54" spans="1:13">
      <c r="A54" t="s">
        <v>15532</v>
      </c>
      <c r="B54" t="s">
        <v>15532</v>
      </c>
      <c r="C54" t="s">
        <v>15533</v>
      </c>
      <c r="D54" t="s">
        <v>4310</v>
      </c>
      <c r="F54" t="str">
        <f>Config!$B$7</f>
        <v>SCH/Connector.SchLib</v>
      </c>
      <c r="G54" t="s">
        <v>14827</v>
      </c>
      <c r="H54" t="s">
        <v>15531</v>
      </c>
      <c r="I54" t="s">
        <v>14858</v>
      </c>
      <c r="J54" s="47"/>
      <c r="K54" s="47" t="s">
        <v>16093</v>
      </c>
      <c r="L54" t="s">
        <v>16094</v>
      </c>
      <c r="M54" t="s">
        <v>16118</v>
      </c>
    </row>
    <row r="55" spans="1:13">
      <c r="A55" t="s">
        <v>15534</v>
      </c>
      <c r="B55" t="s">
        <v>15534</v>
      </c>
      <c r="C55" t="s">
        <v>15535</v>
      </c>
      <c r="D55" t="s">
        <v>4310</v>
      </c>
      <c r="F55" t="str">
        <f>Config!$B$7</f>
        <v>SCH/Connector.SchLib</v>
      </c>
      <c r="G55" t="s">
        <v>14827</v>
      </c>
      <c r="H55" t="s">
        <v>15531</v>
      </c>
      <c r="I55" t="s">
        <v>14829</v>
      </c>
      <c r="J55" s="47"/>
      <c r="K55" s="47" t="s">
        <v>16094</v>
      </c>
      <c r="L55" t="s">
        <v>16093</v>
      </c>
      <c r="M55" t="s">
        <v>16118</v>
      </c>
    </row>
    <row r="56" spans="1:13">
      <c r="A56" t="s">
        <v>15536</v>
      </c>
      <c r="B56" t="s">
        <v>15536</v>
      </c>
      <c r="C56" t="s">
        <v>15537</v>
      </c>
      <c r="D56" t="s">
        <v>4310</v>
      </c>
      <c r="F56" t="str">
        <f>Config!$B$7</f>
        <v>SCH/Connector.SchLib</v>
      </c>
      <c r="G56" t="s">
        <v>14827</v>
      </c>
      <c r="H56" t="s">
        <v>15531</v>
      </c>
      <c r="I56" t="s">
        <v>14830</v>
      </c>
      <c r="K56" s="47" t="s">
        <v>16094</v>
      </c>
      <c r="L56" t="s">
        <v>16094</v>
      </c>
      <c r="M56" t="s">
        <v>16118</v>
      </c>
    </row>
    <row r="57" spans="1:13">
      <c r="A57" t="s">
        <v>15538</v>
      </c>
      <c r="B57" t="s">
        <v>15538</v>
      </c>
      <c r="C57" t="s">
        <v>15539</v>
      </c>
      <c r="D57" t="s">
        <v>4310</v>
      </c>
      <c r="F57" t="str">
        <f>Config!$B$7</f>
        <v>SCH/Connector.SchLib</v>
      </c>
      <c r="G57" t="s">
        <v>14827</v>
      </c>
      <c r="H57" t="s">
        <v>15531</v>
      </c>
      <c r="I57" t="s">
        <v>14831</v>
      </c>
      <c r="J57" s="47"/>
      <c r="K57" s="47" t="s">
        <v>16094</v>
      </c>
      <c r="L57" t="s">
        <v>16095</v>
      </c>
      <c r="M57" t="s">
        <v>16118</v>
      </c>
    </row>
    <row r="58" spans="1:13">
      <c r="A58" t="s">
        <v>15540</v>
      </c>
      <c r="B58" t="s">
        <v>15540</v>
      </c>
      <c r="C58" t="s">
        <v>15541</v>
      </c>
      <c r="D58" t="s">
        <v>4310</v>
      </c>
      <c r="F58" t="str">
        <f>Config!$B$7</f>
        <v>SCH/Connector.SchLib</v>
      </c>
      <c r="G58" t="s">
        <v>14827</v>
      </c>
      <c r="H58" t="s">
        <v>15531</v>
      </c>
      <c r="I58" t="s">
        <v>14832</v>
      </c>
      <c r="J58" s="47"/>
      <c r="K58" s="47" t="s">
        <v>16095</v>
      </c>
      <c r="L58" t="s">
        <v>16093</v>
      </c>
      <c r="M58" t="s">
        <v>16118</v>
      </c>
    </row>
    <row r="59" spans="1:13">
      <c r="A59" t="s">
        <v>15542</v>
      </c>
      <c r="B59" t="s">
        <v>15542</v>
      </c>
      <c r="C59" t="s">
        <v>15543</v>
      </c>
      <c r="D59" t="s">
        <v>4310</v>
      </c>
      <c r="F59" t="str">
        <f>Config!$B$7</f>
        <v>SCH/Connector.SchLib</v>
      </c>
      <c r="G59" t="s">
        <v>14827</v>
      </c>
      <c r="H59" t="s">
        <v>15531</v>
      </c>
      <c r="I59" t="s">
        <v>14833</v>
      </c>
      <c r="J59" s="47"/>
      <c r="K59" s="47" t="s">
        <v>16095</v>
      </c>
      <c r="L59" t="s">
        <v>16094</v>
      </c>
      <c r="M59" t="s">
        <v>16118</v>
      </c>
    </row>
    <row r="60" spans="1:13">
      <c r="A60" t="s">
        <v>15544</v>
      </c>
      <c r="B60" t="s">
        <v>15544</v>
      </c>
      <c r="C60" t="s">
        <v>15545</v>
      </c>
      <c r="D60" t="s">
        <v>4310</v>
      </c>
      <c r="F60" t="str">
        <f>Config!$B$7</f>
        <v>SCH/Connector.SchLib</v>
      </c>
      <c r="G60" t="s">
        <v>14827</v>
      </c>
      <c r="H60" t="s">
        <v>15531</v>
      </c>
      <c r="I60" t="s">
        <v>14834</v>
      </c>
      <c r="J60" s="47"/>
      <c r="K60" s="47" t="s">
        <v>16095</v>
      </c>
      <c r="L60" t="s">
        <v>16095</v>
      </c>
      <c r="M60" t="s">
        <v>16118</v>
      </c>
    </row>
    <row r="61" spans="1:13">
      <c r="A61" t="s">
        <v>15546</v>
      </c>
      <c r="B61" t="s">
        <v>15546</v>
      </c>
      <c r="C61" t="s">
        <v>15547</v>
      </c>
      <c r="D61" t="s">
        <v>4310</v>
      </c>
      <c r="F61" t="str">
        <f>Config!$B$7</f>
        <v>SCH/Connector.SchLib</v>
      </c>
      <c r="G61" t="s">
        <v>14827</v>
      </c>
      <c r="H61" t="s">
        <v>15531</v>
      </c>
      <c r="I61" t="s">
        <v>14835</v>
      </c>
      <c r="J61" s="47"/>
      <c r="K61" s="47" t="s">
        <v>16095</v>
      </c>
      <c r="L61" t="s">
        <v>16097</v>
      </c>
      <c r="M61" t="s">
        <v>16118</v>
      </c>
    </row>
    <row r="62" spans="1:13">
      <c r="A62" t="s">
        <v>15548</v>
      </c>
      <c r="B62" t="s">
        <v>15548</v>
      </c>
      <c r="C62" t="s">
        <v>15549</v>
      </c>
      <c r="D62" t="s">
        <v>4310</v>
      </c>
      <c r="F62" t="str">
        <f>Config!$B$7</f>
        <v>SCH/Connector.SchLib</v>
      </c>
      <c r="G62" t="s">
        <v>14827</v>
      </c>
      <c r="H62" t="s">
        <v>15531</v>
      </c>
      <c r="I62" t="s">
        <v>14836</v>
      </c>
      <c r="J62" s="47"/>
      <c r="K62" s="47" t="s">
        <v>16096</v>
      </c>
      <c r="L62" t="s">
        <v>16104</v>
      </c>
      <c r="M62" t="s">
        <v>16118</v>
      </c>
    </row>
    <row r="63" spans="1:13">
      <c r="A63" t="s">
        <v>15550</v>
      </c>
      <c r="B63" t="s">
        <v>15550</v>
      </c>
      <c r="C63" t="s">
        <v>15551</v>
      </c>
      <c r="D63" t="s">
        <v>4310</v>
      </c>
      <c r="F63" t="str">
        <f>Config!$B$7</f>
        <v>SCH/Connector.SchLib</v>
      </c>
      <c r="G63" t="s">
        <v>14827</v>
      </c>
      <c r="H63" t="s">
        <v>15531</v>
      </c>
      <c r="I63" t="s">
        <v>14837</v>
      </c>
      <c r="J63" s="47"/>
      <c r="K63" s="47" t="s">
        <v>16096</v>
      </c>
      <c r="L63" t="s">
        <v>16096</v>
      </c>
      <c r="M63" t="s">
        <v>16118</v>
      </c>
    </row>
    <row r="64" spans="1:13">
      <c r="A64" t="s">
        <v>15552</v>
      </c>
      <c r="B64" t="s">
        <v>15552</v>
      </c>
      <c r="C64" t="s">
        <v>15553</v>
      </c>
      <c r="D64" t="s">
        <v>4310</v>
      </c>
      <c r="F64" t="str">
        <f>Config!$B$7</f>
        <v>SCH/Connector.SchLib</v>
      </c>
      <c r="G64" t="s">
        <v>14827</v>
      </c>
      <c r="H64" t="s">
        <v>15531</v>
      </c>
      <c r="I64" t="s">
        <v>14838</v>
      </c>
      <c r="J64" s="47"/>
      <c r="K64" s="47" t="s">
        <v>16096</v>
      </c>
      <c r="L64" t="s">
        <v>16098</v>
      </c>
      <c r="M64" t="s">
        <v>16118</v>
      </c>
    </row>
    <row r="65" spans="1:13">
      <c r="A65" t="s">
        <v>15554</v>
      </c>
      <c r="B65" t="s">
        <v>15554</v>
      </c>
      <c r="C65" t="s">
        <v>15555</v>
      </c>
      <c r="D65" t="s">
        <v>4310</v>
      </c>
      <c r="F65" t="str">
        <f>Config!$B$7</f>
        <v>SCH/Connector.SchLib</v>
      </c>
      <c r="G65" t="s">
        <v>14827</v>
      </c>
      <c r="H65" t="s">
        <v>15531</v>
      </c>
      <c r="I65" t="s">
        <v>14839</v>
      </c>
      <c r="J65" s="47"/>
      <c r="K65" s="47" t="s">
        <v>16097</v>
      </c>
      <c r="L65" t="s">
        <v>16094</v>
      </c>
      <c r="M65" t="s">
        <v>16118</v>
      </c>
    </row>
    <row r="66" spans="1:13">
      <c r="A66" t="s">
        <v>15556</v>
      </c>
      <c r="B66" t="s">
        <v>15556</v>
      </c>
      <c r="C66" t="s">
        <v>15557</v>
      </c>
      <c r="D66" t="s">
        <v>4310</v>
      </c>
      <c r="F66" t="str">
        <f>Config!$B$7</f>
        <v>SCH/Connector.SchLib</v>
      </c>
      <c r="G66" t="s">
        <v>14827</v>
      </c>
      <c r="H66" t="s">
        <v>15531</v>
      </c>
      <c r="I66" t="s">
        <v>14840</v>
      </c>
      <c r="J66" s="47"/>
      <c r="K66" s="47" t="s">
        <v>16097</v>
      </c>
      <c r="L66" t="s">
        <v>16095</v>
      </c>
      <c r="M66" t="s">
        <v>16118</v>
      </c>
    </row>
    <row r="67" spans="1:13">
      <c r="A67" t="s">
        <v>15558</v>
      </c>
      <c r="B67" t="s">
        <v>15558</v>
      </c>
      <c r="C67" t="s">
        <v>15559</v>
      </c>
      <c r="D67" t="s">
        <v>4310</v>
      </c>
      <c r="F67" t="str">
        <f>Config!$B$7</f>
        <v>SCH/Connector.SchLib</v>
      </c>
      <c r="G67" t="s">
        <v>14827</v>
      </c>
      <c r="H67" t="s">
        <v>15531</v>
      </c>
      <c r="I67" t="s">
        <v>14841</v>
      </c>
      <c r="J67" s="47"/>
      <c r="K67" s="47" t="s">
        <v>16097</v>
      </c>
      <c r="L67" t="s">
        <v>16097</v>
      </c>
      <c r="M67" t="s">
        <v>16118</v>
      </c>
    </row>
    <row r="68" spans="1:13">
      <c r="A68" t="s">
        <v>15560</v>
      </c>
      <c r="B68" t="s">
        <v>15560</v>
      </c>
      <c r="C68" t="s">
        <v>15561</v>
      </c>
      <c r="D68" t="s">
        <v>4310</v>
      </c>
      <c r="F68" t="str">
        <f>Config!$B$7</f>
        <v>SCH/Connector.SchLib</v>
      </c>
      <c r="G68" t="s">
        <v>14827</v>
      </c>
      <c r="H68" t="s">
        <v>15531</v>
      </c>
      <c r="I68" t="s">
        <v>14842</v>
      </c>
      <c r="J68" s="47"/>
      <c r="K68" s="47" t="s">
        <v>16097</v>
      </c>
      <c r="L68" t="s">
        <v>16099</v>
      </c>
      <c r="M68" t="s">
        <v>16118</v>
      </c>
    </row>
    <row r="69" spans="1:13">
      <c r="A69" t="s">
        <v>15562</v>
      </c>
      <c r="B69" t="s">
        <v>15562</v>
      </c>
      <c r="C69" t="s">
        <v>15563</v>
      </c>
      <c r="D69" t="s">
        <v>4310</v>
      </c>
      <c r="F69" t="str">
        <f>Config!$B$7</f>
        <v>SCH/Connector.SchLib</v>
      </c>
      <c r="G69" t="s">
        <v>14827</v>
      </c>
      <c r="H69" t="s">
        <v>15531</v>
      </c>
      <c r="I69" t="s">
        <v>14843</v>
      </c>
      <c r="J69" s="47"/>
      <c r="K69" s="47" t="s">
        <v>16098</v>
      </c>
      <c r="L69" t="s">
        <v>16104</v>
      </c>
      <c r="M69" t="s">
        <v>16118</v>
      </c>
    </row>
    <row r="70" spans="1:13">
      <c r="A70" t="s">
        <v>15564</v>
      </c>
      <c r="B70" t="s">
        <v>15564</v>
      </c>
      <c r="C70" t="s">
        <v>15565</v>
      </c>
      <c r="D70" t="s">
        <v>4310</v>
      </c>
      <c r="F70" t="str">
        <f>Config!$B$7</f>
        <v>SCH/Connector.SchLib</v>
      </c>
      <c r="G70" t="s">
        <v>14827</v>
      </c>
      <c r="H70" t="s">
        <v>15531</v>
      </c>
      <c r="I70" t="s">
        <v>14844</v>
      </c>
      <c r="J70" s="47"/>
      <c r="K70" s="47" t="s">
        <v>16098</v>
      </c>
      <c r="L70" t="s">
        <v>16096</v>
      </c>
      <c r="M70" t="s">
        <v>16118</v>
      </c>
    </row>
    <row r="71" spans="1:13">
      <c r="A71" t="s">
        <v>15566</v>
      </c>
      <c r="B71" t="s">
        <v>15566</v>
      </c>
      <c r="C71" t="s">
        <v>15567</v>
      </c>
      <c r="D71" t="s">
        <v>4310</v>
      </c>
      <c r="F71" t="str">
        <f>Config!$B$7</f>
        <v>SCH/Connector.SchLib</v>
      </c>
      <c r="G71" t="s">
        <v>14827</v>
      </c>
      <c r="H71" t="s">
        <v>15531</v>
      </c>
      <c r="I71" t="s">
        <v>14845</v>
      </c>
      <c r="J71" s="47"/>
      <c r="K71" s="47" t="s">
        <v>16098</v>
      </c>
      <c r="L71" t="s">
        <v>16098</v>
      </c>
      <c r="M71" t="s">
        <v>16118</v>
      </c>
    </row>
    <row r="72" spans="1:13">
      <c r="A72" t="s">
        <v>15568</v>
      </c>
      <c r="B72" t="s">
        <v>15568</v>
      </c>
      <c r="C72" t="s">
        <v>15569</v>
      </c>
      <c r="D72" t="s">
        <v>4310</v>
      </c>
      <c r="F72" t="str">
        <f>Config!$B$7</f>
        <v>SCH/Connector.SchLib</v>
      </c>
      <c r="G72" t="s">
        <v>14827</v>
      </c>
      <c r="H72" t="s">
        <v>15531</v>
      </c>
      <c r="I72" t="s">
        <v>14846</v>
      </c>
      <c r="J72" s="47"/>
      <c r="K72" s="47" t="s">
        <v>16098</v>
      </c>
      <c r="L72" t="s">
        <v>16101</v>
      </c>
      <c r="M72" t="s">
        <v>16118</v>
      </c>
    </row>
    <row r="73" spans="1:13">
      <c r="A73" t="s">
        <v>15570</v>
      </c>
      <c r="B73" t="s">
        <v>15570</v>
      </c>
      <c r="C73" t="s">
        <v>15571</v>
      </c>
      <c r="D73" t="s">
        <v>4310</v>
      </c>
      <c r="F73" t="str">
        <f>Config!$B$7</f>
        <v>SCH/Connector.SchLib</v>
      </c>
      <c r="G73" t="s">
        <v>14827</v>
      </c>
      <c r="H73" t="s">
        <v>15531</v>
      </c>
      <c r="I73" t="s">
        <v>14847</v>
      </c>
      <c r="J73" s="47"/>
      <c r="K73" s="47" t="s">
        <v>16099</v>
      </c>
      <c r="L73" t="s">
        <v>16105</v>
      </c>
      <c r="M73" t="s">
        <v>16118</v>
      </c>
    </row>
    <row r="74" spans="1:13">
      <c r="A74" t="s">
        <v>15572</v>
      </c>
      <c r="B74" t="s">
        <v>15572</v>
      </c>
      <c r="C74" t="s">
        <v>15573</v>
      </c>
      <c r="D74" t="s">
        <v>4310</v>
      </c>
      <c r="F74" t="str">
        <f>Config!$B$7</f>
        <v>SCH/Connector.SchLib</v>
      </c>
      <c r="G74" t="s">
        <v>14827</v>
      </c>
      <c r="H74" t="s">
        <v>15531</v>
      </c>
      <c r="I74" t="s">
        <v>14848</v>
      </c>
      <c r="J74" s="47"/>
      <c r="K74" s="47" t="s">
        <v>16099</v>
      </c>
      <c r="L74" t="s">
        <v>16095</v>
      </c>
      <c r="M74" t="s">
        <v>16118</v>
      </c>
    </row>
    <row r="75" spans="1:13">
      <c r="A75" t="s">
        <v>15574</v>
      </c>
      <c r="B75" t="s">
        <v>15574</v>
      </c>
      <c r="C75" t="s">
        <v>15575</v>
      </c>
      <c r="D75" t="s">
        <v>4310</v>
      </c>
      <c r="F75" t="str">
        <f>Config!$B$7</f>
        <v>SCH/Connector.SchLib</v>
      </c>
      <c r="G75" t="s">
        <v>14827</v>
      </c>
      <c r="H75" t="s">
        <v>15531</v>
      </c>
      <c r="I75" t="s">
        <v>14849</v>
      </c>
      <c r="J75" s="47"/>
      <c r="K75" s="47" t="s">
        <v>16099</v>
      </c>
      <c r="L75" t="s">
        <v>16097</v>
      </c>
      <c r="M75" t="s">
        <v>16118</v>
      </c>
    </row>
    <row r="76" spans="1:13">
      <c r="A76" t="s">
        <v>15576</v>
      </c>
      <c r="B76" t="s">
        <v>15576</v>
      </c>
      <c r="C76" t="s">
        <v>15577</v>
      </c>
      <c r="D76" t="s">
        <v>4310</v>
      </c>
      <c r="F76" t="str">
        <f>Config!$B$7</f>
        <v>SCH/Connector.SchLib</v>
      </c>
      <c r="G76" t="s">
        <v>14827</v>
      </c>
      <c r="H76" t="s">
        <v>15531</v>
      </c>
      <c r="I76" t="s">
        <v>14850</v>
      </c>
      <c r="J76" s="47"/>
      <c r="K76" s="47" t="s">
        <v>16099</v>
      </c>
      <c r="L76" t="s">
        <v>16099</v>
      </c>
      <c r="M76" t="s">
        <v>16118</v>
      </c>
    </row>
    <row r="77" spans="1:13">
      <c r="A77" t="s">
        <v>15578</v>
      </c>
      <c r="B77" t="s">
        <v>15578</v>
      </c>
      <c r="C77" t="s">
        <v>15579</v>
      </c>
      <c r="D77" t="s">
        <v>4310</v>
      </c>
      <c r="F77" t="str">
        <f>Config!$B$7</f>
        <v>SCH/Connector.SchLib</v>
      </c>
      <c r="G77" t="s">
        <v>14827</v>
      </c>
      <c r="H77" t="s">
        <v>15531</v>
      </c>
      <c r="I77" t="s">
        <v>14851</v>
      </c>
      <c r="J77" s="47"/>
      <c r="K77" s="47" t="s">
        <v>16099</v>
      </c>
      <c r="L77" t="s">
        <v>16102</v>
      </c>
      <c r="M77" t="s">
        <v>16118</v>
      </c>
    </row>
    <row r="78" spans="1:13">
      <c r="A78" t="s">
        <v>15580</v>
      </c>
      <c r="B78" t="s">
        <v>15580</v>
      </c>
      <c r="C78" t="s">
        <v>15581</v>
      </c>
      <c r="D78" t="s">
        <v>4310</v>
      </c>
      <c r="F78" t="str">
        <f>Config!$B$7</f>
        <v>SCH/Connector.SchLib</v>
      </c>
      <c r="G78" t="s">
        <v>14827</v>
      </c>
      <c r="H78" t="s">
        <v>15531</v>
      </c>
      <c r="I78" t="s">
        <v>14852</v>
      </c>
      <c r="J78" s="47"/>
      <c r="K78" s="47" t="s">
        <v>16100</v>
      </c>
      <c r="L78" t="s">
        <v>16094</v>
      </c>
      <c r="M78" t="s">
        <v>16118</v>
      </c>
    </row>
    <row r="79" spans="1:13">
      <c r="A79" t="s">
        <v>16050</v>
      </c>
      <c r="B79" t="s">
        <v>16050</v>
      </c>
      <c r="C79" t="s">
        <v>16051</v>
      </c>
      <c r="D79" t="s">
        <v>4310</v>
      </c>
      <c r="F79" t="str">
        <f>Config!$B$7</f>
        <v>SCH/Connector.SchLib</v>
      </c>
      <c r="G79" t="s">
        <v>14827</v>
      </c>
      <c r="H79" t="s">
        <v>15531</v>
      </c>
      <c r="I79" t="s">
        <v>15590</v>
      </c>
      <c r="J79" s="47"/>
      <c r="K79" s="47" t="s">
        <v>16100</v>
      </c>
      <c r="L79" t="s">
        <v>16095</v>
      </c>
      <c r="M79" t="s">
        <v>16118</v>
      </c>
    </row>
    <row r="80" spans="1:13">
      <c r="A80" t="s">
        <v>15582</v>
      </c>
      <c r="B80" t="s">
        <v>15582</v>
      </c>
      <c r="C80" t="s">
        <v>15583</v>
      </c>
      <c r="D80" t="s">
        <v>4310</v>
      </c>
      <c r="F80" t="str">
        <f>Config!$B$7</f>
        <v>SCH/Connector.SchLib</v>
      </c>
      <c r="G80" t="s">
        <v>14827</v>
      </c>
      <c r="H80" t="s">
        <v>15531</v>
      </c>
      <c r="I80" t="s">
        <v>14853</v>
      </c>
      <c r="J80" s="47"/>
      <c r="K80" s="47" t="s">
        <v>16100</v>
      </c>
      <c r="L80" t="s">
        <v>16106</v>
      </c>
      <c r="M80" t="s">
        <v>16118</v>
      </c>
    </row>
    <row r="81" spans="1:13">
      <c r="A81" t="s">
        <v>15584</v>
      </c>
      <c r="B81" t="s">
        <v>15584</v>
      </c>
      <c r="C81" t="s">
        <v>15585</v>
      </c>
      <c r="D81" t="s">
        <v>4310</v>
      </c>
      <c r="F81" t="str">
        <f>Config!$B$7</f>
        <v>SCH/Connector.SchLib</v>
      </c>
      <c r="G81" t="s">
        <v>14827</v>
      </c>
      <c r="H81" t="s">
        <v>15531</v>
      </c>
      <c r="I81" t="s">
        <v>14854</v>
      </c>
      <c r="J81" s="47"/>
      <c r="K81" s="47" t="s">
        <v>16100</v>
      </c>
      <c r="L81" t="s">
        <v>16107</v>
      </c>
      <c r="M81" t="s">
        <v>16118</v>
      </c>
    </row>
    <row r="82" spans="1:13">
      <c r="A82" t="s">
        <v>15586</v>
      </c>
      <c r="B82" t="s">
        <v>15586</v>
      </c>
      <c r="C82" t="s">
        <v>15587</v>
      </c>
      <c r="D82" t="s">
        <v>4310</v>
      </c>
      <c r="F82" t="str">
        <f>Config!$B$7</f>
        <v>SCH/Connector.SchLib</v>
      </c>
      <c r="G82" t="s">
        <v>14827</v>
      </c>
      <c r="H82" t="s">
        <v>15531</v>
      </c>
      <c r="I82" t="s">
        <v>14855</v>
      </c>
      <c r="J82" s="47"/>
      <c r="K82" s="47" t="s">
        <v>16100</v>
      </c>
      <c r="L82" t="s">
        <v>16100</v>
      </c>
      <c r="M82" t="s">
        <v>16118</v>
      </c>
    </row>
    <row r="83" spans="1:13">
      <c r="A83" t="s">
        <v>15588</v>
      </c>
      <c r="B83" t="s">
        <v>15588</v>
      </c>
      <c r="C83" t="s">
        <v>15589</v>
      </c>
      <c r="D83" t="s">
        <v>4310</v>
      </c>
      <c r="F83" t="str">
        <f>Config!$B$7</f>
        <v>SCH/Connector.SchLib</v>
      </c>
      <c r="G83" t="s">
        <v>14827</v>
      </c>
      <c r="H83" t="s">
        <v>15531</v>
      </c>
      <c r="I83" t="s">
        <v>14856</v>
      </c>
      <c r="J83" s="47"/>
      <c r="K83" s="47" t="s">
        <v>16100</v>
      </c>
      <c r="L83" t="s">
        <v>16108</v>
      </c>
      <c r="M83" t="s">
        <v>16118</v>
      </c>
    </row>
    <row r="84" spans="1:13">
      <c r="A84" t="s">
        <v>16052</v>
      </c>
      <c r="B84" t="s">
        <v>16052</v>
      </c>
      <c r="C84" t="s">
        <v>16053</v>
      </c>
      <c r="D84" t="s">
        <v>4310</v>
      </c>
      <c r="F84" t="str">
        <f>Config!$B$7</f>
        <v>SCH/Connector.SchLib</v>
      </c>
      <c r="G84" t="s">
        <v>14827</v>
      </c>
      <c r="H84" t="s">
        <v>15531</v>
      </c>
      <c r="I84" t="s">
        <v>15593</v>
      </c>
      <c r="J84" s="47"/>
      <c r="K84" s="47" t="s">
        <v>16101</v>
      </c>
      <c r="L84" t="s">
        <v>16109</v>
      </c>
      <c r="M84" t="s">
        <v>16118</v>
      </c>
    </row>
    <row r="85" spans="1:13">
      <c r="A85" t="s">
        <v>16054</v>
      </c>
      <c r="B85" t="s">
        <v>16054</v>
      </c>
      <c r="C85" t="s">
        <v>16055</v>
      </c>
      <c r="D85" t="s">
        <v>4310</v>
      </c>
      <c r="F85" t="str">
        <f>Config!$B$7</f>
        <v>SCH/Connector.SchLib</v>
      </c>
      <c r="G85" t="s">
        <v>14827</v>
      </c>
      <c r="H85" t="s">
        <v>15531</v>
      </c>
      <c r="I85" t="s">
        <v>15594</v>
      </c>
      <c r="J85" s="47"/>
      <c r="K85" s="47" t="s">
        <v>16101</v>
      </c>
      <c r="L85" t="s">
        <v>16095</v>
      </c>
      <c r="M85" t="s">
        <v>16118</v>
      </c>
    </row>
    <row r="86" spans="1:13">
      <c r="A86" t="s">
        <v>16056</v>
      </c>
      <c r="B86" t="s">
        <v>16056</v>
      </c>
      <c r="C86" t="s">
        <v>16057</v>
      </c>
      <c r="D86" t="s">
        <v>4310</v>
      </c>
      <c r="F86" t="str">
        <f>Config!$B$7</f>
        <v>SCH/Connector.SchLib</v>
      </c>
      <c r="G86" t="s">
        <v>14827</v>
      </c>
      <c r="H86" t="s">
        <v>15531</v>
      </c>
      <c r="I86" t="s">
        <v>15595</v>
      </c>
      <c r="J86" s="47"/>
      <c r="K86" s="47" t="s">
        <v>16101</v>
      </c>
      <c r="L86" t="s">
        <v>16096</v>
      </c>
      <c r="M86" t="s">
        <v>16118</v>
      </c>
    </row>
    <row r="87" spans="1:13">
      <c r="A87" t="s">
        <v>16058</v>
      </c>
      <c r="B87" t="s">
        <v>16058</v>
      </c>
      <c r="C87" t="s">
        <v>16059</v>
      </c>
      <c r="D87" t="s">
        <v>4310</v>
      </c>
      <c r="F87" t="str">
        <f>Config!$B$7</f>
        <v>SCH/Connector.SchLib</v>
      </c>
      <c r="G87" t="s">
        <v>14827</v>
      </c>
      <c r="H87" t="s">
        <v>15531</v>
      </c>
      <c r="I87" t="s">
        <v>15596</v>
      </c>
      <c r="K87" s="47" t="s">
        <v>16101</v>
      </c>
      <c r="L87" t="s">
        <v>16098</v>
      </c>
      <c r="M87" t="s">
        <v>16118</v>
      </c>
    </row>
    <row r="88" spans="1:13">
      <c r="A88" t="s">
        <v>16060</v>
      </c>
      <c r="B88" t="s">
        <v>16060</v>
      </c>
      <c r="C88" t="s">
        <v>16061</v>
      </c>
      <c r="D88" t="s">
        <v>4310</v>
      </c>
      <c r="F88" t="str">
        <f>Config!$B$7</f>
        <v>SCH/Connector.SchLib</v>
      </c>
      <c r="G88" t="s">
        <v>14827</v>
      </c>
      <c r="H88" t="s">
        <v>15531</v>
      </c>
      <c r="I88" t="s">
        <v>15597</v>
      </c>
      <c r="J88" s="47"/>
      <c r="K88" s="47" t="s">
        <v>16101</v>
      </c>
      <c r="L88" t="s">
        <v>16101</v>
      </c>
      <c r="M88" t="s">
        <v>16118</v>
      </c>
    </row>
    <row r="89" spans="1:13">
      <c r="A89" t="s">
        <v>16062</v>
      </c>
      <c r="B89" t="s">
        <v>16062</v>
      </c>
      <c r="C89" t="s">
        <v>16063</v>
      </c>
      <c r="D89" t="s">
        <v>4310</v>
      </c>
      <c r="F89" t="str">
        <f>Config!$B$7</f>
        <v>SCH/Connector.SchLib</v>
      </c>
      <c r="G89" t="s">
        <v>14827</v>
      </c>
      <c r="H89" t="s">
        <v>15531</v>
      </c>
      <c r="I89" t="s">
        <v>15598</v>
      </c>
      <c r="J89" s="47"/>
      <c r="K89" s="47" t="s">
        <v>16101</v>
      </c>
      <c r="L89" t="s">
        <v>16110</v>
      </c>
      <c r="M89" t="s">
        <v>16118</v>
      </c>
    </row>
    <row r="90" spans="1:13">
      <c r="A90" t="s">
        <v>16064</v>
      </c>
      <c r="B90" t="s">
        <v>16064</v>
      </c>
      <c r="C90" t="s">
        <v>16065</v>
      </c>
      <c r="D90" t="s">
        <v>4310</v>
      </c>
      <c r="F90" t="str">
        <f>Config!$B$7</f>
        <v>SCH/Connector.SchLib</v>
      </c>
      <c r="G90" t="s">
        <v>14827</v>
      </c>
      <c r="H90" t="s">
        <v>15531</v>
      </c>
      <c r="I90" t="s">
        <v>15599</v>
      </c>
      <c r="J90" s="47"/>
      <c r="K90" s="47" t="s">
        <v>16102</v>
      </c>
      <c r="L90" t="s">
        <v>16094</v>
      </c>
      <c r="M90" t="s">
        <v>16118</v>
      </c>
    </row>
    <row r="91" spans="1:13">
      <c r="A91" t="s">
        <v>16066</v>
      </c>
      <c r="B91" t="s">
        <v>16066</v>
      </c>
      <c r="C91" t="s">
        <v>16067</v>
      </c>
      <c r="D91" t="s">
        <v>4310</v>
      </c>
      <c r="F91" t="str">
        <f>Config!$B$7</f>
        <v>SCH/Connector.SchLib</v>
      </c>
      <c r="G91" t="s">
        <v>14827</v>
      </c>
      <c r="H91" t="s">
        <v>15531</v>
      </c>
      <c r="I91" t="s">
        <v>15600</v>
      </c>
      <c r="J91" s="47"/>
      <c r="K91" s="47" t="s">
        <v>16102</v>
      </c>
      <c r="L91" t="s">
        <v>16111</v>
      </c>
      <c r="M91" t="s">
        <v>16118</v>
      </c>
    </row>
    <row r="92" spans="1:13">
      <c r="A92" t="s">
        <v>16068</v>
      </c>
      <c r="B92" t="s">
        <v>16068</v>
      </c>
      <c r="C92" t="s">
        <v>16069</v>
      </c>
      <c r="D92" t="s">
        <v>4310</v>
      </c>
      <c r="F92" t="str">
        <f>Config!$B$7</f>
        <v>SCH/Connector.SchLib</v>
      </c>
      <c r="G92" t="s">
        <v>14827</v>
      </c>
      <c r="H92" t="s">
        <v>15531</v>
      </c>
      <c r="I92" t="s">
        <v>15601</v>
      </c>
      <c r="J92" s="47"/>
      <c r="K92" s="47" t="s">
        <v>16102</v>
      </c>
      <c r="L92" t="s">
        <v>16095</v>
      </c>
      <c r="M92" t="s">
        <v>16118</v>
      </c>
    </row>
    <row r="93" spans="1:13">
      <c r="A93" t="s">
        <v>16070</v>
      </c>
      <c r="B93" t="s">
        <v>16070</v>
      </c>
      <c r="C93" t="s">
        <v>16071</v>
      </c>
      <c r="D93" t="s">
        <v>4310</v>
      </c>
      <c r="F93" t="str">
        <f>Config!$B$7</f>
        <v>SCH/Connector.SchLib</v>
      </c>
      <c r="G93" t="s">
        <v>14827</v>
      </c>
      <c r="H93" t="s">
        <v>15531</v>
      </c>
      <c r="I93" t="s">
        <v>15602</v>
      </c>
      <c r="J93" s="47"/>
      <c r="K93" s="47" t="s">
        <v>16102</v>
      </c>
      <c r="L93" t="s">
        <v>16097</v>
      </c>
      <c r="M93" t="s">
        <v>16118</v>
      </c>
    </row>
    <row r="94" spans="1:13">
      <c r="A94" t="s">
        <v>16072</v>
      </c>
      <c r="B94" t="s">
        <v>16072</v>
      </c>
      <c r="C94" t="s">
        <v>16073</v>
      </c>
      <c r="D94" t="s">
        <v>4310</v>
      </c>
      <c r="F94" t="str">
        <f>Config!$B$7</f>
        <v>SCH/Connector.SchLib</v>
      </c>
      <c r="G94" t="s">
        <v>14827</v>
      </c>
      <c r="H94" t="s">
        <v>15531</v>
      </c>
      <c r="I94" t="s">
        <v>15603</v>
      </c>
      <c r="J94" s="47"/>
      <c r="K94" s="47" t="s">
        <v>16102</v>
      </c>
      <c r="L94" t="s">
        <v>16099</v>
      </c>
      <c r="M94" t="s">
        <v>16118</v>
      </c>
    </row>
    <row r="95" spans="1:13">
      <c r="A95" t="s">
        <v>16074</v>
      </c>
      <c r="B95" t="s">
        <v>16074</v>
      </c>
      <c r="C95" t="s">
        <v>16075</v>
      </c>
      <c r="D95" t="s">
        <v>4310</v>
      </c>
      <c r="F95" t="str">
        <f>Config!$B$7</f>
        <v>SCH/Connector.SchLib</v>
      </c>
      <c r="G95" t="s">
        <v>14827</v>
      </c>
      <c r="H95" t="s">
        <v>15531</v>
      </c>
      <c r="I95" t="s">
        <v>15604</v>
      </c>
      <c r="J95" s="47"/>
      <c r="K95" s="47" t="s">
        <v>16102</v>
      </c>
      <c r="L95" t="s">
        <v>16102</v>
      </c>
      <c r="M95" t="s">
        <v>16118</v>
      </c>
    </row>
    <row r="96" spans="1:13">
      <c r="A96" t="s">
        <v>16076</v>
      </c>
      <c r="B96" t="s">
        <v>16076</v>
      </c>
      <c r="C96" t="s">
        <v>16077</v>
      </c>
      <c r="D96" t="s">
        <v>4310</v>
      </c>
      <c r="F96" t="str">
        <f>Config!$B$7</f>
        <v>SCH/Connector.SchLib</v>
      </c>
      <c r="G96" t="s">
        <v>14827</v>
      </c>
      <c r="H96" t="s">
        <v>15531</v>
      </c>
      <c r="I96" t="s">
        <v>15605</v>
      </c>
      <c r="J96" s="47"/>
      <c r="K96" s="47" t="s">
        <v>16102</v>
      </c>
      <c r="L96" t="s">
        <v>16112</v>
      </c>
      <c r="M96" t="s">
        <v>16118</v>
      </c>
    </row>
    <row r="97" spans="1:13">
      <c r="A97" t="s">
        <v>16078</v>
      </c>
      <c r="B97" t="s">
        <v>16078</v>
      </c>
      <c r="C97" t="s">
        <v>16079</v>
      </c>
      <c r="D97" t="s">
        <v>4310</v>
      </c>
      <c r="F97" t="str">
        <f>Config!$B$7</f>
        <v>SCH/Connector.SchLib</v>
      </c>
      <c r="G97" t="s">
        <v>14827</v>
      </c>
      <c r="H97" t="s">
        <v>15531</v>
      </c>
      <c r="I97" t="s">
        <v>15606</v>
      </c>
      <c r="J97" s="47"/>
      <c r="K97" s="47" t="s">
        <v>16103</v>
      </c>
      <c r="L97" t="s">
        <v>16094</v>
      </c>
      <c r="M97" t="s">
        <v>16118</v>
      </c>
    </row>
    <row r="98" spans="1:13">
      <c r="A98" t="s">
        <v>16080</v>
      </c>
      <c r="B98" t="s">
        <v>16080</v>
      </c>
      <c r="C98" t="s">
        <v>16081</v>
      </c>
      <c r="D98" t="s">
        <v>4310</v>
      </c>
      <c r="F98" t="str">
        <f>Config!$B$7</f>
        <v>SCH/Connector.SchLib</v>
      </c>
      <c r="G98" t="s">
        <v>14827</v>
      </c>
      <c r="H98" t="s">
        <v>15531</v>
      </c>
      <c r="I98" t="s">
        <v>15607</v>
      </c>
      <c r="J98" s="47"/>
      <c r="K98" s="47" t="s">
        <v>16103</v>
      </c>
      <c r="L98" t="s">
        <v>16095</v>
      </c>
      <c r="M98" t="s">
        <v>16118</v>
      </c>
    </row>
    <row r="99" spans="1:13">
      <c r="A99" t="s">
        <v>16082</v>
      </c>
      <c r="B99" t="s">
        <v>16082</v>
      </c>
      <c r="C99" t="s">
        <v>16083</v>
      </c>
      <c r="D99" t="s">
        <v>4310</v>
      </c>
      <c r="F99" t="str">
        <f>Config!$B$7</f>
        <v>SCH/Connector.SchLib</v>
      </c>
      <c r="G99" t="s">
        <v>14827</v>
      </c>
      <c r="H99" t="s">
        <v>15531</v>
      </c>
      <c r="I99" t="s">
        <v>15608</v>
      </c>
      <c r="J99" s="47"/>
      <c r="K99" s="47" t="s">
        <v>16103</v>
      </c>
      <c r="L99" t="s">
        <v>16107</v>
      </c>
      <c r="M99" t="s">
        <v>16118</v>
      </c>
    </row>
    <row r="100" spans="1:13">
      <c r="A100" t="s">
        <v>16084</v>
      </c>
      <c r="B100" t="s">
        <v>16084</v>
      </c>
      <c r="C100" t="s">
        <v>16085</v>
      </c>
      <c r="D100" t="s">
        <v>4310</v>
      </c>
      <c r="F100" t="str">
        <f>Config!$B$7</f>
        <v>SCH/Connector.SchLib</v>
      </c>
      <c r="G100" t="s">
        <v>14827</v>
      </c>
      <c r="H100" t="s">
        <v>15531</v>
      </c>
      <c r="I100" t="s">
        <v>15609</v>
      </c>
      <c r="J100" s="47"/>
      <c r="K100" s="47" t="s">
        <v>16103</v>
      </c>
      <c r="L100" t="s">
        <v>16100</v>
      </c>
      <c r="M100" t="s">
        <v>16118</v>
      </c>
    </row>
    <row r="101" spans="1:13">
      <c r="A101" t="s">
        <v>16086</v>
      </c>
      <c r="B101" t="s">
        <v>16086</v>
      </c>
      <c r="C101" t="s">
        <v>16087</v>
      </c>
      <c r="D101" t="s">
        <v>4310</v>
      </c>
      <c r="F101" t="str">
        <f>Config!$B$7</f>
        <v>SCH/Connector.SchLib</v>
      </c>
      <c r="G101" t="s">
        <v>14827</v>
      </c>
      <c r="H101" t="s">
        <v>15531</v>
      </c>
      <c r="I101" t="s">
        <v>15610</v>
      </c>
      <c r="J101" s="47"/>
      <c r="K101" s="47" t="s">
        <v>16103</v>
      </c>
      <c r="L101" t="s">
        <v>16108</v>
      </c>
      <c r="M101" t="s">
        <v>16118</v>
      </c>
    </row>
    <row r="102" spans="1:13">
      <c r="A102" t="s">
        <v>16088</v>
      </c>
      <c r="B102" t="s">
        <v>16088</v>
      </c>
      <c r="C102" t="s">
        <v>16089</v>
      </c>
      <c r="D102" t="s">
        <v>4310</v>
      </c>
      <c r="F102" t="str">
        <f>Config!$B$7</f>
        <v>SCH/Connector.SchLib</v>
      </c>
      <c r="G102" t="s">
        <v>14827</v>
      </c>
      <c r="H102" t="s">
        <v>15531</v>
      </c>
      <c r="I102" t="s">
        <v>15611</v>
      </c>
      <c r="J102" s="47"/>
      <c r="K102" s="47" t="s">
        <v>16103</v>
      </c>
      <c r="L102" t="s">
        <v>16113</v>
      </c>
      <c r="M102" t="s">
        <v>16118</v>
      </c>
    </row>
    <row r="103" spans="1:13">
      <c r="J103" s="47"/>
      <c r="K103" s="47"/>
    </row>
    <row r="104" spans="1:13">
      <c r="A104" t="s">
        <v>15468</v>
      </c>
      <c r="B104" t="s">
        <v>15468</v>
      </c>
      <c r="C104" t="s">
        <v>15469</v>
      </c>
      <c r="D104" t="s">
        <v>4310</v>
      </c>
      <c r="F104" t="str">
        <f>Config!$B$7</f>
        <v>SCH/Connector.SchLib</v>
      </c>
      <c r="G104" t="s">
        <v>14827</v>
      </c>
      <c r="H104" t="s">
        <v>15470</v>
      </c>
      <c r="I104" t="s">
        <v>14857</v>
      </c>
      <c r="J104" s="47"/>
      <c r="K104" s="47" t="s">
        <v>16093</v>
      </c>
      <c r="L104" t="s">
        <v>16093</v>
      </c>
      <c r="M104" t="s">
        <v>16119</v>
      </c>
    </row>
    <row r="105" spans="1:13">
      <c r="A105" t="s">
        <v>15471</v>
      </c>
      <c r="B105" t="s">
        <v>15471</v>
      </c>
      <c r="C105" t="s">
        <v>15472</v>
      </c>
      <c r="D105" t="s">
        <v>4310</v>
      </c>
      <c r="F105" t="str">
        <f>Config!$B$7</f>
        <v>SCH/Connector.SchLib</v>
      </c>
      <c r="G105" t="s">
        <v>14827</v>
      </c>
      <c r="H105" t="s">
        <v>15470</v>
      </c>
      <c r="I105" t="s">
        <v>14858</v>
      </c>
      <c r="J105" s="47"/>
      <c r="K105" s="47" t="s">
        <v>16093</v>
      </c>
      <c r="L105" t="s">
        <v>16094</v>
      </c>
      <c r="M105" t="s">
        <v>16119</v>
      </c>
    </row>
    <row r="106" spans="1:13">
      <c r="A106" t="s">
        <v>15473</v>
      </c>
      <c r="B106" t="s">
        <v>15473</v>
      </c>
      <c r="C106" t="s">
        <v>15474</v>
      </c>
      <c r="D106" t="s">
        <v>4310</v>
      </c>
      <c r="F106" t="str">
        <f>Config!$B$7</f>
        <v>SCH/Connector.SchLib</v>
      </c>
      <c r="G106" t="s">
        <v>14827</v>
      </c>
      <c r="H106" t="s">
        <v>15470</v>
      </c>
      <c r="I106" t="s">
        <v>14829</v>
      </c>
      <c r="J106" s="47"/>
      <c r="K106" s="47" t="s">
        <v>16094</v>
      </c>
      <c r="L106" t="s">
        <v>16093</v>
      </c>
      <c r="M106" t="s">
        <v>16119</v>
      </c>
    </row>
    <row r="107" spans="1:13">
      <c r="A107" t="s">
        <v>15475</v>
      </c>
      <c r="B107" t="s">
        <v>15475</v>
      </c>
      <c r="C107" t="s">
        <v>15476</v>
      </c>
      <c r="D107" t="s">
        <v>4310</v>
      </c>
      <c r="F107" t="str">
        <f>Config!$B$7</f>
        <v>SCH/Connector.SchLib</v>
      </c>
      <c r="G107" t="s">
        <v>14827</v>
      </c>
      <c r="H107" t="s">
        <v>15470</v>
      </c>
      <c r="I107" t="s">
        <v>14830</v>
      </c>
      <c r="J107" s="47"/>
      <c r="K107" s="47" t="s">
        <v>16094</v>
      </c>
      <c r="L107" t="s">
        <v>16094</v>
      </c>
      <c r="M107" t="s">
        <v>16119</v>
      </c>
    </row>
    <row r="108" spans="1:13">
      <c r="A108" t="s">
        <v>15477</v>
      </c>
      <c r="B108" t="s">
        <v>15477</v>
      </c>
      <c r="C108" t="s">
        <v>15478</v>
      </c>
      <c r="D108" t="s">
        <v>4310</v>
      </c>
      <c r="F108" t="str">
        <f>Config!$B$7</f>
        <v>SCH/Connector.SchLib</v>
      </c>
      <c r="G108" t="s">
        <v>14827</v>
      </c>
      <c r="H108" t="s">
        <v>15470</v>
      </c>
      <c r="I108" t="s">
        <v>14831</v>
      </c>
      <c r="J108" s="47"/>
      <c r="K108" s="47" t="s">
        <v>16094</v>
      </c>
      <c r="L108" t="s">
        <v>16095</v>
      </c>
      <c r="M108" t="s">
        <v>16119</v>
      </c>
    </row>
    <row r="109" spans="1:13">
      <c r="A109" t="s">
        <v>15479</v>
      </c>
      <c r="B109" t="s">
        <v>15479</v>
      </c>
      <c r="C109" t="s">
        <v>15480</v>
      </c>
      <c r="D109" t="s">
        <v>4310</v>
      </c>
      <c r="F109" t="str">
        <f>Config!$B$7</f>
        <v>SCH/Connector.SchLib</v>
      </c>
      <c r="G109" t="s">
        <v>14827</v>
      </c>
      <c r="H109" t="s">
        <v>15470</v>
      </c>
      <c r="I109" t="s">
        <v>14832</v>
      </c>
      <c r="J109" s="47"/>
      <c r="K109" s="47" t="s">
        <v>16095</v>
      </c>
      <c r="L109" t="s">
        <v>16093</v>
      </c>
      <c r="M109" t="s">
        <v>16119</v>
      </c>
    </row>
    <row r="110" spans="1:13">
      <c r="A110" t="s">
        <v>15481</v>
      </c>
      <c r="B110" t="s">
        <v>15481</v>
      </c>
      <c r="C110" t="s">
        <v>15482</v>
      </c>
      <c r="D110" t="s">
        <v>4310</v>
      </c>
      <c r="F110" t="str">
        <f>Config!$B$7</f>
        <v>SCH/Connector.SchLib</v>
      </c>
      <c r="G110" t="s">
        <v>14827</v>
      </c>
      <c r="H110" t="s">
        <v>15470</v>
      </c>
      <c r="I110" t="s">
        <v>14833</v>
      </c>
      <c r="J110" s="47"/>
      <c r="K110" s="47" t="s">
        <v>16095</v>
      </c>
      <c r="L110" t="s">
        <v>16094</v>
      </c>
      <c r="M110" t="s">
        <v>16119</v>
      </c>
    </row>
    <row r="111" spans="1:13">
      <c r="A111" t="s">
        <v>15483</v>
      </c>
      <c r="B111" t="s">
        <v>15483</v>
      </c>
      <c r="C111" t="s">
        <v>15484</v>
      </c>
      <c r="D111" t="s">
        <v>4310</v>
      </c>
      <c r="F111" t="str">
        <f>Config!$B$7</f>
        <v>SCH/Connector.SchLib</v>
      </c>
      <c r="G111" t="s">
        <v>14827</v>
      </c>
      <c r="H111" t="s">
        <v>15470</v>
      </c>
      <c r="I111" t="s">
        <v>14834</v>
      </c>
      <c r="J111" s="47"/>
      <c r="K111" s="47" t="s">
        <v>16095</v>
      </c>
      <c r="L111" t="s">
        <v>16095</v>
      </c>
      <c r="M111" t="s">
        <v>16119</v>
      </c>
    </row>
    <row r="112" spans="1:13">
      <c r="A112" t="s">
        <v>15485</v>
      </c>
      <c r="B112" t="s">
        <v>15485</v>
      </c>
      <c r="C112" t="s">
        <v>15486</v>
      </c>
      <c r="D112" t="s">
        <v>4310</v>
      </c>
      <c r="F112" t="str">
        <f>Config!$B$7</f>
        <v>SCH/Connector.SchLib</v>
      </c>
      <c r="G112" t="s">
        <v>14827</v>
      </c>
      <c r="H112" t="s">
        <v>15470</v>
      </c>
      <c r="I112" t="s">
        <v>14835</v>
      </c>
      <c r="J112" s="47"/>
      <c r="K112" s="47" t="s">
        <v>16095</v>
      </c>
      <c r="L112" t="s">
        <v>16097</v>
      </c>
      <c r="M112" t="s">
        <v>16119</v>
      </c>
    </row>
    <row r="113" spans="1:13">
      <c r="A113" t="s">
        <v>15487</v>
      </c>
      <c r="B113" t="s">
        <v>15487</v>
      </c>
      <c r="C113" t="s">
        <v>15488</v>
      </c>
      <c r="D113" t="s">
        <v>4310</v>
      </c>
      <c r="F113" t="str">
        <f>Config!$B$7</f>
        <v>SCH/Connector.SchLib</v>
      </c>
      <c r="G113" t="s">
        <v>14827</v>
      </c>
      <c r="H113" t="s">
        <v>15470</v>
      </c>
      <c r="I113" t="s">
        <v>14836</v>
      </c>
      <c r="J113" s="47"/>
      <c r="K113" s="47" t="s">
        <v>16096</v>
      </c>
      <c r="L113" t="s">
        <v>16104</v>
      </c>
      <c r="M113" t="s">
        <v>16119</v>
      </c>
    </row>
    <row r="114" spans="1:13">
      <c r="A114" t="s">
        <v>15489</v>
      </c>
      <c r="B114" t="s">
        <v>15489</v>
      </c>
      <c r="C114" t="s">
        <v>15490</v>
      </c>
      <c r="D114" t="s">
        <v>4310</v>
      </c>
      <c r="F114" t="str">
        <f>Config!$B$7</f>
        <v>SCH/Connector.SchLib</v>
      </c>
      <c r="G114" t="s">
        <v>14827</v>
      </c>
      <c r="H114" t="s">
        <v>15470</v>
      </c>
      <c r="I114" t="s">
        <v>14837</v>
      </c>
      <c r="J114" s="47"/>
      <c r="K114" s="47" t="s">
        <v>16096</v>
      </c>
      <c r="L114" t="s">
        <v>16096</v>
      </c>
      <c r="M114" t="s">
        <v>16119</v>
      </c>
    </row>
    <row r="115" spans="1:13">
      <c r="A115" t="s">
        <v>15491</v>
      </c>
      <c r="B115" t="s">
        <v>15491</v>
      </c>
      <c r="C115" t="s">
        <v>15492</v>
      </c>
      <c r="D115" t="s">
        <v>4310</v>
      </c>
      <c r="F115" t="str">
        <f>Config!$B$7</f>
        <v>SCH/Connector.SchLib</v>
      </c>
      <c r="G115" t="s">
        <v>14827</v>
      </c>
      <c r="H115" t="s">
        <v>15470</v>
      </c>
      <c r="I115" t="s">
        <v>14838</v>
      </c>
      <c r="J115" s="47"/>
      <c r="K115" s="47" t="s">
        <v>16096</v>
      </c>
      <c r="L115" t="s">
        <v>16098</v>
      </c>
      <c r="M115" t="s">
        <v>16119</v>
      </c>
    </row>
    <row r="116" spans="1:13">
      <c r="A116" t="s">
        <v>15493</v>
      </c>
      <c r="B116" t="s">
        <v>15493</v>
      </c>
      <c r="C116" t="s">
        <v>15494</v>
      </c>
      <c r="D116" t="s">
        <v>4310</v>
      </c>
      <c r="F116" t="str">
        <f>Config!$B$7</f>
        <v>SCH/Connector.SchLib</v>
      </c>
      <c r="G116" t="s">
        <v>14827</v>
      </c>
      <c r="H116" t="s">
        <v>15470</v>
      </c>
      <c r="I116" t="s">
        <v>14839</v>
      </c>
      <c r="J116" s="47"/>
      <c r="K116" s="47" t="s">
        <v>16097</v>
      </c>
      <c r="L116" t="s">
        <v>16094</v>
      </c>
      <c r="M116" t="s">
        <v>16119</v>
      </c>
    </row>
    <row r="117" spans="1:13">
      <c r="A117" t="s">
        <v>15495</v>
      </c>
      <c r="B117" t="s">
        <v>15495</v>
      </c>
      <c r="C117" t="s">
        <v>15496</v>
      </c>
      <c r="D117" t="s">
        <v>4310</v>
      </c>
      <c r="F117" t="str">
        <f>Config!$B$7</f>
        <v>SCH/Connector.SchLib</v>
      </c>
      <c r="G117" t="s">
        <v>14827</v>
      </c>
      <c r="H117" t="s">
        <v>15470</v>
      </c>
      <c r="I117" t="s">
        <v>14840</v>
      </c>
      <c r="J117" s="47"/>
      <c r="K117" s="47" t="s">
        <v>16097</v>
      </c>
      <c r="L117" t="s">
        <v>16095</v>
      </c>
      <c r="M117" t="s">
        <v>16119</v>
      </c>
    </row>
    <row r="118" spans="1:13">
      <c r="A118" t="s">
        <v>15497</v>
      </c>
      <c r="B118" t="s">
        <v>15497</v>
      </c>
      <c r="C118" t="s">
        <v>15498</v>
      </c>
      <c r="D118" t="s">
        <v>4310</v>
      </c>
      <c r="F118" t="str">
        <f>Config!$B$7</f>
        <v>SCH/Connector.SchLib</v>
      </c>
      <c r="G118" t="s">
        <v>14827</v>
      </c>
      <c r="H118" t="s">
        <v>15470</v>
      </c>
      <c r="I118" t="s">
        <v>14841</v>
      </c>
      <c r="K118" s="47" t="s">
        <v>16097</v>
      </c>
      <c r="L118" t="s">
        <v>16097</v>
      </c>
      <c r="M118" t="s">
        <v>16119</v>
      </c>
    </row>
    <row r="119" spans="1:13">
      <c r="A119" t="s">
        <v>15499</v>
      </c>
      <c r="B119" t="s">
        <v>15499</v>
      </c>
      <c r="C119" t="s">
        <v>15500</v>
      </c>
      <c r="D119" t="s">
        <v>4310</v>
      </c>
      <c r="F119" t="str">
        <f>Config!$B$7</f>
        <v>SCH/Connector.SchLib</v>
      </c>
      <c r="G119" t="s">
        <v>14827</v>
      </c>
      <c r="H119" t="s">
        <v>15470</v>
      </c>
      <c r="I119" t="s">
        <v>14842</v>
      </c>
      <c r="K119" s="47" t="s">
        <v>16097</v>
      </c>
      <c r="L119" t="s">
        <v>16099</v>
      </c>
      <c r="M119" t="s">
        <v>16119</v>
      </c>
    </row>
    <row r="120" spans="1:13">
      <c r="A120" t="s">
        <v>15501</v>
      </c>
      <c r="B120" t="s">
        <v>15501</v>
      </c>
      <c r="C120" t="s">
        <v>15502</v>
      </c>
      <c r="D120" t="s">
        <v>4310</v>
      </c>
      <c r="F120" t="str">
        <f>Config!$B$7</f>
        <v>SCH/Connector.SchLib</v>
      </c>
      <c r="G120" t="s">
        <v>14827</v>
      </c>
      <c r="H120" t="s">
        <v>15470</v>
      </c>
      <c r="I120" t="s">
        <v>14843</v>
      </c>
      <c r="K120" s="47" t="s">
        <v>16098</v>
      </c>
      <c r="L120" t="s">
        <v>16104</v>
      </c>
      <c r="M120" t="s">
        <v>16119</v>
      </c>
    </row>
    <row r="121" spans="1:13">
      <c r="A121" t="s">
        <v>15503</v>
      </c>
      <c r="B121" t="s">
        <v>15503</v>
      </c>
      <c r="C121" t="s">
        <v>15504</v>
      </c>
      <c r="D121" t="s">
        <v>4310</v>
      </c>
      <c r="F121" t="str">
        <f>Config!$B$7</f>
        <v>SCH/Connector.SchLib</v>
      </c>
      <c r="G121" t="s">
        <v>14827</v>
      </c>
      <c r="H121" t="s">
        <v>15470</v>
      </c>
      <c r="I121" t="s">
        <v>14844</v>
      </c>
      <c r="K121" s="47" t="s">
        <v>16098</v>
      </c>
      <c r="L121" t="s">
        <v>16096</v>
      </c>
      <c r="M121" t="s">
        <v>16119</v>
      </c>
    </row>
    <row r="122" spans="1:13">
      <c r="A122" t="s">
        <v>15505</v>
      </c>
      <c r="B122" t="s">
        <v>15505</v>
      </c>
      <c r="C122" t="s">
        <v>15506</v>
      </c>
      <c r="D122" t="s">
        <v>4310</v>
      </c>
      <c r="F122" t="str">
        <f>Config!$B$7</f>
        <v>SCH/Connector.SchLib</v>
      </c>
      <c r="G122" t="s">
        <v>14827</v>
      </c>
      <c r="H122" t="s">
        <v>15470</v>
      </c>
      <c r="I122" t="s">
        <v>14845</v>
      </c>
      <c r="K122" s="47" t="s">
        <v>16098</v>
      </c>
      <c r="L122" t="s">
        <v>16098</v>
      </c>
      <c r="M122" t="s">
        <v>16119</v>
      </c>
    </row>
    <row r="123" spans="1:13">
      <c r="A123" t="s">
        <v>15507</v>
      </c>
      <c r="B123" t="s">
        <v>15507</v>
      </c>
      <c r="C123" t="s">
        <v>15508</v>
      </c>
      <c r="D123" t="s">
        <v>4310</v>
      </c>
      <c r="F123" t="str">
        <f>Config!$B$7</f>
        <v>SCH/Connector.SchLib</v>
      </c>
      <c r="G123" t="s">
        <v>14827</v>
      </c>
      <c r="H123" t="s">
        <v>15470</v>
      </c>
      <c r="I123" t="s">
        <v>14846</v>
      </c>
      <c r="K123" s="47" t="s">
        <v>16098</v>
      </c>
      <c r="L123" t="s">
        <v>16101</v>
      </c>
      <c r="M123" t="s">
        <v>16119</v>
      </c>
    </row>
    <row r="124" spans="1:13">
      <c r="A124" t="s">
        <v>15509</v>
      </c>
      <c r="B124" t="s">
        <v>15509</v>
      </c>
      <c r="C124" t="s">
        <v>15510</v>
      </c>
      <c r="D124" t="s">
        <v>4310</v>
      </c>
      <c r="F124" t="str">
        <f>Config!$B$7</f>
        <v>SCH/Connector.SchLib</v>
      </c>
      <c r="G124" t="s">
        <v>14827</v>
      </c>
      <c r="H124" t="s">
        <v>15470</v>
      </c>
      <c r="I124" t="s">
        <v>14847</v>
      </c>
      <c r="K124" s="47" t="s">
        <v>16099</v>
      </c>
      <c r="L124" t="s">
        <v>16105</v>
      </c>
      <c r="M124" t="s">
        <v>16119</v>
      </c>
    </row>
    <row r="125" spans="1:13">
      <c r="A125" t="s">
        <v>15511</v>
      </c>
      <c r="B125" t="s">
        <v>15511</v>
      </c>
      <c r="C125" t="s">
        <v>15512</v>
      </c>
      <c r="D125" t="s">
        <v>4310</v>
      </c>
      <c r="F125" t="str">
        <f>Config!$B$7</f>
        <v>SCH/Connector.SchLib</v>
      </c>
      <c r="G125" t="s">
        <v>14827</v>
      </c>
      <c r="H125" t="s">
        <v>15470</v>
      </c>
      <c r="I125" t="s">
        <v>14848</v>
      </c>
      <c r="K125" s="47" t="s">
        <v>16099</v>
      </c>
      <c r="L125" t="s">
        <v>16095</v>
      </c>
      <c r="M125" t="s">
        <v>16119</v>
      </c>
    </row>
    <row r="126" spans="1:13">
      <c r="A126" t="s">
        <v>15513</v>
      </c>
      <c r="B126" t="s">
        <v>15513</v>
      </c>
      <c r="C126" t="s">
        <v>15514</v>
      </c>
      <c r="D126" t="s">
        <v>4310</v>
      </c>
      <c r="F126" t="str">
        <f>Config!$B$7</f>
        <v>SCH/Connector.SchLib</v>
      </c>
      <c r="G126" t="s">
        <v>14827</v>
      </c>
      <c r="H126" t="s">
        <v>15470</v>
      </c>
      <c r="I126" t="s">
        <v>14849</v>
      </c>
      <c r="K126" s="47" t="s">
        <v>16099</v>
      </c>
      <c r="L126" t="s">
        <v>16097</v>
      </c>
      <c r="M126" t="s">
        <v>16119</v>
      </c>
    </row>
    <row r="127" spans="1:13">
      <c r="A127" t="s">
        <v>15515</v>
      </c>
      <c r="B127" t="s">
        <v>15515</v>
      </c>
      <c r="C127" t="s">
        <v>15516</v>
      </c>
      <c r="D127" t="s">
        <v>4310</v>
      </c>
      <c r="F127" t="str">
        <f>Config!$B$7</f>
        <v>SCH/Connector.SchLib</v>
      </c>
      <c r="G127" t="s">
        <v>14827</v>
      </c>
      <c r="H127" t="s">
        <v>15470</v>
      </c>
      <c r="I127" t="s">
        <v>14850</v>
      </c>
      <c r="K127" s="47" t="s">
        <v>16099</v>
      </c>
      <c r="L127" t="s">
        <v>16099</v>
      </c>
      <c r="M127" t="s">
        <v>16119</v>
      </c>
    </row>
    <row r="128" spans="1:13">
      <c r="A128" t="s">
        <v>15517</v>
      </c>
      <c r="B128" t="s">
        <v>15517</v>
      </c>
      <c r="C128" t="s">
        <v>15518</v>
      </c>
      <c r="D128" t="s">
        <v>4310</v>
      </c>
      <c r="F128" t="str">
        <f>Config!$B$7</f>
        <v>SCH/Connector.SchLib</v>
      </c>
      <c r="G128" t="s">
        <v>14827</v>
      </c>
      <c r="H128" t="s">
        <v>15470</v>
      </c>
      <c r="I128" t="s">
        <v>14851</v>
      </c>
      <c r="K128" s="47" t="s">
        <v>16099</v>
      </c>
      <c r="L128" t="s">
        <v>16102</v>
      </c>
      <c r="M128" t="s">
        <v>16119</v>
      </c>
    </row>
    <row r="129" spans="1:13">
      <c r="A129" t="s">
        <v>15519</v>
      </c>
      <c r="B129" t="s">
        <v>15519</v>
      </c>
      <c r="C129" t="s">
        <v>15520</v>
      </c>
      <c r="D129" t="s">
        <v>4310</v>
      </c>
      <c r="F129" t="str">
        <f>Config!$B$7</f>
        <v>SCH/Connector.SchLib</v>
      </c>
      <c r="G129" t="s">
        <v>14827</v>
      </c>
      <c r="H129" t="s">
        <v>15470</v>
      </c>
      <c r="I129" t="s">
        <v>14852</v>
      </c>
      <c r="K129" s="47" t="s">
        <v>16100</v>
      </c>
      <c r="L129" t="s">
        <v>16094</v>
      </c>
      <c r="M129" t="s">
        <v>16119</v>
      </c>
    </row>
    <row r="130" spans="1:13">
      <c r="A130" t="s">
        <v>16010</v>
      </c>
      <c r="B130" t="s">
        <v>16010</v>
      </c>
      <c r="C130" t="s">
        <v>16011</v>
      </c>
      <c r="D130" t="s">
        <v>4310</v>
      </c>
      <c r="F130" t="str">
        <f>Config!$B$7</f>
        <v>SCH/Connector.SchLib</v>
      </c>
      <c r="G130" t="s">
        <v>14827</v>
      </c>
      <c r="H130" t="s">
        <v>15470</v>
      </c>
      <c r="I130" t="s">
        <v>15590</v>
      </c>
      <c r="K130" s="47" t="s">
        <v>16100</v>
      </c>
      <c r="L130" t="s">
        <v>16095</v>
      </c>
      <c r="M130" t="s">
        <v>16119</v>
      </c>
    </row>
    <row r="131" spans="1:13">
      <c r="A131" t="s">
        <v>15521</v>
      </c>
      <c r="B131" t="s">
        <v>15521</v>
      </c>
      <c r="C131" t="s">
        <v>15522</v>
      </c>
      <c r="D131" t="s">
        <v>4310</v>
      </c>
      <c r="F131" t="str">
        <f>Config!$B$7</f>
        <v>SCH/Connector.SchLib</v>
      </c>
      <c r="G131" t="s">
        <v>14827</v>
      </c>
      <c r="H131" t="s">
        <v>15470</v>
      </c>
      <c r="I131" t="s">
        <v>14853</v>
      </c>
      <c r="K131" s="47" t="s">
        <v>16100</v>
      </c>
      <c r="L131" t="s">
        <v>16106</v>
      </c>
      <c r="M131" t="s">
        <v>16119</v>
      </c>
    </row>
    <row r="132" spans="1:13">
      <c r="A132" t="s">
        <v>15523</v>
      </c>
      <c r="B132" t="s">
        <v>15523</v>
      </c>
      <c r="C132" t="s">
        <v>15524</v>
      </c>
      <c r="D132" t="s">
        <v>4310</v>
      </c>
      <c r="F132" t="str">
        <f>Config!$B$7</f>
        <v>SCH/Connector.SchLib</v>
      </c>
      <c r="G132" t="s">
        <v>14827</v>
      </c>
      <c r="H132" t="s">
        <v>15470</v>
      </c>
      <c r="I132" t="s">
        <v>14854</v>
      </c>
      <c r="K132" s="47" t="s">
        <v>16100</v>
      </c>
      <c r="L132" t="s">
        <v>16107</v>
      </c>
      <c r="M132" t="s">
        <v>16119</v>
      </c>
    </row>
    <row r="133" spans="1:13">
      <c r="A133" t="s">
        <v>15525</v>
      </c>
      <c r="B133" t="s">
        <v>15525</v>
      </c>
      <c r="C133" t="s">
        <v>15526</v>
      </c>
      <c r="D133" t="s">
        <v>4310</v>
      </c>
      <c r="F133" t="str">
        <f>Config!$B$7</f>
        <v>SCH/Connector.SchLib</v>
      </c>
      <c r="G133" t="s">
        <v>14827</v>
      </c>
      <c r="H133" t="s">
        <v>15470</v>
      </c>
      <c r="I133" t="s">
        <v>14855</v>
      </c>
      <c r="K133" s="47" t="s">
        <v>16100</v>
      </c>
      <c r="L133" t="s">
        <v>16100</v>
      </c>
      <c r="M133" t="s">
        <v>16119</v>
      </c>
    </row>
    <row r="134" spans="1:13">
      <c r="A134" t="s">
        <v>15527</v>
      </c>
      <c r="B134" t="s">
        <v>15527</v>
      </c>
      <c r="C134" t="s">
        <v>15528</v>
      </c>
      <c r="D134" t="s">
        <v>4310</v>
      </c>
      <c r="F134" t="str">
        <f>Config!$B$7</f>
        <v>SCH/Connector.SchLib</v>
      </c>
      <c r="G134" t="s">
        <v>14827</v>
      </c>
      <c r="H134" t="s">
        <v>15470</v>
      </c>
      <c r="I134" t="s">
        <v>14856</v>
      </c>
      <c r="K134" s="47" t="s">
        <v>16100</v>
      </c>
      <c r="L134" t="s">
        <v>16108</v>
      </c>
      <c r="M134" t="s">
        <v>16119</v>
      </c>
    </row>
    <row r="135" spans="1:13">
      <c r="A135" t="s">
        <v>16012</v>
      </c>
      <c r="B135" t="s">
        <v>16012</v>
      </c>
      <c r="C135" t="s">
        <v>16013</v>
      </c>
      <c r="D135" t="s">
        <v>4310</v>
      </c>
      <c r="F135" t="str">
        <f>Config!$B$7</f>
        <v>SCH/Connector.SchLib</v>
      </c>
      <c r="G135" t="s">
        <v>14827</v>
      </c>
      <c r="H135" t="s">
        <v>15470</v>
      </c>
      <c r="I135" t="s">
        <v>15593</v>
      </c>
      <c r="K135" s="47" t="s">
        <v>16101</v>
      </c>
      <c r="L135" t="s">
        <v>16109</v>
      </c>
      <c r="M135" t="s">
        <v>16119</v>
      </c>
    </row>
    <row r="136" spans="1:13">
      <c r="A136" t="s">
        <v>16014</v>
      </c>
      <c r="B136" t="s">
        <v>16014</v>
      </c>
      <c r="C136" t="s">
        <v>16015</v>
      </c>
      <c r="D136" t="s">
        <v>4310</v>
      </c>
      <c r="F136" t="str">
        <f>Config!$B$7</f>
        <v>SCH/Connector.SchLib</v>
      </c>
      <c r="G136" t="s">
        <v>14827</v>
      </c>
      <c r="H136" t="s">
        <v>15470</v>
      </c>
      <c r="I136" t="s">
        <v>15594</v>
      </c>
      <c r="K136" s="47" t="s">
        <v>16101</v>
      </c>
      <c r="L136" t="s">
        <v>16095</v>
      </c>
      <c r="M136" t="s">
        <v>16119</v>
      </c>
    </row>
    <row r="137" spans="1:13">
      <c r="A137" t="s">
        <v>16016</v>
      </c>
      <c r="B137" t="s">
        <v>16016</v>
      </c>
      <c r="C137" t="s">
        <v>16017</v>
      </c>
      <c r="D137" t="s">
        <v>4310</v>
      </c>
      <c r="F137" t="str">
        <f>Config!$B$7</f>
        <v>SCH/Connector.SchLib</v>
      </c>
      <c r="G137" t="s">
        <v>14827</v>
      </c>
      <c r="H137" t="s">
        <v>15470</v>
      </c>
      <c r="I137" t="s">
        <v>15595</v>
      </c>
      <c r="K137" s="47" t="s">
        <v>16101</v>
      </c>
      <c r="L137" t="s">
        <v>16096</v>
      </c>
      <c r="M137" t="s">
        <v>16119</v>
      </c>
    </row>
    <row r="138" spans="1:13">
      <c r="A138" t="s">
        <v>16018</v>
      </c>
      <c r="B138" t="s">
        <v>16018</v>
      </c>
      <c r="C138" t="s">
        <v>16019</v>
      </c>
      <c r="D138" t="s">
        <v>4310</v>
      </c>
      <c r="F138" t="str">
        <f>Config!$B$7</f>
        <v>SCH/Connector.SchLib</v>
      </c>
      <c r="G138" t="s">
        <v>14827</v>
      </c>
      <c r="H138" t="s">
        <v>15470</v>
      </c>
      <c r="I138" t="s">
        <v>15596</v>
      </c>
      <c r="K138" s="47" t="s">
        <v>16101</v>
      </c>
      <c r="L138" t="s">
        <v>16098</v>
      </c>
      <c r="M138" t="s">
        <v>16119</v>
      </c>
    </row>
    <row r="139" spans="1:13">
      <c r="A139" t="s">
        <v>16020</v>
      </c>
      <c r="B139" t="s">
        <v>16020</v>
      </c>
      <c r="C139" t="s">
        <v>16021</v>
      </c>
      <c r="D139" t="s">
        <v>4310</v>
      </c>
      <c r="F139" t="str">
        <f>Config!$B$7</f>
        <v>SCH/Connector.SchLib</v>
      </c>
      <c r="G139" t="s">
        <v>14827</v>
      </c>
      <c r="H139" t="s">
        <v>15470</v>
      </c>
      <c r="I139" t="s">
        <v>15597</v>
      </c>
      <c r="K139" s="47" t="s">
        <v>16101</v>
      </c>
      <c r="L139" t="s">
        <v>16101</v>
      </c>
      <c r="M139" t="s">
        <v>16119</v>
      </c>
    </row>
    <row r="140" spans="1:13">
      <c r="A140" t="s">
        <v>16022</v>
      </c>
      <c r="B140" t="s">
        <v>16022</v>
      </c>
      <c r="C140" t="s">
        <v>16023</v>
      </c>
      <c r="D140" t="s">
        <v>4310</v>
      </c>
      <c r="F140" t="str">
        <f>Config!$B$7</f>
        <v>SCH/Connector.SchLib</v>
      </c>
      <c r="G140" t="s">
        <v>14827</v>
      </c>
      <c r="H140" t="s">
        <v>15470</v>
      </c>
      <c r="I140" t="s">
        <v>15598</v>
      </c>
      <c r="K140" s="47" t="s">
        <v>16101</v>
      </c>
      <c r="L140" t="s">
        <v>16110</v>
      </c>
      <c r="M140" t="s">
        <v>16119</v>
      </c>
    </row>
    <row r="141" spans="1:13">
      <c r="A141" t="s">
        <v>16024</v>
      </c>
      <c r="B141" t="s">
        <v>16024</v>
      </c>
      <c r="C141" t="s">
        <v>16025</v>
      </c>
      <c r="D141" t="s">
        <v>4310</v>
      </c>
      <c r="F141" t="str">
        <f>Config!$B$7</f>
        <v>SCH/Connector.SchLib</v>
      </c>
      <c r="G141" t="s">
        <v>14827</v>
      </c>
      <c r="H141" t="s">
        <v>15470</v>
      </c>
      <c r="I141" t="s">
        <v>15599</v>
      </c>
      <c r="K141" s="47" t="s">
        <v>16102</v>
      </c>
      <c r="L141" t="s">
        <v>16094</v>
      </c>
      <c r="M141" t="s">
        <v>16119</v>
      </c>
    </row>
    <row r="142" spans="1:13">
      <c r="A142" t="s">
        <v>16026</v>
      </c>
      <c r="B142" t="s">
        <v>16026</v>
      </c>
      <c r="C142" t="s">
        <v>16027</v>
      </c>
      <c r="D142" t="s">
        <v>4310</v>
      </c>
      <c r="F142" t="str">
        <f>Config!$B$7</f>
        <v>SCH/Connector.SchLib</v>
      </c>
      <c r="G142" t="s">
        <v>14827</v>
      </c>
      <c r="H142" t="s">
        <v>15470</v>
      </c>
      <c r="I142" t="s">
        <v>15600</v>
      </c>
      <c r="K142" s="47" t="s">
        <v>16102</v>
      </c>
      <c r="L142" t="s">
        <v>16111</v>
      </c>
      <c r="M142" t="s">
        <v>16119</v>
      </c>
    </row>
    <row r="143" spans="1:13">
      <c r="A143" t="s">
        <v>16028</v>
      </c>
      <c r="B143" t="s">
        <v>16028</v>
      </c>
      <c r="C143" t="s">
        <v>16029</v>
      </c>
      <c r="D143" t="s">
        <v>4310</v>
      </c>
      <c r="F143" t="str">
        <f>Config!$B$7</f>
        <v>SCH/Connector.SchLib</v>
      </c>
      <c r="G143" t="s">
        <v>14827</v>
      </c>
      <c r="H143" t="s">
        <v>15470</v>
      </c>
      <c r="I143" t="s">
        <v>15601</v>
      </c>
      <c r="K143" s="47" t="s">
        <v>16102</v>
      </c>
      <c r="L143" t="s">
        <v>16095</v>
      </c>
      <c r="M143" t="s">
        <v>16119</v>
      </c>
    </row>
    <row r="144" spans="1:13">
      <c r="A144" t="s">
        <v>16030</v>
      </c>
      <c r="B144" t="s">
        <v>16030</v>
      </c>
      <c r="C144" t="s">
        <v>16031</v>
      </c>
      <c r="D144" t="s">
        <v>4310</v>
      </c>
      <c r="F144" t="str">
        <f>Config!$B$7</f>
        <v>SCH/Connector.SchLib</v>
      </c>
      <c r="G144" t="s">
        <v>14827</v>
      </c>
      <c r="H144" t="s">
        <v>15470</v>
      </c>
      <c r="I144" t="s">
        <v>15602</v>
      </c>
      <c r="K144" s="47" t="s">
        <v>16102</v>
      </c>
      <c r="L144" t="s">
        <v>16097</v>
      </c>
      <c r="M144" t="s">
        <v>16119</v>
      </c>
    </row>
    <row r="145" spans="1:13">
      <c r="A145" t="s">
        <v>16032</v>
      </c>
      <c r="B145" t="s">
        <v>16032</v>
      </c>
      <c r="C145" t="s">
        <v>16033</v>
      </c>
      <c r="D145" t="s">
        <v>4310</v>
      </c>
      <c r="F145" t="str">
        <f>Config!$B$7</f>
        <v>SCH/Connector.SchLib</v>
      </c>
      <c r="G145" t="s">
        <v>14827</v>
      </c>
      <c r="H145" t="s">
        <v>15470</v>
      </c>
      <c r="I145" t="s">
        <v>15603</v>
      </c>
      <c r="K145" s="47" t="s">
        <v>16102</v>
      </c>
      <c r="L145" t="s">
        <v>16099</v>
      </c>
      <c r="M145" t="s">
        <v>16119</v>
      </c>
    </row>
    <row r="146" spans="1:13">
      <c r="A146" t="s">
        <v>16034</v>
      </c>
      <c r="B146" t="s">
        <v>16034</v>
      </c>
      <c r="C146" t="s">
        <v>16035</v>
      </c>
      <c r="D146" t="s">
        <v>4310</v>
      </c>
      <c r="F146" t="str">
        <f>Config!$B$7</f>
        <v>SCH/Connector.SchLib</v>
      </c>
      <c r="G146" t="s">
        <v>14827</v>
      </c>
      <c r="H146" t="s">
        <v>15470</v>
      </c>
      <c r="I146" t="s">
        <v>15604</v>
      </c>
      <c r="K146" s="47" t="s">
        <v>16102</v>
      </c>
      <c r="L146" t="s">
        <v>16102</v>
      </c>
      <c r="M146" t="s">
        <v>16119</v>
      </c>
    </row>
    <row r="147" spans="1:13">
      <c r="A147" t="s">
        <v>16036</v>
      </c>
      <c r="B147" t="s">
        <v>16036</v>
      </c>
      <c r="C147" t="s">
        <v>16037</v>
      </c>
      <c r="D147" t="s">
        <v>4310</v>
      </c>
      <c r="F147" t="str">
        <f>Config!$B$7</f>
        <v>SCH/Connector.SchLib</v>
      </c>
      <c r="G147" t="s">
        <v>14827</v>
      </c>
      <c r="H147" t="s">
        <v>15470</v>
      </c>
      <c r="I147" t="s">
        <v>15605</v>
      </c>
      <c r="K147" s="47" t="s">
        <v>16102</v>
      </c>
      <c r="L147" t="s">
        <v>16112</v>
      </c>
      <c r="M147" t="s">
        <v>16119</v>
      </c>
    </row>
    <row r="148" spans="1:13">
      <c r="A148" t="s">
        <v>16038</v>
      </c>
      <c r="B148" t="s">
        <v>16038</v>
      </c>
      <c r="C148" t="s">
        <v>16039</v>
      </c>
      <c r="D148" t="s">
        <v>4310</v>
      </c>
      <c r="F148" t="str">
        <f>Config!$B$7</f>
        <v>SCH/Connector.SchLib</v>
      </c>
      <c r="G148" t="s">
        <v>14827</v>
      </c>
      <c r="H148" t="s">
        <v>15470</v>
      </c>
      <c r="I148" t="s">
        <v>15606</v>
      </c>
      <c r="K148" s="47" t="s">
        <v>16103</v>
      </c>
      <c r="L148" t="s">
        <v>16094</v>
      </c>
      <c r="M148" t="s">
        <v>16119</v>
      </c>
    </row>
    <row r="149" spans="1:13">
      <c r="A149" t="s">
        <v>16040</v>
      </c>
      <c r="B149" t="s">
        <v>16040</v>
      </c>
      <c r="C149" t="s">
        <v>16041</v>
      </c>
      <c r="D149" t="s">
        <v>4310</v>
      </c>
      <c r="F149" t="str">
        <f>Config!$B$7</f>
        <v>SCH/Connector.SchLib</v>
      </c>
      <c r="G149" t="s">
        <v>14827</v>
      </c>
      <c r="H149" t="s">
        <v>15470</v>
      </c>
      <c r="I149" t="s">
        <v>15607</v>
      </c>
      <c r="K149" s="47" t="s">
        <v>16103</v>
      </c>
      <c r="L149" t="s">
        <v>16095</v>
      </c>
      <c r="M149" t="s">
        <v>16119</v>
      </c>
    </row>
    <row r="150" spans="1:13">
      <c r="A150" t="s">
        <v>16042</v>
      </c>
      <c r="B150" t="s">
        <v>16042</v>
      </c>
      <c r="C150" t="s">
        <v>16043</v>
      </c>
      <c r="D150" t="s">
        <v>4310</v>
      </c>
      <c r="F150" t="str">
        <f>Config!$B$7</f>
        <v>SCH/Connector.SchLib</v>
      </c>
      <c r="G150" t="s">
        <v>14827</v>
      </c>
      <c r="H150" t="s">
        <v>15470</v>
      </c>
      <c r="I150" t="s">
        <v>15608</v>
      </c>
      <c r="K150" s="47" t="s">
        <v>16103</v>
      </c>
      <c r="L150" t="s">
        <v>16107</v>
      </c>
      <c r="M150" t="s">
        <v>16119</v>
      </c>
    </row>
    <row r="151" spans="1:13">
      <c r="A151" t="s">
        <v>16044</v>
      </c>
      <c r="B151" t="s">
        <v>16044</v>
      </c>
      <c r="C151" t="s">
        <v>16045</v>
      </c>
      <c r="D151" t="s">
        <v>4310</v>
      </c>
      <c r="F151" t="str">
        <f>Config!$B$7</f>
        <v>SCH/Connector.SchLib</v>
      </c>
      <c r="G151" t="s">
        <v>14827</v>
      </c>
      <c r="H151" t="s">
        <v>15470</v>
      </c>
      <c r="I151" t="s">
        <v>15609</v>
      </c>
      <c r="K151" s="47" t="s">
        <v>16103</v>
      </c>
      <c r="L151" t="s">
        <v>16100</v>
      </c>
      <c r="M151" t="s">
        <v>16119</v>
      </c>
    </row>
    <row r="152" spans="1:13">
      <c r="A152" t="s">
        <v>16046</v>
      </c>
      <c r="B152" t="s">
        <v>16046</v>
      </c>
      <c r="C152" t="s">
        <v>16047</v>
      </c>
      <c r="D152" t="s">
        <v>4310</v>
      </c>
      <c r="F152" t="str">
        <f>Config!$B$7</f>
        <v>SCH/Connector.SchLib</v>
      </c>
      <c r="G152" t="s">
        <v>14827</v>
      </c>
      <c r="H152" t="s">
        <v>15470</v>
      </c>
      <c r="I152" t="s">
        <v>15610</v>
      </c>
      <c r="K152" s="47" t="s">
        <v>16103</v>
      </c>
      <c r="L152" t="s">
        <v>16108</v>
      </c>
      <c r="M152" t="s">
        <v>16119</v>
      </c>
    </row>
    <row r="153" spans="1:13">
      <c r="A153" t="s">
        <v>16048</v>
      </c>
      <c r="B153" t="s">
        <v>16048</v>
      </c>
      <c r="C153" t="s">
        <v>16049</v>
      </c>
      <c r="D153" t="s">
        <v>4310</v>
      </c>
      <c r="F153" t="str">
        <f>Config!$B$7</f>
        <v>SCH/Connector.SchLib</v>
      </c>
      <c r="G153" t="s">
        <v>14827</v>
      </c>
      <c r="H153" t="s">
        <v>15470</v>
      </c>
      <c r="I153" t="s">
        <v>15611</v>
      </c>
      <c r="K153" s="47" t="s">
        <v>16103</v>
      </c>
      <c r="L153" t="s">
        <v>16113</v>
      </c>
      <c r="M153" t="s">
        <v>16119</v>
      </c>
    </row>
    <row r="155" spans="1:13">
      <c r="A155" t="s">
        <v>15407</v>
      </c>
      <c r="B155" t="s">
        <v>15407</v>
      </c>
      <c r="C155" t="s">
        <v>15408</v>
      </c>
      <c r="D155" t="s">
        <v>4310</v>
      </c>
      <c r="F155" t="str">
        <f>Config!$B$7</f>
        <v>SCH/Connector.SchLib</v>
      </c>
      <c r="G155" t="s">
        <v>14827</v>
      </c>
      <c r="H155" t="s">
        <v>15409</v>
      </c>
      <c r="I155" t="s">
        <v>14857</v>
      </c>
      <c r="K155" s="47" t="s">
        <v>16093</v>
      </c>
      <c r="L155" t="s">
        <v>16093</v>
      </c>
      <c r="M155" t="s">
        <v>16120</v>
      </c>
    </row>
    <row r="156" spans="1:13">
      <c r="A156" t="s">
        <v>15410</v>
      </c>
      <c r="B156" t="s">
        <v>15410</v>
      </c>
      <c r="C156" t="s">
        <v>15411</v>
      </c>
      <c r="D156" t="s">
        <v>4310</v>
      </c>
      <c r="F156" t="str">
        <f>Config!$B$7</f>
        <v>SCH/Connector.SchLib</v>
      </c>
      <c r="G156" t="s">
        <v>14827</v>
      </c>
      <c r="H156" t="s">
        <v>15409</v>
      </c>
      <c r="I156" t="s">
        <v>14858</v>
      </c>
      <c r="K156" s="47" t="s">
        <v>16093</v>
      </c>
      <c r="L156" t="s">
        <v>16094</v>
      </c>
      <c r="M156" t="s">
        <v>16120</v>
      </c>
    </row>
    <row r="157" spans="1:13">
      <c r="A157" t="s">
        <v>15412</v>
      </c>
      <c r="B157" t="s">
        <v>15412</v>
      </c>
      <c r="C157" t="s">
        <v>15413</v>
      </c>
      <c r="D157" t="s">
        <v>4310</v>
      </c>
      <c r="F157" t="str">
        <f>Config!$B$7</f>
        <v>SCH/Connector.SchLib</v>
      </c>
      <c r="G157" t="s">
        <v>14827</v>
      </c>
      <c r="H157" t="s">
        <v>15409</v>
      </c>
      <c r="I157" t="s">
        <v>14829</v>
      </c>
      <c r="K157" s="47" t="s">
        <v>16094</v>
      </c>
      <c r="L157" t="s">
        <v>16093</v>
      </c>
      <c r="M157" t="s">
        <v>16120</v>
      </c>
    </row>
    <row r="158" spans="1:13">
      <c r="A158" t="s">
        <v>15414</v>
      </c>
      <c r="B158" t="s">
        <v>15414</v>
      </c>
      <c r="C158" t="s">
        <v>15415</v>
      </c>
      <c r="D158" t="s">
        <v>4310</v>
      </c>
      <c r="F158" t="str">
        <f>Config!$B$7</f>
        <v>SCH/Connector.SchLib</v>
      </c>
      <c r="G158" t="s">
        <v>14827</v>
      </c>
      <c r="H158" t="s">
        <v>15409</v>
      </c>
      <c r="I158" t="s">
        <v>14830</v>
      </c>
      <c r="K158" s="47" t="s">
        <v>16094</v>
      </c>
      <c r="L158" t="s">
        <v>16094</v>
      </c>
      <c r="M158" t="s">
        <v>16120</v>
      </c>
    </row>
    <row r="159" spans="1:13">
      <c r="A159" t="s">
        <v>15416</v>
      </c>
      <c r="B159" t="s">
        <v>15416</v>
      </c>
      <c r="C159" t="s">
        <v>15417</v>
      </c>
      <c r="D159" t="s">
        <v>4310</v>
      </c>
      <c r="F159" t="str">
        <f>Config!$B$7</f>
        <v>SCH/Connector.SchLib</v>
      </c>
      <c r="G159" t="s">
        <v>14827</v>
      </c>
      <c r="H159" t="s">
        <v>15409</v>
      </c>
      <c r="I159" t="s">
        <v>14831</v>
      </c>
      <c r="K159" s="47" t="s">
        <v>16094</v>
      </c>
      <c r="L159" t="s">
        <v>16095</v>
      </c>
      <c r="M159" t="s">
        <v>16120</v>
      </c>
    </row>
    <row r="160" spans="1:13">
      <c r="A160" t="s">
        <v>15418</v>
      </c>
      <c r="B160" t="s">
        <v>15418</v>
      </c>
      <c r="C160" t="s">
        <v>15419</v>
      </c>
      <c r="D160" t="s">
        <v>4310</v>
      </c>
      <c r="F160" t="str">
        <f>Config!$B$7</f>
        <v>SCH/Connector.SchLib</v>
      </c>
      <c r="G160" t="s">
        <v>14827</v>
      </c>
      <c r="H160" t="s">
        <v>15409</v>
      </c>
      <c r="I160" t="s">
        <v>14832</v>
      </c>
      <c r="K160" s="47" t="s">
        <v>16095</v>
      </c>
      <c r="L160" t="s">
        <v>16093</v>
      </c>
      <c r="M160" t="s">
        <v>16120</v>
      </c>
    </row>
    <row r="161" spans="1:13">
      <c r="A161" t="s">
        <v>15420</v>
      </c>
      <c r="B161" t="s">
        <v>15420</v>
      </c>
      <c r="C161" t="s">
        <v>15421</v>
      </c>
      <c r="D161" t="s">
        <v>4310</v>
      </c>
      <c r="F161" t="str">
        <f>Config!$B$7</f>
        <v>SCH/Connector.SchLib</v>
      </c>
      <c r="G161" t="s">
        <v>14827</v>
      </c>
      <c r="H161" t="s">
        <v>15409</v>
      </c>
      <c r="I161" t="s">
        <v>14833</v>
      </c>
      <c r="K161" s="47" t="s">
        <v>16095</v>
      </c>
      <c r="L161" t="s">
        <v>16094</v>
      </c>
      <c r="M161" t="s">
        <v>16120</v>
      </c>
    </row>
    <row r="162" spans="1:13">
      <c r="A162" t="s">
        <v>15422</v>
      </c>
      <c r="B162" t="s">
        <v>15422</v>
      </c>
      <c r="C162" t="s">
        <v>15423</v>
      </c>
      <c r="D162" t="s">
        <v>4310</v>
      </c>
      <c r="F162" t="str">
        <f>Config!$B$7</f>
        <v>SCH/Connector.SchLib</v>
      </c>
      <c r="G162" t="s">
        <v>14827</v>
      </c>
      <c r="H162" t="s">
        <v>15409</v>
      </c>
      <c r="I162" t="s">
        <v>14834</v>
      </c>
      <c r="K162" s="47" t="s">
        <v>16095</v>
      </c>
      <c r="L162" t="s">
        <v>16095</v>
      </c>
      <c r="M162" t="s">
        <v>16120</v>
      </c>
    </row>
    <row r="163" spans="1:13">
      <c r="A163" t="s">
        <v>15424</v>
      </c>
      <c r="B163" t="s">
        <v>15424</v>
      </c>
      <c r="C163" t="s">
        <v>15425</v>
      </c>
      <c r="D163" t="s">
        <v>4310</v>
      </c>
      <c r="F163" t="str">
        <f>Config!$B$7</f>
        <v>SCH/Connector.SchLib</v>
      </c>
      <c r="G163" t="s">
        <v>14827</v>
      </c>
      <c r="H163" t="s">
        <v>15409</v>
      </c>
      <c r="I163" t="s">
        <v>14835</v>
      </c>
      <c r="K163" s="47" t="s">
        <v>16095</v>
      </c>
      <c r="L163" t="s">
        <v>16097</v>
      </c>
      <c r="M163" t="s">
        <v>16120</v>
      </c>
    </row>
    <row r="164" spans="1:13">
      <c r="A164" t="s">
        <v>15426</v>
      </c>
      <c r="B164" t="s">
        <v>15426</v>
      </c>
      <c r="C164" t="s">
        <v>15427</v>
      </c>
      <c r="D164" t="s">
        <v>4310</v>
      </c>
      <c r="F164" t="str">
        <f>Config!$B$7</f>
        <v>SCH/Connector.SchLib</v>
      </c>
      <c r="G164" t="s">
        <v>14827</v>
      </c>
      <c r="H164" t="s">
        <v>15409</v>
      </c>
      <c r="I164" t="s">
        <v>14836</v>
      </c>
      <c r="K164" s="47" t="s">
        <v>16096</v>
      </c>
      <c r="L164" t="s">
        <v>16104</v>
      </c>
      <c r="M164" t="s">
        <v>16120</v>
      </c>
    </row>
    <row r="165" spans="1:13">
      <c r="A165" t="s">
        <v>15428</v>
      </c>
      <c r="B165" t="s">
        <v>15428</v>
      </c>
      <c r="C165" t="s">
        <v>15429</v>
      </c>
      <c r="D165" t="s">
        <v>4310</v>
      </c>
      <c r="F165" t="str">
        <f>Config!$B$7</f>
        <v>SCH/Connector.SchLib</v>
      </c>
      <c r="G165" t="s">
        <v>14827</v>
      </c>
      <c r="H165" t="s">
        <v>15409</v>
      </c>
      <c r="I165" t="s">
        <v>14837</v>
      </c>
      <c r="K165" s="47" t="s">
        <v>16096</v>
      </c>
      <c r="L165" t="s">
        <v>16096</v>
      </c>
      <c r="M165" t="s">
        <v>16120</v>
      </c>
    </row>
    <row r="166" spans="1:13">
      <c r="A166" t="s">
        <v>15430</v>
      </c>
      <c r="B166" t="s">
        <v>15430</v>
      </c>
      <c r="C166" t="s">
        <v>15431</v>
      </c>
      <c r="D166" t="s">
        <v>4310</v>
      </c>
      <c r="F166" t="str">
        <f>Config!$B$7</f>
        <v>SCH/Connector.SchLib</v>
      </c>
      <c r="G166" t="s">
        <v>14827</v>
      </c>
      <c r="H166" t="s">
        <v>15409</v>
      </c>
      <c r="I166" t="s">
        <v>14838</v>
      </c>
      <c r="K166" s="47" t="s">
        <v>16096</v>
      </c>
      <c r="L166" t="s">
        <v>16098</v>
      </c>
      <c r="M166" t="s">
        <v>16120</v>
      </c>
    </row>
    <row r="167" spans="1:13">
      <c r="A167" t="s">
        <v>15432</v>
      </c>
      <c r="B167" t="s">
        <v>15432</v>
      </c>
      <c r="C167" t="s">
        <v>15433</v>
      </c>
      <c r="D167" t="s">
        <v>4310</v>
      </c>
      <c r="F167" t="str">
        <f>Config!$B$7</f>
        <v>SCH/Connector.SchLib</v>
      </c>
      <c r="G167" t="s">
        <v>14827</v>
      </c>
      <c r="H167" t="s">
        <v>15409</v>
      </c>
      <c r="I167" t="s">
        <v>14839</v>
      </c>
      <c r="K167" s="47" t="s">
        <v>16097</v>
      </c>
      <c r="L167" t="s">
        <v>16094</v>
      </c>
      <c r="M167" t="s">
        <v>16120</v>
      </c>
    </row>
    <row r="168" spans="1:13">
      <c r="A168" t="s">
        <v>15434</v>
      </c>
      <c r="B168" t="s">
        <v>15434</v>
      </c>
      <c r="C168" t="s">
        <v>15435</v>
      </c>
      <c r="D168" t="s">
        <v>4310</v>
      </c>
      <c r="F168" t="str">
        <f>Config!$B$7</f>
        <v>SCH/Connector.SchLib</v>
      </c>
      <c r="G168" t="s">
        <v>14827</v>
      </c>
      <c r="H168" t="s">
        <v>15409</v>
      </c>
      <c r="I168" t="s">
        <v>14840</v>
      </c>
      <c r="K168" s="47" t="s">
        <v>16097</v>
      </c>
      <c r="L168" t="s">
        <v>16095</v>
      </c>
      <c r="M168" t="s">
        <v>16120</v>
      </c>
    </row>
    <row r="169" spans="1:13">
      <c r="A169" t="s">
        <v>15436</v>
      </c>
      <c r="B169" t="s">
        <v>15436</v>
      </c>
      <c r="C169" t="s">
        <v>15437</v>
      </c>
      <c r="D169" t="s">
        <v>4310</v>
      </c>
      <c r="F169" t="str">
        <f>Config!$B$7</f>
        <v>SCH/Connector.SchLib</v>
      </c>
      <c r="G169" t="s">
        <v>14827</v>
      </c>
      <c r="H169" t="s">
        <v>15409</v>
      </c>
      <c r="I169" t="s">
        <v>14841</v>
      </c>
      <c r="K169" s="47" t="s">
        <v>16097</v>
      </c>
      <c r="L169" t="s">
        <v>16097</v>
      </c>
      <c r="M169" t="s">
        <v>16120</v>
      </c>
    </row>
    <row r="170" spans="1:13">
      <c r="A170" t="s">
        <v>15438</v>
      </c>
      <c r="B170" t="s">
        <v>15438</v>
      </c>
      <c r="C170" t="s">
        <v>15439</v>
      </c>
      <c r="D170" t="s">
        <v>4310</v>
      </c>
      <c r="F170" t="str">
        <f>Config!$B$7</f>
        <v>SCH/Connector.SchLib</v>
      </c>
      <c r="G170" t="s">
        <v>14827</v>
      </c>
      <c r="H170" t="s">
        <v>15409</v>
      </c>
      <c r="I170" t="s">
        <v>14842</v>
      </c>
      <c r="K170" s="47" t="s">
        <v>16097</v>
      </c>
      <c r="L170" t="s">
        <v>16099</v>
      </c>
      <c r="M170" t="s">
        <v>16120</v>
      </c>
    </row>
    <row r="171" spans="1:13">
      <c r="A171" t="s">
        <v>15440</v>
      </c>
      <c r="B171" t="s">
        <v>15440</v>
      </c>
      <c r="C171" t="s">
        <v>15441</v>
      </c>
      <c r="D171" t="s">
        <v>4310</v>
      </c>
      <c r="F171" t="str">
        <f>Config!$B$7</f>
        <v>SCH/Connector.SchLib</v>
      </c>
      <c r="G171" t="s">
        <v>14827</v>
      </c>
      <c r="H171" t="s">
        <v>15409</v>
      </c>
      <c r="I171" t="s">
        <v>14843</v>
      </c>
      <c r="K171" s="47" t="s">
        <v>16098</v>
      </c>
      <c r="L171" t="s">
        <v>16104</v>
      </c>
      <c r="M171" t="s">
        <v>16120</v>
      </c>
    </row>
    <row r="172" spans="1:13">
      <c r="A172" t="s">
        <v>15442</v>
      </c>
      <c r="B172" t="s">
        <v>15442</v>
      </c>
      <c r="C172" t="s">
        <v>15443</v>
      </c>
      <c r="D172" t="s">
        <v>4310</v>
      </c>
      <c r="F172" t="str">
        <f>Config!$B$7</f>
        <v>SCH/Connector.SchLib</v>
      </c>
      <c r="G172" t="s">
        <v>14827</v>
      </c>
      <c r="H172" t="s">
        <v>15409</v>
      </c>
      <c r="I172" t="s">
        <v>14844</v>
      </c>
      <c r="K172" s="47" t="s">
        <v>16098</v>
      </c>
      <c r="L172" t="s">
        <v>16096</v>
      </c>
      <c r="M172" t="s">
        <v>16120</v>
      </c>
    </row>
    <row r="173" spans="1:13">
      <c r="A173" t="s">
        <v>15444</v>
      </c>
      <c r="B173" t="s">
        <v>15444</v>
      </c>
      <c r="C173" t="s">
        <v>15445</v>
      </c>
      <c r="D173" t="s">
        <v>4310</v>
      </c>
      <c r="F173" t="str">
        <f>Config!$B$7</f>
        <v>SCH/Connector.SchLib</v>
      </c>
      <c r="G173" t="s">
        <v>14827</v>
      </c>
      <c r="H173" t="s">
        <v>15409</v>
      </c>
      <c r="I173" t="s">
        <v>14845</v>
      </c>
      <c r="K173" s="47" t="s">
        <v>16098</v>
      </c>
      <c r="L173" t="s">
        <v>16098</v>
      </c>
      <c r="M173" t="s">
        <v>16120</v>
      </c>
    </row>
    <row r="174" spans="1:13">
      <c r="A174" t="s">
        <v>15446</v>
      </c>
      <c r="B174" t="s">
        <v>15446</v>
      </c>
      <c r="C174" t="s">
        <v>15447</v>
      </c>
      <c r="D174" t="s">
        <v>4310</v>
      </c>
      <c r="F174" t="str">
        <f>Config!$B$7</f>
        <v>SCH/Connector.SchLib</v>
      </c>
      <c r="G174" t="s">
        <v>14827</v>
      </c>
      <c r="H174" t="s">
        <v>15409</v>
      </c>
      <c r="I174" t="s">
        <v>14846</v>
      </c>
      <c r="K174" s="47" t="s">
        <v>16098</v>
      </c>
      <c r="L174" t="s">
        <v>16101</v>
      </c>
      <c r="M174" t="s">
        <v>16120</v>
      </c>
    </row>
    <row r="175" spans="1:13">
      <c r="A175" t="s">
        <v>15448</v>
      </c>
      <c r="B175" t="s">
        <v>15448</v>
      </c>
      <c r="C175" t="s">
        <v>15449</v>
      </c>
      <c r="D175" t="s">
        <v>4310</v>
      </c>
      <c r="F175" t="str">
        <f>Config!$B$7</f>
        <v>SCH/Connector.SchLib</v>
      </c>
      <c r="G175" t="s">
        <v>14827</v>
      </c>
      <c r="H175" t="s">
        <v>15409</v>
      </c>
      <c r="I175" t="s">
        <v>14847</v>
      </c>
      <c r="K175" s="47" t="s">
        <v>16099</v>
      </c>
      <c r="L175" t="s">
        <v>16105</v>
      </c>
      <c r="M175" t="s">
        <v>16120</v>
      </c>
    </row>
    <row r="176" spans="1:13">
      <c r="A176" t="s">
        <v>15450</v>
      </c>
      <c r="B176" t="s">
        <v>15450</v>
      </c>
      <c r="C176" t="s">
        <v>15451</v>
      </c>
      <c r="D176" t="s">
        <v>4310</v>
      </c>
      <c r="F176" t="str">
        <f>Config!$B$7</f>
        <v>SCH/Connector.SchLib</v>
      </c>
      <c r="G176" t="s">
        <v>14827</v>
      </c>
      <c r="H176" t="s">
        <v>15409</v>
      </c>
      <c r="I176" t="s">
        <v>14848</v>
      </c>
      <c r="K176" s="47" t="s">
        <v>16099</v>
      </c>
      <c r="L176" t="s">
        <v>16095</v>
      </c>
      <c r="M176" t="s">
        <v>16120</v>
      </c>
    </row>
    <row r="177" spans="1:13">
      <c r="A177" t="s">
        <v>15452</v>
      </c>
      <c r="B177" t="s">
        <v>15452</v>
      </c>
      <c r="C177" t="s">
        <v>15453</v>
      </c>
      <c r="D177" t="s">
        <v>4310</v>
      </c>
      <c r="F177" t="str">
        <f>Config!$B$7</f>
        <v>SCH/Connector.SchLib</v>
      </c>
      <c r="G177" t="s">
        <v>14827</v>
      </c>
      <c r="H177" t="s">
        <v>15409</v>
      </c>
      <c r="I177" t="s">
        <v>14849</v>
      </c>
      <c r="K177" s="47" t="s">
        <v>16099</v>
      </c>
      <c r="L177" t="s">
        <v>16097</v>
      </c>
      <c r="M177" t="s">
        <v>16120</v>
      </c>
    </row>
    <row r="178" spans="1:13">
      <c r="A178" t="s">
        <v>15454</v>
      </c>
      <c r="B178" t="s">
        <v>15454</v>
      </c>
      <c r="C178" t="s">
        <v>15455</v>
      </c>
      <c r="D178" t="s">
        <v>4310</v>
      </c>
      <c r="F178" t="str">
        <f>Config!$B$7</f>
        <v>SCH/Connector.SchLib</v>
      </c>
      <c r="G178" t="s">
        <v>14827</v>
      </c>
      <c r="H178" t="s">
        <v>15409</v>
      </c>
      <c r="I178" t="s">
        <v>14850</v>
      </c>
      <c r="K178" s="47" t="s">
        <v>16099</v>
      </c>
      <c r="L178" t="s">
        <v>16099</v>
      </c>
      <c r="M178" t="s">
        <v>16120</v>
      </c>
    </row>
    <row r="179" spans="1:13">
      <c r="A179" t="s">
        <v>15456</v>
      </c>
      <c r="B179" t="s">
        <v>15456</v>
      </c>
      <c r="C179" t="s">
        <v>15457</v>
      </c>
      <c r="D179" t="s">
        <v>4310</v>
      </c>
      <c r="F179" t="str">
        <f>Config!$B$7</f>
        <v>SCH/Connector.SchLib</v>
      </c>
      <c r="G179" t="s">
        <v>14827</v>
      </c>
      <c r="H179" t="s">
        <v>15409</v>
      </c>
      <c r="I179" t="s">
        <v>14851</v>
      </c>
      <c r="K179" s="47" t="s">
        <v>16099</v>
      </c>
      <c r="L179" t="s">
        <v>16102</v>
      </c>
      <c r="M179" t="s">
        <v>16120</v>
      </c>
    </row>
    <row r="180" spans="1:13">
      <c r="A180" t="s">
        <v>15458</v>
      </c>
      <c r="B180" t="s">
        <v>15458</v>
      </c>
      <c r="C180" t="s">
        <v>15459</v>
      </c>
      <c r="D180" t="s">
        <v>4310</v>
      </c>
      <c r="F180" t="str">
        <f>Config!$B$7</f>
        <v>SCH/Connector.SchLib</v>
      </c>
      <c r="G180" t="s">
        <v>14827</v>
      </c>
      <c r="H180" t="s">
        <v>15409</v>
      </c>
      <c r="I180" t="s">
        <v>14852</v>
      </c>
      <c r="K180" s="47" t="s">
        <v>16100</v>
      </c>
      <c r="L180" t="s">
        <v>16094</v>
      </c>
      <c r="M180" t="s">
        <v>16120</v>
      </c>
    </row>
    <row r="181" spans="1:13">
      <c r="A181" t="s">
        <v>15970</v>
      </c>
      <c r="B181" t="s">
        <v>15970</v>
      </c>
      <c r="C181" t="s">
        <v>15971</v>
      </c>
      <c r="D181" t="s">
        <v>4310</v>
      </c>
      <c r="F181" t="str">
        <f>Config!$B$7</f>
        <v>SCH/Connector.SchLib</v>
      </c>
      <c r="G181" t="s">
        <v>14827</v>
      </c>
      <c r="H181" t="s">
        <v>15409</v>
      </c>
      <c r="I181" t="s">
        <v>15590</v>
      </c>
      <c r="K181" s="47" t="s">
        <v>16100</v>
      </c>
      <c r="L181" t="s">
        <v>16095</v>
      </c>
      <c r="M181" t="s">
        <v>16120</v>
      </c>
    </row>
    <row r="182" spans="1:13">
      <c r="A182" t="s">
        <v>15460</v>
      </c>
      <c r="B182" t="s">
        <v>15460</v>
      </c>
      <c r="C182" t="s">
        <v>15461</v>
      </c>
      <c r="D182" t="s">
        <v>4310</v>
      </c>
      <c r="F182" t="str">
        <f>Config!$B$7</f>
        <v>SCH/Connector.SchLib</v>
      </c>
      <c r="G182" t="s">
        <v>14827</v>
      </c>
      <c r="H182" t="s">
        <v>15409</v>
      </c>
      <c r="I182" t="s">
        <v>14853</v>
      </c>
      <c r="K182" s="47" t="s">
        <v>16100</v>
      </c>
      <c r="L182" t="s">
        <v>16106</v>
      </c>
      <c r="M182" t="s">
        <v>16120</v>
      </c>
    </row>
    <row r="183" spans="1:13">
      <c r="A183" t="s">
        <v>15462</v>
      </c>
      <c r="B183" t="s">
        <v>15462</v>
      </c>
      <c r="C183" t="s">
        <v>15463</v>
      </c>
      <c r="D183" t="s">
        <v>4310</v>
      </c>
      <c r="F183" t="str">
        <f>Config!$B$7</f>
        <v>SCH/Connector.SchLib</v>
      </c>
      <c r="G183" t="s">
        <v>14827</v>
      </c>
      <c r="H183" t="s">
        <v>15409</v>
      </c>
      <c r="I183" t="s">
        <v>14854</v>
      </c>
      <c r="K183" s="47" t="s">
        <v>16100</v>
      </c>
      <c r="L183" t="s">
        <v>16107</v>
      </c>
      <c r="M183" t="s">
        <v>16120</v>
      </c>
    </row>
    <row r="184" spans="1:13">
      <c r="A184" t="s">
        <v>15464</v>
      </c>
      <c r="B184" t="s">
        <v>15464</v>
      </c>
      <c r="C184" t="s">
        <v>15465</v>
      </c>
      <c r="D184" t="s">
        <v>4310</v>
      </c>
      <c r="F184" t="str">
        <f>Config!$B$7</f>
        <v>SCH/Connector.SchLib</v>
      </c>
      <c r="G184" t="s">
        <v>14827</v>
      </c>
      <c r="H184" t="s">
        <v>15409</v>
      </c>
      <c r="I184" t="s">
        <v>14855</v>
      </c>
      <c r="K184" s="47" t="s">
        <v>16100</v>
      </c>
      <c r="L184" t="s">
        <v>16100</v>
      </c>
      <c r="M184" t="s">
        <v>16120</v>
      </c>
    </row>
    <row r="185" spans="1:13">
      <c r="A185" t="s">
        <v>15466</v>
      </c>
      <c r="B185" t="s">
        <v>15466</v>
      </c>
      <c r="C185" t="s">
        <v>15467</v>
      </c>
      <c r="D185" t="s">
        <v>4310</v>
      </c>
      <c r="F185" t="str">
        <f>Config!$B$7</f>
        <v>SCH/Connector.SchLib</v>
      </c>
      <c r="G185" t="s">
        <v>14827</v>
      </c>
      <c r="H185" t="s">
        <v>15409</v>
      </c>
      <c r="I185" t="s">
        <v>14856</v>
      </c>
      <c r="K185" s="47" t="s">
        <v>16100</v>
      </c>
      <c r="L185" t="s">
        <v>16108</v>
      </c>
      <c r="M185" t="s">
        <v>16120</v>
      </c>
    </row>
    <row r="186" spans="1:13">
      <c r="A186" t="s">
        <v>15972</v>
      </c>
      <c r="B186" t="s">
        <v>15972</v>
      </c>
      <c r="C186" t="s">
        <v>15973</v>
      </c>
      <c r="D186" t="s">
        <v>4310</v>
      </c>
      <c r="F186" t="str">
        <f>Config!$B$7</f>
        <v>SCH/Connector.SchLib</v>
      </c>
      <c r="G186" t="s">
        <v>14827</v>
      </c>
      <c r="H186" t="s">
        <v>15409</v>
      </c>
      <c r="I186" t="s">
        <v>15593</v>
      </c>
      <c r="K186" s="47" t="s">
        <v>16101</v>
      </c>
      <c r="L186" t="s">
        <v>16109</v>
      </c>
      <c r="M186" t="s">
        <v>16120</v>
      </c>
    </row>
    <row r="187" spans="1:13">
      <c r="A187" t="s">
        <v>15974</v>
      </c>
      <c r="B187" t="s">
        <v>15974</v>
      </c>
      <c r="C187" t="s">
        <v>15975</v>
      </c>
      <c r="D187" t="s">
        <v>4310</v>
      </c>
      <c r="F187" t="str">
        <f>Config!$B$7</f>
        <v>SCH/Connector.SchLib</v>
      </c>
      <c r="G187" t="s">
        <v>14827</v>
      </c>
      <c r="H187" t="s">
        <v>15409</v>
      </c>
      <c r="I187" t="s">
        <v>15594</v>
      </c>
      <c r="K187" s="47" t="s">
        <v>16101</v>
      </c>
      <c r="L187" t="s">
        <v>16095</v>
      </c>
      <c r="M187" t="s">
        <v>16120</v>
      </c>
    </row>
    <row r="188" spans="1:13">
      <c r="A188" t="s">
        <v>15976</v>
      </c>
      <c r="B188" t="s">
        <v>15976</v>
      </c>
      <c r="C188" t="s">
        <v>15977</v>
      </c>
      <c r="D188" t="s">
        <v>4310</v>
      </c>
      <c r="F188" t="str">
        <f>Config!$B$7</f>
        <v>SCH/Connector.SchLib</v>
      </c>
      <c r="G188" t="s">
        <v>14827</v>
      </c>
      <c r="H188" t="s">
        <v>15409</v>
      </c>
      <c r="I188" t="s">
        <v>15595</v>
      </c>
      <c r="K188" s="47" t="s">
        <v>16101</v>
      </c>
      <c r="L188" t="s">
        <v>16096</v>
      </c>
      <c r="M188" t="s">
        <v>16120</v>
      </c>
    </row>
    <row r="189" spans="1:13">
      <c r="A189" t="s">
        <v>15978</v>
      </c>
      <c r="B189" t="s">
        <v>15978</v>
      </c>
      <c r="C189" t="s">
        <v>15979</v>
      </c>
      <c r="D189" t="s">
        <v>4310</v>
      </c>
      <c r="F189" t="str">
        <f>Config!$B$7</f>
        <v>SCH/Connector.SchLib</v>
      </c>
      <c r="G189" t="s">
        <v>14827</v>
      </c>
      <c r="H189" t="s">
        <v>15409</v>
      </c>
      <c r="I189" t="s">
        <v>15596</v>
      </c>
      <c r="K189" s="47" t="s">
        <v>16101</v>
      </c>
      <c r="L189" t="s">
        <v>16098</v>
      </c>
      <c r="M189" t="s">
        <v>16120</v>
      </c>
    </row>
    <row r="190" spans="1:13">
      <c r="A190" t="s">
        <v>15980</v>
      </c>
      <c r="B190" t="s">
        <v>15980</v>
      </c>
      <c r="C190" t="s">
        <v>15981</v>
      </c>
      <c r="D190" t="s">
        <v>4310</v>
      </c>
      <c r="F190" t="str">
        <f>Config!$B$7</f>
        <v>SCH/Connector.SchLib</v>
      </c>
      <c r="G190" t="s">
        <v>14827</v>
      </c>
      <c r="H190" t="s">
        <v>15409</v>
      </c>
      <c r="I190" t="s">
        <v>15597</v>
      </c>
      <c r="K190" s="47" t="s">
        <v>16101</v>
      </c>
      <c r="L190" t="s">
        <v>16101</v>
      </c>
      <c r="M190" t="s">
        <v>16120</v>
      </c>
    </row>
    <row r="191" spans="1:13">
      <c r="A191" t="s">
        <v>15982</v>
      </c>
      <c r="B191" t="s">
        <v>15982</v>
      </c>
      <c r="C191" t="s">
        <v>15983</v>
      </c>
      <c r="D191" t="s">
        <v>4310</v>
      </c>
      <c r="F191" t="str">
        <f>Config!$B$7</f>
        <v>SCH/Connector.SchLib</v>
      </c>
      <c r="G191" t="s">
        <v>14827</v>
      </c>
      <c r="H191" t="s">
        <v>15409</v>
      </c>
      <c r="I191" t="s">
        <v>15598</v>
      </c>
      <c r="K191" s="47" t="s">
        <v>16101</v>
      </c>
      <c r="L191" t="s">
        <v>16110</v>
      </c>
      <c r="M191" t="s">
        <v>16120</v>
      </c>
    </row>
    <row r="192" spans="1:13">
      <c r="A192" t="s">
        <v>15984</v>
      </c>
      <c r="B192" t="s">
        <v>15984</v>
      </c>
      <c r="C192" t="s">
        <v>15985</v>
      </c>
      <c r="D192" t="s">
        <v>4310</v>
      </c>
      <c r="F192" t="str">
        <f>Config!$B$7</f>
        <v>SCH/Connector.SchLib</v>
      </c>
      <c r="G192" t="s">
        <v>14827</v>
      </c>
      <c r="H192" t="s">
        <v>15409</v>
      </c>
      <c r="I192" t="s">
        <v>15599</v>
      </c>
      <c r="K192" s="47" t="s">
        <v>16102</v>
      </c>
      <c r="L192" t="s">
        <v>16094</v>
      </c>
      <c r="M192" t="s">
        <v>16120</v>
      </c>
    </row>
    <row r="193" spans="1:13">
      <c r="A193" t="s">
        <v>15986</v>
      </c>
      <c r="B193" t="s">
        <v>15986</v>
      </c>
      <c r="C193" t="s">
        <v>15987</v>
      </c>
      <c r="D193" t="s">
        <v>4310</v>
      </c>
      <c r="F193" t="str">
        <f>Config!$B$7</f>
        <v>SCH/Connector.SchLib</v>
      </c>
      <c r="G193" t="s">
        <v>14827</v>
      </c>
      <c r="H193" t="s">
        <v>15409</v>
      </c>
      <c r="I193" t="s">
        <v>15600</v>
      </c>
      <c r="K193" s="47" t="s">
        <v>16102</v>
      </c>
      <c r="L193" t="s">
        <v>16111</v>
      </c>
      <c r="M193" t="s">
        <v>16120</v>
      </c>
    </row>
    <row r="194" spans="1:13">
      <c r="A194" t="s">
        <v>15988</v>
      </c>
      <c r="B194" t="s">
        <v>15988</v>
      </c>
      <c r="C194" t="s">
        <v>15989</v>
      </c>
      <c r="D194" t="s">
        <v>4310</v>
      </c>
      <c r="F194" t="str">
        <f>Config!$B$7</f>
        <v>SCH/Connector.SchLib</v>
      </c>
      <c r="G194" t="s">
        <v>14827</v>
      </c>
      <c r="H194" t="s">
        <v>15409</v>
      </c>
      <c r="I194" t="s">
        <v>15601</v>
      </c>
      <c r="K194" s="47" t="s">
        <v>16102</v>
      </c>
      <c r="L194" t="s">
        <v>16095</v>
      </c>
      <c r="M194" t="s">
        <v>16120</v>
      </c>
    </row>
    <row r="195" spans="1:13">
      <c r="A195" t="s">
        <v>15990</v>
      </c>
      <c r="B195" t="s">
        <v>15990</v>
      </c>
      <c r="C195" t="s">
        <v>15991</v>
      </c>
      <c r="D195" t="s">
        <v>4310</v>
      </c>
      <c r="F195" t="str">
        <f>Config!$B$7</f>
        <v>SCH/Connector.SchLib</v>
      </c>
      <c r="G195" t="s">
        <v>14827</v>
      </c>
      <c r="H195" t="s">
        <v>15409</v>
      </c>
      <c r="I195" t="s">
        <v>15602</v>
      </c>
      <c r="K195" s="47" t="s">
        <v>16102</v>
      </c>
      <c r="L195" t="s">
        <v>16097</v>
      </c>
      <c r="M195" t="s">
        <v>16120</v>
      </c>
    </row>
    <row r="196" spans="1:13">
      <c r="A196" t="s">
        <v>15992</v>
      </c>
      <c r="B196" t="s">
        <v>15992</v>
      </c>
      <c r="C196" t="s">
        <v>15993</v>
      </c>
      <c r="D196" t="s">
        <v>4310</v>
      </c>
      <c r="F196" t="str">
        <f>Config!$B$7</f>
        <v>SCH/Connector.SchLib</v>
      </c>
      <c r="G196" t="s">
        <v>14827</v>
      </c>
      <c r="H196" t="s">
        <v>15409</v>
      </c>
      <c r="I196" t="s">
        <v>15603</v>
      </c>
      <c r="K196" s="47" t="s">
        <v>16102</v>
      </c>
      <c r="L196" t="s">
        <v>16099</v>
      </c>
      <c r="M196" t="s">
        <v>16120</v>
      </c>
    </row>
    <row r="197" spans="1:13">
      <c r="A197" t="s">
        <v>15994</v>
      </c>
      <c r="B197" t="s">
        <v>15994</v>
      </c>
      <c r="C197" t="s">
        <v>15995</v>
      </c>
      <c r="D197" t="s">
        <v>4310</v>
      </c>
      <c r="F197" t="str">
        <f>Config!$B$7</f>
        <v>SCH/Connector.SchLib</v>
      </c>
      <c r="G197" t="s">
        <v>14827</v>
      </c>
      <c r="H197" t="s">
        <v>15409</v>
      </c>
      <c r="I197" t="s">
        <v>15604</v>
      </c>
      <c r="K197" s="47" t="s">
        <v>16102</v>
      </c>
      <c r="L197" t="s">
        <v>16102</v>
      </c>
      <c r="M197" t="s">
        <v>16120</v>
      </c>
    </row>
    <row r="198" spans="1:13">
      <c r="A198" t="s">
        <v>15996</v>
      </c>
      <c r="B198" t="s">
        <v>15996</v>
      </c>
      <c r="C198" t="s">
        <v>15997</v>
      </c>
      <c r="D198" t="s">
        <v>4310</v>
      </c>
      <c r="F198" t="str">
        <f>Config!$B$7</f>
        <v>SCH/Connector.SchLib</v>
      </c>
      <c r="G198" t="s">
        <v>14827</v>
      </c>
      <c r="H198" t="s">
        <v>15409</v>
      </c>
      <c r="I198" t="s">
        <v>15605</v>
      </c>
      <c r="K198" s="47" t="s">
        <v>16102</v>
      </c>
      <c r="L198" t="s">
        <v>16112</v>
      </c>
      <c r="M198" t="s">
        <v>16120</v>
      </c>
    </row>
    <row r="199" spans="1:13">
      <c r="A199" t="s">
        <v>15998</v>
      </c>
      <c r="B199" t="s">
        <v>15998</v>
      </c>
      <c r="C199" t="s">
        <v>15999</v>
      </c>
      <c r="D199" t="s">
        <v>4310</v>
      </c>
      <c r="F199" t="str">
        <f>Config!$B$7</f>
        <v>SCH/Connector.SchLib</v>
      </c>
      <c r="G199" t="s">
        <v>14827</v>
      </c>
      <c r="H199" t="s">
        <v>15409</v>
      </c>
      <c r="I199" t="s">
        <v>15606</v>
      </c>
      <c r="K199" s="47" t="s">
        <v>16103</v>
      </c>
      <c r="L199" t="s">
        <v>16094</v>
      </c>
      <c r="M199" t="s">
        <v>16120</v>
      </c>
    </row>
    <row r="200" spans="1:13">
      <c r="A200" t="s">
        <v>16000</v>
      </c>
      <c r="B200" t="s">
        <v>16000</v>
      </c>
      <c r="C200" t="s">
        <v>16001</v>
      </c>
      <c r="D200" t="s">
        <v>4310</v>
      </c>
      <c r="F200" t="str">
        <f>Config!$B$7</f>
        <v>SCH/Connector.SchLib</v>
      </c>
      <c r="G200" t="s">
        <v>14827</v>
      </c>
      <c r="H200" t="s">
        <v>15409</v>
      </c>
      <c r="I200" t="s">
        <v>15607</v>
      </c>
      <c r="K200" s="47" t="s">
        <v>16103</v>
      </c>
      <c r="L200" t="s">
        <v>16095</v>
      </c>
      <c r="M200" t="s">
        <v>16120</v>
      </c>
    </row>
    <row r="201" spans="1:13">
      <c r="A201" t="s">
        <v>16002</v>
      </c>
      <c r="B201" t="s">
        <v>16002</v>
      </c>
      <c r="C201" t="s">
        <v>16003</v>
      </c>
      <c r="D201" t="s">
        <v>4310</v>
      </c>
      <c r="F201" t="str">
        <f>Config!$B$7</f>
        <v>SCH/Connector.SchLib</v>
      </c>
      <c r="G201" t="s">
        <v>14827</v>
      </c>
      <c r="H201" t="s">
        <v>15409</v>
      </c>
      <c r="I201" t="s">
        <v>15608</v>
      </c>
      <c r="K201" s="47" t="s">
        <v>16103</v>
      </c>
      <c r="L201" t="s">
        <v>16107</v>
      </c>
      <c r="M201" t="s">
        <v>16120</v>
      </c>
    </row>
    <row r="202" spans="1:13">
      <c r="A202" t="s">
        <v>16004</v>
      </c>
      <c r="B202" t="s">
        <v>16004</v>
      </c>
      <c r="C202" t="s">
        <v>16005</v>
      </c>
      <c r="D202" t="s">
        <v>4310</v>
      </c>
      <c r="F202" t="str">
        <f>Config!$B$7</f>
        <v>SCH/Connector.SchLib</v>
      </c>
      <c r="G202" t="s">
        <v>14827</v>
      </c>
      <c r="H202" t="s">
        <v>15409</v>
      </c>
      <c r="I202" t="s">
        <v>15609</v>
      </c>
      <c r="K202" s="47" t="s">
        <v>16103</v>
      </c>
      <c r="L202" t="s">
        <v>16100</v>
      </c>
      <c r="M202" t="s">
        <v>16120</v>
      </c>
    </row>
    <row r="203" spans="1:13">
      <c r="A203" t="s">
        <v>16006</v>
      </c>
      <c r="B203" t="s">
        <v>16006</v>
      </c>
      <c r="C203" t="s">
        <v>16007</v>
      </c>
      <c r="D203" t="s">
        <v>4310</v>
      </c>
      <c r="F203" t="str">
        <f>Config!$B$7</f>
        <v>SCH/Connector.SchLib</v>
      </c>
      <c r="G203" t="s">
        <v>14827</v>
      </c>
      <c r="H203" t="s">
        <v>15409</v>
      </c>
      <c r="I203" t="s">
        <v>15610</v>
      </c>
      <c r="K203" s="47" t="s">
        <v>16103</v>
      </c>
      <c r="L203" t="s">
        <v>16108</v>
      </c>
      <c r="M203" t="s">
        <v>16120</v>
      </c>
    </row>
    <row r="204" spans="1:13">
      <c r="A204" t="s">
        <v>16008</v>
      </c>
      <c r="B204" t="s">
        <v>16008</v>
      </c>
      <c r="C204" t="s">
        <v>16009</v>
      </c>
      <c r="D204" t="s">
        <v>4310</v>
      </c>
      <c r="F204" t="str">
        <f>Config!$B$7</f>
        <v>SCH/Connector.SchLib</v>
      </c>
      <c r="G204" t="s">
        <v>14827</v>
      </c>
      <c r="H204" t="s">
        <v>15409</v>
      </c>
      <c r="I204" t="s">
        <v>15611</v>
      </c>
      <c r="K204" s="47" t="s">
        <v>16103</v>
      </c>
      <c r="L204" t="s">
        <v>16113</v>
      </c>
      <c r="M204" t="s">
        <v>16120</v>
      </c>
    </row>
    <row r="206" spans="1:13">
      <c r="A206" t="s">
        <v>15346</v>
      </c>
      <c r="B206" t="s">
        <v>15346</v>
      </c>
      <c r="C206" t="s">
        <v>15347</v>
      </c>
      <c r="D206" t="s">
        <v>4310</v>
      </c>
      <c r="F206" t="str">
        <f>Config!$B$7</f>
        <v>SCH/Connector.SchLib</v>
      </c>
      <c r="G206" t="s">
        <v>14827</v>
      </c>
      <c r="H206" t="s">
        <v>15348</v>
      </c>
      <c r="I206" t="s">
        <v>14857</v>
      </c>
      <c r="K206" s="47" t="s">
        <v>16093</v>
      </c>
      <c r="L206" t="s">
        <v>16093</v>
      </c>
      <c r="M206" t="s">
        <v>16121</v>
      </c>
    </row>
    <row r="207" spans="1:13">
      <c r="A207" t="s">
        <v>15349</v>
      </c>
      <c r="B207" t="s">
        <v>15349</v>
      </c>
      <c r="C207" t="s">
        <v>15350</v>
      </c>
      <c r="D207" t="s">
        <v>4310</v>
      </c>
      <c r="F207" t="str">
        <f>Config!$B$7</f>
        <v>SCH/Connector.SchLib</v>
      </c>
      <c r="G207" t="s">
        <v>14827</v>
      </c>
      <c r="H207" t="s">
        <v>15348</v>
      </c>
      <c r="I207" t="s">
        <v>14858</v>
      </c>
      <c r="K207" s="47" t="s">
        <v>16093</v>
      </c>
      <c r="L207" t="s">
        <v>16094</v>
      </c>
      <c r="M207" t="s">
        <v>16121</v>
      </c>
    </row>
    <row r="208" spans="1:13">
      <c r="A208" t="s">
        <v>15351</v>
      </c>
      <c r="B208" t="s">
        <v>15351</v>
      </c>
      <c r="C208" t="s">
        <v>15352</v>
      </c>
      <c r="D208" t="s">
        <v>4310</v>
      </c>
      <c r="F208" t="str">
        <f>Config!$B$7</f>
        <v>SCH/Connector.SchLib</v>
      </c>
      <c r="G208" t="s">
        <v>14827</v>
      </c>
      <c r="H208" t="s">
        <v>15348</v>
      </c>
      <c r="I208" t="s">
        <v>14829</v>
      </c>
      <c r="K208" s="47" t="s">
        <v>16094</v>
      </c>
      <c r="L208" t="s">
        <v>16093</v>
      </c>
      <c r="M208" t="s">
        <v>16121</v>
      </c>
    </row>
    <row r="209" spans="1:13">
      <c r="A209" t="s">
        <v>15353</v>
      </c>
      <c r="B209" t="s">
        <v>15353</v>
      </c>
      <c r="C209" t="s">
        <v>15354</v>
      </c>
      <c r="D209" t="s">
        <v>4310</v>
      </c>
      <c r="F209" t="str">
        <f>Config!$B$7</f>
        <v>SCH/Connector.SchLib</v>
      </c>
      <c r="G209" t="s">
        <v>14827</v>
      </c>
      <c r="H209" t="s">
        <v>15348</v>
      </c>
      <c r="I209" t="s">
        <v>14830</v>
      </c>
      <c r="K209" s="47" t="s">
        <v>16094</v>
      </c>
      <c r="L209" t="s">
        <v>16094</v>
      </c>
      <c r="M209" t="s">
        <v>16121</v>
      </c>
    </row>
    <row r="210" spans="1:13">
      <c r="A210" t="s">
        <v>15355</v>
      </c>
      <c r="B210" t="s">
        <v>15355</v>
      </c>
      <c r="C210" t="s">
        <v>15356</v>
      </c>
      <c r="D210" t="s">
        <v>4310</v>
      </c>
      <c r="F210" t="str">
        <f>Config!$B$7</f>
        <v>SCH/Connector.SchLib</v>
      </c>
      <c r="G210" t="s">
        <v>14827</v>
      </c>
      <c r="H210" t="s">
        <v>15348</v>
      </c>
      <c r="I210" t="s">
        <v>14831</v>
      </c>
      <c r="K210" s="47" t="s">
        <v>16094</v>
      </c>
      <c r="L210" t="s">
        <v>16095</v>
      </c>
      <c r="M210" t="s">
        <v>16121</v>
      </c>
    </row>
    <row r="211" spans="1:13">
      <c r="A211" t="s">
        <v>15357</v>
      </c>
      <c r="B211" t="s">
        <v>15357</v>
      </c>
      <c r="C211" t="s">
        <v>15358</v>
      </c>
      <c r="D211" t="s">
        <v>4310</v>
      </c>
      <c r="F211" t="str">
        <f>Config!$B$7</f>
        <v>SCH/Connector.SchLib</v>
      </c>
      <c r="G211" t="s">
        <v>14827</v>
      </c>
      <c r="H211" t="s">
        <v>15348</v>
      </c>
      <c r="I211" t="s">
        <v>14832</v>
      </c>
      <c r="K211" s="47" t="s">
        <v>16095</v>
      </c>
      <c r="L211" t="s">
        <v>16093</v>
      </c>
      <c r="M211" t="s">
        <v>16121</v>
      </c>
    </row>
    <row r="212" spans="1:13">
      <c r="A212" t="s">
        <v>15359</v>
      </c>
      <c r="B212" t="s">
        <v>15359</v>
      </c>
      <c r="C212" t="s">
        <v>15360</v>
      </c>
      <c r="D212" t="s">
        <v>4310</v>
      </c>
      <c r="F212" t="str">
        <f>Config!$B$7</f>
        <v>SCH/Connector.SchLib</v>
      </c>
      <c r="G212" t="s">
        <v>14827</v>
      </c>
      <c r="H212" t="s">
        <v>15348</v>
      </c>
      <c r="I212" t="s">
        <v>14833</v>
      </c>
      <c r="K212" s="47" t="s">
        <v>16095</v>
      </c>
      <c r="L212" t="s">
        <v>16094</v>
      </c>
      <c r="M212" t="s">
        <v>16121</v>
      </c>
    </row>
    <row r="213" spans="1:13">
      <c r="A213" t="s">
        <v>15361</v>
      </c>
      <c r="B213" t="s">
        <v>15361</v>
      </c>
      <c r="C213" t="s">
        <v>15362</v>
      </c>
      <c r="D213" t="s">
        <v>4310</v>
      </c>
      <c r="F213" t="str">
        <f>Config!$B$7</f>
        <v>SCH/Connector.SchLib</v>
      </c>
      <c r="G213" t="s">
        <v>14827</v>
      </c>
      <c r="H213" t="s">
        <v>15348</v>
      </c>
      <c r="I213" t="s">
        <v>14834</v>
      </c>
      <c r="K213" s="47" t="s">
        <v>16095</v>
      </c>
      <c r="L213" t="s">
        <v>16095</v>
      </c>
      <c r="M213" t="s">
        <v>16121</v>
      </c>
    </row>
    <row r="214" spans="1:13">
      <c r="A214" t="s">
        <v>15363</v>
      </c>
      <c r="B214" t="s">
        <v>15363</v>
      </c>
      <c r="C214" t="s">
        <v>15364</v>
      </c>
      <c r="D214" t="s">
        <v>4310</v>
      </c>
      <c r="F214" t="str">
        <f>Config!$B$7</f>
        <v>SCH/Connector.SchLib</v>
      </c>
      <c r="G214" t="s">
        <v>14827</v>
      </c>
      <c r="H214" t="s">
        <v>15348</v>
      </c>
      <c r="I214" t="s">
        <v>14835</v>
      </c>
      <c r="K214" s="47" t="s">
        <v>16095</v>
      </c>
      <c r="L214" t="s">
        <v>16097</v>
      </c>
      <c r="M214" t="s">
        <v>16121</v>
      </c>
    </row>
    <row r="215" spans="1:13">
      <c r="A215" t="s">
        <v>15365</v>
      </c>
      <c r="B215" t="s">
        <v>15365</v>
      </c>
      <c r="C215" t="s">
        <v>15366</v>
      </c>
      <c r="D215" t="s">
        <v>4310</v>
      </c>
      <c r="F215" t="str">
        <f>Config!$B$7</f>
        <v>SCH/Connector.SchLib</v>
      </c>
      <c r="G215" t="s">
        <v>14827</v>
      </c>
      <c r="H215" t="s">
        <v>15348</v>
      </c>
      <c r="I215" t="s">
        <v>14836</v>
      </c>
      <c r="K215" s="47" t="s">
        <v>16096</v>
      </c>
      <c r="L215" t="s">
        <v>16104</v>
      </c>
      <c r="M215" t="s">
        <v>16121</v>
      </c>
    </row>
    <row r="216" spans="1:13">
      <c r="A216" t="s">
        <v>15367</v>
      </c>
      <c r="B216" t="s">
        <v>15367</v>
      </c>
      <c r="C216" t="s">
        <v>15368</v>
      </c>
      <c r="D216" t="s">
        <v>4310</v>
      </c>
      <c r="F216" t="str">
        <f>Config!$B$7</f>
        <v>SCH/Connector.SchLib</v>
      </c>
      <c r="G216" t="s">
        <v>14827</v>
      </c>
      <c r="H216" t="s">
        <v>15348</v>
      </c>
      <c r="I216" t="s">
        <v>14837</v>
      </c>
      <c r="K216" s="47" t="s">
        <v>16096</v>
      </c>
      <c r="L216" t="s">
        <v>16096</v>
      </c>
      <c r="M216" t="s">
        <v>16121</v>
      </c>
    </row>
    <row r="217" spans="1:13">
      <c r="A217" t="s">
        <v>15369</v>
      </c>
      <c r="B217" t="s">
        <v>15369</v>
      </c>
      <c r="C217" t="s">
        <v>15370</v>
      </c>
      <c r="D217" t="s">
        <v>4310</v>
      </c>
      <c r="F217" t="str">
        <f>Config!$B$7</f>
        <v>SCH/Connector.SchLib</v>
      </c>
      <c r="G217" t="s">
        <v>14827</v>
      </c>
      <c r="H217" t="s">
        <v>15348</v>
      </c>
      <c r="I217" t="s">
        <v>14838</v>
      </c>
      <c r="K217" s="47" t="s">
        <v>16096</v>
      </c>
      <c r="L217" t="s">
        <v>16098</v>
      </c>
      <c r="M217" t="s">
        <v>16121</v>
      </c>
    </row>
    <row r="218" spans="1:13">
      <c r="A218" t="s">
        <v>15371</v>
      </c>
      <c r="B218" t="s">
        <v>15371</v>
      </c>
      <c r="C218" t="s">
        <v>15372</v>
      </c>
      <c r="D218" t="s">
        <v>4310</v>
      </c>
      <c r="F218" t="str">
        <f>Config!$B$7</f>
        <v>SCH/Connector.SchLib</v>
      </c>
      <c r="G218" t="s">
        <v>14827</v>
      </c>
      <c r="H218" t="s">
        <v>15348</v>
      </c>
      <c r="I218" t="s">
        <v>14839</v>
      </c>
      <c r="K218" s="47" t="s">
        <v>16097</v>
      </c>
      <c r="L218" t="s">
        <v>16094</v>
      </c>
      <c r="M218" t="s">
        <v>16121</v>
      </c>
    </row>
    <row r="219" spans="1:13">
      <c r="A219" t="s">
        <v>15373</v>
      </c>
      <c r="B219" t="s">
        <v>15373</v>
      </c>
      <c r="C219" t="s">
        <v>15374</v>
      </c>
      <c r="D219" t="s">
        <v>4310</v>
      </c>
      <c r="F219" t="str">
        <f>Config!$B$7</f>
        <v>SCH/Connector.SchLib</v>
      </c>
      <c r="G219" t="s">
        <v>14827</v>
      </c>
      <c r="H219" t="s">
        <v>15348</v>
      </c>
      <c r="I219" t="s">
        <v>14840</v>
      </c>
      <c r="K219" s="47" t="s">
        <v>16097</v>
      </c>
      <c r="L219" t="s">
        <v>16095</v>
      </c>
      <c r="M219" t="s">
        <v>16121</v>
      </c>
    </row>
    <row r="220" spans="1:13">
      <c r="A220" t="s">
        <v>15375</v>
      </c>
      <c r="B220" t="s">
        <v>15375</v>
      </c>
      <c r="C220" t="s">
        <v>15376</v>
      </c>
      <c r="D220" t="s">
        <v>4310</v>
      </c>
      <c r="F220" t="str">
        <f>Config!$B$7</f>
        <v>SCH/Connector.SchLib</v>
      </c>
      <c r="G220" t="s">
        <v>14827</v>
      </c>
      <c r="H220" t="s">
        <v>15348</v>
      </c>
      <c r="I220" t="s">
        <v>14841</v>
      </c>
      <c r="K220" s="47" t="s">
        <v>16097</v>
      </c>
      <c r="L220" t="s">
        <v>16097</v>
      </c>
      <c r="M220" t="s">
        <v>16121</v>
      </c>
    </row>
    <row r="221" spans="1:13">
      <c r="A221" t="s">
        <v>15377</v>
      </c>
      <c r="B221" t="s">
        <v>15377</v>
      </c>
      <c r="C221" t="s">
        <v>15378</v>
      </c>
      <c r="D221" t="s">
        <v>4310</v>
      </c>
      <c r="F221" t="str">
        <f>Config!$B$7</f>
        <v>SCH/Connector.SchLib</v>
      </c>
      <c r="G221" t="s">
        <v>14827</v>
      </c>
      <c r="H221" t="s">
        <v>15348</v>
      </c>
      <c r="I221" t="s">
        <v>14842</v>
      </c>
      <c r="K221" s="47" t="s">
        <v>16097</v>
      </c>
      <c r="L221" t="s">
        <v>16099</v>
      </c>
      <c r="M221" t="s">
        <v>16121</v>
      </c>
    </row>
    <row r="222" spans="1:13">
      <c r="A222" t="s">
        <v>15379</v>
      </c>
      <c r="B222" t="s">
        <v>15379</v>
      </c>
      <c r="C222" t="s">
        <v>15380</v>
      </c>
      <c r="D222" t="s">
        <v>4310</v>
      </c>
      <c r="F222" t="str">
        <f>Config!$B$7</f>
        <v>SCH/Connector.SchLib</v>
      </c>
      <c r="G222" t="s">
        <v>14827</v>
      </c>
      <c r="H222" t="s">
        <v>15348</v>
      </c>
      <c r="I222" t="s">
        <v>14843</v>
      </c>
      <c r="K222" s="47" t="s">
        <v>16098</v>
      </c>
      <c r="L222" t="s">
        <v>16104</v>
      </c>
      <c r="M222" t="s">
        <v>16121</v>
      </c>
    </row>
    <row r="223" spans="1:13">
      <c r="A223" t="s">
        <v>15381</v>
      </c>
      <c r="B223" t="s">
        <v>15381</v>
      </c>
      <c r="C223" t="s">
        <v>15382</v>
      </c>
      <c r="D223" t="s">
        <v>4310</v>
      </c>
      <c r="F223" t="str">
        <f>Config!$B$7</f>
        <v>SCH/Connector.SchLib</v>
      </c>
      <c r="G223" t="s">
        <v>14827</v>
      </c>
      <c r="H223" t="s">
        <v>15348</v>
      </c>
      <c r="I223" t="s">
        <v>14844</v>
      </c>
      <c r="K223" s="47" t="s">
        <v>16098</v>
      </c>
      <c r="L223" t="s">
        <v>16096</v>
      </c>
      <c r="M223" t="s">
        <v>16121</v>
      </c>
    </row>
    <row r="224" spans="1:13">
      <c r="A224" t="s">
        <v>15383</v>
      </c>
      <c r="B224" t="s">
        <v>15383</v>
      </c>
      <c r="C224" t="s">
        <v>15384</v>
      </c>
      <c r="D224" t="s">
        <v>4310</v>
      </c>
      <c r="F224" t="str">
        <f>Config!$B$7</f>
        <v>SCH/Connector.SchLib</v>
      </c>
      <c r="G224" t="s">
        <v>14827</v>
      </c>
      <c r="H224" t="s">
        <v>15348</v>
      </c>
      <c r="I224" t="s">
        <v>14845</v>
      </c>
      <c r="K224" s="47" t="s">
        <v>16098</v>
      </c>
      <c r="L224" t="s">
        <v>16098</v>
      </c>
      <c r="M224" t="s">
        <v>16121</v>
      </c>
    </row>
    <row r="225" spans="1:13">
      <c r="A225" t="s">
        <v>15385</v>
      </c>
      <c r="B225" t="s">
        <v>15385</v>
      </c>
      <c r="C225" t="s">
        <v>15386</v>
      </c>
      <c r="D225" t="s">
        <v>4310</v>
      </c>
      <c r="F225" t="str">
        <f>Config!$B$7</f>
        <v>SCH/Connector.SchLib</v>
      </c>
      <c r="G225" t="s">
        <v>14827</v>
      </c>
      <c r="H225" t="s">
        <v>15348</v>
      </c>
      <c r="I225" t="s">
        <v>14846</v>
      </c>
      <c r="K225" s="47" t="s">
        <v>16098</v>
      </c>
      <c r="L225" t="s">
        <v>16101</v>
      </c>
      <c r="M225" t="s">
        <v>16121</v>
      </c>
    </row>
    <row r="226" spans="1:13">
      <c r="A226" t="s">
        <v>15387</v>
      </c>
      <c r="B226" t="s">
        <v>15387</v>
      </c>
      <c r="C226" t="s">
        <v>15388</v>
      </c>
      <c r="D226" t="s">
        <v>4310</v>
      </c>
      <c r="F226" t="str">
        <f>Config!$B$7</f>
        <v>SCH/Connector.SchLib</v>
      </c>
      <c r="G226" t="s">
        <v>14827</v>
      </c>
      <c r="H226" t="s">
        <v>15348</v>
      </c>
      <c r="I226" t="s">
        <v>14847</v>
      </c>
      <c r="K226" s="47" t="s">
        <v>16099</v>
      </c>
      <c r="L226" t="s">
        <v>16105</v>
      </c>
      <c r="M226" t="s">
        <v>16121</v>
      </c>
    </row>
    <row r="227" spans="1:13">
      <c r="A227" t="s">
        <v>15389</v>
      </c>
      <c r="B227" t="s">
        <v>15389</v>
      </c>
      <c r="C227" t="s">
        <v>15390</v>
      </c>
      <c r="D227" t="s">
        <v>4310</v>
      </c>
      <c r="F227" t="str">
        <f>Config!$B$7</f>
        <v>SCH/Connector.SchLib</v>
      </c>
      <c r="G227" t="s">
        <v>14827</v>
      </c>
      <c r="H227" t="s">
        <v>15348</v>
      </c>
      <c r="I227" t="s">
        <v>14848</v>
      </c>
      <c r="K227" s="47" t="s">
        <v>16099</v>
      </c>
      <c r="L227" t="s">
        <v>16095</v>
      </c>
      <c r="M227" t="s">
        <v>16121</v>
      </c>
    </row>
    <row r="228" spans="1:13">
      <c r="A228" t="s">
        <v>15391</v>
      </c>
      <c r="B228" t="s">
        <v>15391</v>
      </c>
      <c r="C228" t="s">
        <v>15392</v>
      </c>
      <c r="D228" t="s">
        <v>4310</v>
      </c>
      <c r="F228" t="str">
        <f>Config!$B$7</f>
        <v>SCH/Connector.SchLib</v>
      </c>
      <c r="G228" t="s">
        <v>14827</v>
      </c>
      <c r="H228" t="s">
        <v>15348</v>
      </c>
      <c r="I228" t="s">
        <v>14849</v>
      </c>
      <c r="K228" s="47" t="s">
        <v>16099</v>
      </c>
      <c r="L228" t="s">
        <v>16097</v>
      </c>
      <c r="M228" t="s">
        <v>16121</v>
      </c>
    </row>
    <row r="229" spans="1:13">
      <c r="A229" t="s">
        <v>15393</v>
      </c>
      <c r="B229" t="s">
        <v>15393</v>
      </c>
      <c r="C229" t="s">
        <v>15394</v>
      </c>
      <c r="D229" t="s">
        <v>4310</v>
      </c>
      <c r="F229" t="str">
        <f>Config!$B$7</f>
        <v>SCH/Connector.SchLib</v>
      </c>
      <c r="G229" t="s">
        <v>14827</v>
      </c>
      <c r="H229" t="s">
        <v>15348</v>
      </c>
      <c r="I229" t="s">
        <v>14850</v>
      </c>
      <c r="K229" s="47" t="s">
        <v>16099</v>
      </c>
      <c r="L229" t="s">
        <v>16099</v>
      </c>
      <c r="M229" t="s">
        <v>16121</v>
      </c>
    </row>
    <row r="230" spans="1:13">
      <c r="A230" t="s">
        <v>15395</v>
      </c>
      <c r="B230" t="s">
        <v>15395</v>
      </c>
      <c r="C230" t="s">
        <v>15396</v>
      </c>
      <c r="D230" t="s">
        <v>4310</v>
      </c>
      <c r="F230" t="str">
        <f>Config!$B$7</f>
        <v>SCH/Connector.SchLib</v>
      </c>
      <c r="G230" t="s">
        <v>14827</v>
      </c>
      <c r="H230" t="s">
        <v>15348</v>
      </c>
      <c r="I230" t="s">
        <v>14851</v>
      </c>
      <c r="K230" s="47" t="s">
        <v>16099</v>
      </c>
      <c r="L230" t="s">
        <v>16102</v>
      </c>
      <c r="M230" t="s">
        <v>16121</v>
      </c>
    </row>
    <row r="231" spans="1:13">
      <c r="A231" t="s">
        <v>15397</v>
      </c>
      <c r="B231" t="s">
        <v>15397</v>
      </c>
      <c r="C231" t="s">
        <v>15398</v>
      </c>
      <c r="D231" t="s">
        <v>4310</v>
      </c>
      <c r="F231" t="str">
        <f>Config!$B$7</f>
        <v>SCH/Connector.SchLib</v>
      </c>
      <c r="G231" t="s">
        <v>14827</v>
      </c>
      <c r="H231" t="s">
        <v>15348</v>
      </c>
      <c r="I231" t="s">
        <v>14852</v>
      </c>
      <c r="K231" s="47" t="s">
        <v>16100</v>
      </c>
      <c r="L231" t="s">
        <v>16094</v>
      </c>
      <c r="M231" t="s">
        <v>16121</v>
      </c>
    </row>
    <row r="232" spans="1:13">
      <c r="A232" t="s">
        <v>15930</v>
      </c>
      <c r="B232" t="s">
        <v>15930</v>
      </c>
      <c r="C232" t="s">
        <v>15931</v>
      </c>
      <c r="D232" t="s">
        <v>4310</v>
      </c>
      <c r="F232" t="str">
        <f>Config!$B$7</f>
        <v>SCH/Connector.SchLib</v>
      </c>
      <c r="G232" t="s">
        <v>14827</v>
      </c>
      <c r="H232" t="s">
        <v>15348</v>
      </c>
      <c r="I232" t="s">
        <v>15590</v>
      </c>
      <c r="K232" s="47" t="s">
        <v>16100</v>
      </c>
      <c r="L232" t="s">
        <v>16095</v>
      </c>
      <c r="M232" t="s">
        <v>16121</v>
      </c>
    </row>
    <row r="233" spans="1:13">
      <c r="A233" t="s">
        <v>15399</v>
      </c>
      <c r="B233" t="s">
        <v>15399</v>
      </c>
      <c r="C233" t="s">
        <v>15400</v>
      </c>
      <c r="D233" t="s">
        <v>4310</v>
      </c>
      <c r="F233" t="str">
        <f>Config!$B$7</f>
        <v>SCH/Connector.SchLib</v>
      </c>
      <c r="G233" t="s">
        <v>14827</v>
      </c>
      <c r="H233" t="s">
        <v>15348</v>
      </c>
      <c r="I233" t="s">
        <v>14853</v>
      </c>
      <c r="K233" s="47" t="s">
        <v>16100</v>
      </c>
      <c r="L233" t="s">
        <v>16106</v>
      </c>
      <c r="M233" t="s">
        <v>16121</v>
      </c>
    </row>
    <row r="234" spans="1:13">
      <c r="A234" t="s">
        <v>15401</v>
      </c>
      <c r="B234" t="s">
        <v>15401</v>
      </c>
      <c r="C234" t="s">
        <v>15402</v>
      </c>
      <c r="D234" t="s">
        <v>4310</v>
      </c>
      <c r="F234" t="str">
        <f>Config!$B$7</f>
        <v>SCH/Connector.SchLib</v>
      </c>
      <c r="G234" t="s">
        <v>14827</v>
      </c>
      <c r="H234" t="s">
        <v>15348</v>
      </c>
      <c r="I234" t="s">
        <v>14854</v>
      </c>
      <c r="K234" s="47" t="s">
        <v>16100</v>
      </c>
      <c r="L234" t="s">
        <v>16107</v>
      </c>
      <c r="M234" t="s">
        <v>16121</v>
      </c>
    </row>
    <row r="235" spans="1:13">
      <c r="A235" t="s">
        <v>15403</v>
      </c>
      <c r="B235" t="s">
        <v>15403</v>
      </c>
      <c r="C235" t="s">
        <v>15404</v>
      </c>
      <c r="D235" t="s">
        <v>4310</v>
      </c>
      <c r="F235" t="str">
        <f>Config!$B$7</f>
        <v>SCH/Connector.SchLib</v>
      </c>
      <c r="G235" t="s">
        <v>14827</v>
      </c>
      <c r="H235" t="s">
        <v>15348</v>
      </c>
      <c r="I235" t="s">
        <v>14855</v>
      </c>
      <c r="K235" s="47" t="s">
        <v>16100</v>
      </c>
      <c r="L235" t="s">
        <v>16100</v>
      </c>
      <c r="M235" t="s">
        <v>16121</v>
      </c>
    </row>
    <row r="236" spans="1:13">
      <c r="A236" t="s">
        <v>15405</v>
      </c>
      <c r="B236" t="s">
        <v>15405</v>
      </c>
      <c r="C236" t="s">
        <v>15406</v>
      </c>
      <c r="D236" t="s">
        <v>4310</v>
      </c>
      <c r="F236" t="str">
        <f>Config!$B$7</f>
        <v>SCH/Connector.SchLib</v>
      </c>
      <c r="G236" t="s">
        <v>14827</v>
      </c>
      <c r="H236" t="s">
        <v>15348</v>
      </c>
      <c r="I236" t="s">
        <v>14856</v>
      </c>
      <c r="K236" s="47" t="s">
        <v>16100</v>
      </c>
      <c r="L236" t="s">
        <v>16108</v>
      </c>
      <c r="M236" t="s">
        <v>16121</v>
      </c>
    </row>
    <row r="237" spans="1:13">
      <c r="A237" t="s">
        <v>15932</v>
      </c>
      <c r="B237" t="s">
        <v>15932</v>
      </c>
      <c r="C237" t="s">
        <v>15933</v>
      </c>
      <c r="D237" t="s">
        <v>4310</v>
      </c>
      <c r="F237" t="str">
        <f>Config!$B$7</f>
        <v>SCH/Connector.SchLib</v>
      </c>
      <c r="G237" t="s">
        <v>14827</v>
      </c>
      <c r="H237" t="s">
        <v>15348</v>
      </c>
      <c r="I237" t="s">
        <v>15593</v>
      </c>
      <c r="K237" s="47" t="s">
        <v>16101</v>
      </c>
      <c r="L237" t="s">
        <v>16109</v>
      </c>
      <c r="M237" t="s">
        <v>16121</v>
      </c>
    </row>
    <row r="238" spans="1:13">
      <c r="A238" t="s">
        <v>15934</v>
      </c>
      <c r="B238" t="s">
        <v>15934</v>
      </c>
      <c r="C238" t="s">
        <v>15935</v>
      </c>
      <c r="D238" t="s">
        <v>4310</v>
      </c>
      <c r="F238" t="str">
        <f>Config!$B$7</f>
        <v>SCH/Connector.SchLib</v>
      </c>
      <c r="G238" t="s">
        <v>14827</v>
      </c>
      <c r="H238" t="s">
        <v>15348</v>
      </c>
      <c r="I238" t="s">
        <v>15594</v>
      </c>
      <c r="K238" s="47" t="s">
        <v>16101</v>
      </c>
      <c r="L238" t="s">
        <v>16095</v>
      </c>
      <c r="M238" t="s">
        <v>16121</v>
      </c>
    </row>
    <row r="239" spans="1:13">
      <c r="A239" t="s">
        <v>15936</v>
      </c>
      <c r="B239" t="s">
        <v>15936</v>
      </c>
      <c r="C239" t="s">
        <v>15937</v>
      </c>
      <c r="D239" t="s">
        <v>4310</v>
      </c>
      <c r="F239" t="str">
        <f>Config!$B$7</f>
        <v>SCH/Connector.SchLib</v>
      </c>
      <c r="G239" t="s">
        <v>14827</v>
      </c>
      <c r="H239" t="s">
        <v>15348</v>
      </c>
      <c r="I239" t="s">
        <v>15595</v>
      </c>
      <c r="K239" s="47" t="s">
        <v>16101</v>
      </c>
      <c r="L239" t="s">
        <v>16096</v>
      </c>
      <c r="M239" t="s">
        <v>16121</v>
      </c>
    </row>
    <row r="240" spans="1:13">
      <c r="A240" t="s">
        <v>15938</v>
      </c>
      <c r="B240" t="s">
        <v>15938</v>
      </c>
      <c r="C240" t="s">
        <v>15939</v>
      </c>
      <c r="D240" t="s">
        <v>4310</v>
      </c>
      <c r="F240" t="str">
        <f>Config!$B$7</f>
        <v>SCH/Connector.SchLib</v>
      </c>
      <c r="G240" t="s">
        <v>14827</v>
      </c>
      <c r="H240" t="s">
        <v>15348</v>
      </c>
      <c r="I240" t="s">
        <v>15596</v>
      </c>
      <c r="K240" s="47" t="s">
        <v>16101</v>
      </c>
      <c r="L240" t="s">
        <v>16098</v>
      </c>
      <c r="M240" t="s">
        <v>16121</v>
      </c>
    </row>
    <row r="241" spans="1:13">
      <c r="A241" t="s">
        <v>15940</v>
      </c>
      <c r="B241" t="s">
        <v>15940</v>
      </c>
      <c r="C241" t="s">
        <v>15941</v>
      </c>
      <c r="D241" t="s">
        <v>4310</v>
      </c>
      <c r="F241" t="str">
        <f>Config!$B$7</f>
        <v>SCH/Connector.SchLib</v>
      </c>
      <c r="G241" t="s">
        <v>14827</v>
      </c>
      <c r="H241" t="s">
        <v>15348</v>
      </c>
      <c r="I241" t="s">
        <v>15597</v>
      </c>
      <c r="K241" s="47" t="s">
        <v>16101</v>
      </c>
      <c r="L241" t="s">
        <v>16101</v>
      </c>
      <c r="M241" t="s">
        <v>16121</v>
      </c>
    </row>
    <row r="242" spans="1:13">
      <c r="A242" t="s">
        <v>15942</v>
      </c>
      <c r="B242" t="s">
        <v>15942</v>
      </c>
      <c r="C242" t="s">
        <v>15943</v>
      </c>
      <c r="D242" t="s">
        <v>4310</v>
      </c>
      <c r="F242" t="str">
        <f>Config!$B$7</f>
        <v>SCH/Connector.SchLib</v>
      </c>
      <c r="G242" t="s">
        <v>14827</v>
      </c>
      <c r="H242" t="s">
        <v>15348</v>
      </c>
      <c r="I242" t="s">
        <v>15598</v>
      </c>
      <c r="K242" s="47" t="s">
        <v>16101</v>
      </c>
      <c r="L242" t="s">
        <v>16110</v>
      </c>
      <c r="M242" t="s">
        <v>16121</v>
      </c>
    </row>
    <row r="243" spans="1:13">
      <c r="A243" t="s">
        <v>15944</v>
      </c>
      <c r="B243" t="s">
        <v>15944</v>
      </c>
      <c r="C243" t="s">
        <v>15945</v>
      </c>
      <c r="D243" t="s">
        <v>4310</v>
      </c>
      <c r="F243" t="str">
        <f>Config!$B$7</f>
        <v>SCH/Connector.SchLib</v>
      </c>
      <c r="G243" t="s">
        <v>14827</v>
      </c>
      <c r="H243" t="s">
        <v>15348</v>
      </c>
      <c r="I243" t="s">
        <v>15599</v>
      </c>
      <c r="K243" s="47" t="s">
        <v>16102</v>
      </c>
      <c r="L243" t="s">
        <v>16094</v>
      </c>
      <c r="M243" t="s">
        <v>16121</v>
      </c>
    </row>
    <row r="244" spans="1:13">
      <c r="A244" t="s">
        <v>15946</v>
      </c>
      <c r="B244" t="s">
        <v>15946</v>
      </c>
      <c r="C244" t="s">
        <v>15947</v>
      </c>
      <c r="D244" t="s">
        <v>4310</v>
      </c>
      <c r="F244" t="str">
        <f>Config!$B$7</f>
        <v>SCH/Connector.SchLib</v>
      </c>
      <c r="G244" t="s">
        <v>14827</v>
      </c>
      <c r="H244" t="s">
        <v>15348</v>
      </c>
      <c r="I244" t="s">
        <v>15600</v>
      </c>
      <c r="K244" s="47" t="s">
        <v>16102</v>
      </c>
      <c r="L244" t="s">
        <v>16111</v>
      </c>
      <c r="M244" t="s">
        <v>16121</v>
      </c>
    </row>
    <row r="245" spans="1:13">
      <c r="A245" t="s">
        <v>15948</v>
      </c>
      <c r="B245" t="s">
        <v>15948</v>
      </c>
      <c r="C245" t="s">
        <v>15949</v>
      </c>
      <c r="D245" t="s">
        <v>4310</v>
      </c>
      <c r="F245" t="str">
        <f>Config!$B$7</f>
        <v>SCH/Connector.SchLib</v>
      </c>
      <c r="G245" t="s">
        <v>14827</v>
      </c>
      <c r="H245" t="s">
        <v>15348</v>
      </c>
      <c r="I245" t="s">
        <v>15601</v>
      </c>
      <c r="K245" s="47" t="s">
        <v>16102</v>
      </c>
      <c r="L245" t="s">
        <v>16095</v>
      </c>
      <c r="M245" t="s">
        <v>16121</v>
      </c>
    </row>
    <row r="246" spans="1:13">
      <c r="A246" t="s">
        <v>15950</v>
      </c>
      <c r="B246" t="s">
        <v>15950</v>
      </c>
      <c r="C246" t="s">
        <v>15951</v>
      </c>
      <c r="D246" t="s">
        <v>4310</v>
      </c>
      <c r="F246" t="str">
        <f>Config!$B$7</f>
        <v>SCH/Connector.SchLib</v>
      </c>
      <c r="G246" t="s">
        <v>14827</v>
      </c>
      <c r="H246" t="s">
        <v>15348</v>
      </c>
      <c r="I246" t="s">
        <v>15602</v>
      </c>
      <c r="K246" s="47" t="s">
        <v>16102</v>
      </c>
      <c r="L246" t="s">
        <v>16097</v>
      </c>
      <c r="M246" t="s">
        <v>16121</v>
      </c>
    </row>
    <row r="247" spans="1:13">
      <c r="A247" t="s">
        <v>15952</v>
      </c>
      <c r="B247" t="s">
        <v>15952</v>
      </c>
      <c r="C247" t="s">
        <v>15953</v>
      </c>
      <c r="D247" t="s">
        <v>4310</v>
      </c>
      <c r="F247" t="str">
        <f>Config!$B$7</f>
        <v>SCH/Connector.SchLib</v>
      </c>
      <c r="G247" t="s">
        <v>14827</v>
      </c>
      <c r="H247" t="s">
        <v>15348</v>
      </c>
      <c r="I247" t="s">
        <v>15603</v>
      </c>
      <c r="K247" s="47" t="s">
        <v>16102</v>
      </c>
      <c r="L247" t="s">
        <v>16099</v>
      </c>
      <c r="M247" t="s">
        <v>16121</v>
      </c>
    </row>
    <row r="248" spans="1:13">
      <c r="A248" t="s">
        <v>15954</v>
      </c>
      <c r="B248" t="s">
        <v>15954</v>
      </c>
      <c r="C248" t="s">
        <v>15955</v>
      </c>
      <c r="D248" t="s">
        <v>4310</v>
      </c>
      <c r="F248" t="str">
        <f>Config!$B$7</f>
        <v>SCH/Connector.SchLib</v>
      </c>
      <c r="G248" t="s">
        <v>14827</v>
      </c>
      <c r="H248" t="s">
        <v>15348</v>
      </c>
      <c r="I248" t="s">
        <v>15604</v>
      </c>
      <c r="K248" s="47" t="s">
        <v>16102</v>
      </c>
      <c r="L248" t="s">
        <v>16102</v>
      </c>
      <c r="M248" t="s">
        <v>16121</v>
      </c>
    </row>
    <row r="249" spans="1:13">
      <c r="A249" t="s">
        <v>15956</v>
      </c>
      <c r="B249" t="s">
        <v>15956</v>
      </c>
      <c r="C249" t="s">
        <v>15957</v>
      </c>
      <c r="D249" t="s">
        <v>4310</v>
      </c>
      <c r="F249" t="str">
        <f>Config!$B$7</f>
        <v>SCH/Connector.SchLib</v>
      </c>
      <c r="G249" t="s">
        <v>14827</v>
      </c>
      <c r="H249" t="s">
        <v>15348</v>
      </c>
      <c r="I249" t="s">
        <v>15605</v>
      </c>
      <c r="K249" s="47" t="s">
        <v>16102</v>
      </c>
      <c r="L249" t="s">
        <v>16112</v>
      </c>
      <c r="M249" t="s">
        <v>16121</v>
      </c>
    </row>
    <row r="250" spans="1:13">
      <c r="A250" t="s">
        <v>15958</v>
      </c>
      <c r="B250" t="s">
        <v>15958</v>
      </c>
      <c r="C250" t="s">
        <v>15959</v>
      </c>
      <c r="D250" t="s">
        <v>4310</v>
      </c>
      <c r="F250" t="str">
        <f>Config!$B$7</f>
        <v>SCH/Connector.SchLib</v>
      </c>
      <c r="G250" t="s">
        <v>14827</v>
      </c>
      <c r="H250" t="s">
        <v>15348</v>
      </c>
      <c r="I250" t="s">
        <v>15606</v>
      </c>
      <c r="K250" s="47" t="s">
        <v>16103</v>
      </c>
      <c r="L250" t="s">
        <v>16094</v>
      </c>
      <c r="M250" t="s">
        <v>16121</v>
      </c>
    </row>
    <row r="251" spans="1:13">
      <c r="A251" t="s">
        <v>15960</v>
      </c>
      <c r="B251" t="s">
        <v>15960</v>
      </c>
      <c r="C251" t="s">
        <v>15961</v>
      </c>
      <c r="D251" t="s">
        <v>4310</v>
      </c>
      <c r="F251" t="str">
        <f>Config!$B$7</f>
        <v>SCH/Connector.SchLib</v>
      </c>
      <c r="G251" t="s">
        <v>14827</v>
      </c>
      <c r="H251" t="s">
        <v>15348</v>
      </c>
      <c r="I251" t="s">
        <v>15607</v>
      </c>
      <c r="K251" s="47" t="s">
        <v>16103</v>
      </c>
      <c r="L251" t="s">
        <v>16095</v>
      </c>
      <c r="M251" t="s">
        <v>16121</v>
      </c>
    </row>
    <row r="252" spans="1:13">
      <c r="A252" t="s">
        <v>15962</v>
      </c>
      <c r="B252" t="s">
        <v>15962</v>
      </c>
      <c r="C252" t="s">
        <v>15963</v>
      </c>
      <c r="D252" t="s">
        <v>4310</v>
      </c>
      <c r="F252" t="str">
        <f>Config!$B$7</f>
        <v>SCH/Connector.SchLib</v>
      </c>
      <c r="G252" t="s">
        <v>14827</v>
      </c>
      <c r="H252" t="s">
        <v>15348</v>
      </c>
      <c r="I252" t="s">
        <v>15608</v>
      </c>
      <c r="K252" s="47" t="s">
        <v>16103</v>
      </c>
      <c r="L252" t="s">
        <v>16107</v>
      </c>
      <c r="M252" t="s">
        <v>16121</v>
      </c>
    </row>
    <row r="253" spans="1:13">
      <c r="A253" t="s">
        <v>15964</v>
      </c>
      <c r="B253" t="s">
        <v>15964</v>
      </c>
      <c r="C253" t="s">
        <v>15965</v>
      </c>
      <c r="D253" t="s">
        <v>4310</v>
      </c>
      <c r="F253" t="str">
        <f>Config!$B$7</f>
        <v>SCH/Connector.SchLib</v>
      </c>
      <c r="G253" t="s">
        <v>14827</v>
      </c>
      <c r="H253" t="s">
        <v>15348</v>
      </c>
      <c r="I253" t="s">
        <v>15609</v>
      </c>
      <c r="K253" s="47" t="s">
        <v>16103</v>
      </c>
      <c r="L253" t="s">
        <v>16100</v>
      </c>
      <c r="M253" t="s">
        <v>16121</v>
      </c>
    </row>
    <row r="254" spans="1:13">
      <c r="A254" t="s">
        <v>15966</v>
      </c>
      <c r="B254" t="s">
        <v>15966</v>
      </c>
      <c r="C254" t="s">
        <v>15967</v>
      </c>
      <c r="D254" t="s">
        <v>4310</v>
      </c>
      <c r="F254" t="str">
        <f>Config!$B$7</f>
        <v>SCH/Connector.SchLib</v>
      </c>
      <c r="G254" t="s">
        <v>14827</v>
      </c>
      <c r="H254" t="s">
        <v>15348</v>
      </c>
      <c r="I254" t="s">
        <v>15610</v>
      </c>
      <c r="K254" s="47" t="s">
        <v>16103</v>
      </c>
      <c r="L254" t="s">
        <v>16108</v>
      </c>
      <c r="M254" t="s">
        <v>16121</v>
      </c>
    </row>
    <row r="255" spans="1:13">
      <c r="A255" t="s">
        <v>15968</v>
      </c>
      <c r="B255" t="s">
        <v>15968</v>
      </c>
      <c r="C255" t="s">
        <v>15969</v>
      </c>
      <c r="D255" t="s">
        <v>4310</v>
      </c>
      <c r="F255" t="str">
        <f>Config!$B$7</f>
        <v>SCH/Connector.SchLib</v>
      </c>
      <c r="G255" t="s">
        <v>14827</v>
      </c>
      <c r="H255" t="s">
        <v>15348</v>
      </c>
      <c r="I255" t="s">
        <v>15611</v>
      </c>
      <c r="K255" s="47" t="s">
        <v>16103</v>
      </c>
      <c r="L255" t="s">
        <v>16113</v>
      </c>
      <c r="M255" t="s">
        <v>16121</v>
      </c>
    </row>
    <row r="257" spans="1:13">
      <c r="A257" t="s">
        <v>15285</v>
      </c>
      <c r="B257" t="s">
        <v>15285</v>
      </c>
      <c r="C257" t="s">
        <v>15286</v>
      </c>
      <c r="D257" t="s">
        <v>4310</v>
      </c>
      <c r="F257" t="str">
        <f>Config!$B$7</f>
        <v>SCH/Connector.SchLib</v>
      </c>
      <c r="G257" t="s">
        <v>14827</v>
      </c>
      <c r="H257" t="s">
        <v>15287</v>
      </c>
      <c r="I257" t="s">
        <v>14857</v>
      </c>
      <c r="K257" s="47" t="s">
        <v>16093</v>
      </c>
      <c r="L257" t="s">
        <v>16093</v>
      </c>
      <c r="M257" t="s">
        <v>16122</v>
      </c>
    </row>
    <row r="258" spans="1:13">
      <c r="A258" t="s">
        <v>15288</v>
      </c>
      <c r="B258" t="s">
        <v>15288</v>
      </c>
      <c r="C258" t="s">
        <v>15289</v>
      </c>
      <c r="D258" t="s">
        <v>4310</v>
      </c>
      <c r="F258" t="str">
        <f>Config!$B$7</f>
        <v>SCH/Connector.SchLib</v>
      </c>
      <c r="G258" t="s">
        <v>14827</v>
      </c>
      <c r="H258" t="s">
        <v>15287</v>
      </c>
      <c r="I258" t="s">
        <v>14858</v>
      </c>
      <c r="K258" s="47" t="s">
        <v>16093</v>
      </c>
      <c r="L258" t="s">
        <v>16094</v>
      </c>
      <c r="M258" t="s">
        <v>16122</v>
      </c>
    </row>
    <row r="259" spans="1:13">
      <c r="A259" t="s">
        <v>15290</v>
      </c>
      <c r="B259" t="s">
        <v>15290</v>
      </c>
      <c r="C259" t="s">
        <v>15291</v>
      </c>
      <c r="D259" t="s">
        <v>4310</v>
      </c>
      <c r="F259" t="str">
        <f>Config!$B$7</f>
        <v>SCH/Connector.SchLib</v>
      </c>
      <c r="G259" t="s">
        <v>14827</v>
      </c>
      <c r="H259" t="s">
        <v>15287</v>
      </c>
      <c r="I259" t="s">
        <v>14829</v>
      </c>
      <c r="K259" s="47" t="s">
        <v>16094</v>
      </c>
      <c r="L259" t="s">
        <v>16093</v>
      </c>
      <c r="M259" t="s">
        <v>16122</v>
      </c>
    </row>
    <row r="260" spans="1:13">
      <c r="A260" t="s">
        <v>15292</v>
      </c>
      <c r="B260" t="s">
        <v>15292</v>
      </c>
      <c r="C260" t="s">
        <v>15293</v>
      </c>
      <c r="D260" t="s">
        <v>4310</v>
      </c>
      <c r="F260" t="str">
        <f>Config!$B$7</f>
        <v>SCH/Connector.SchLib</v>
      </c>
      <c r="G260" t="s">
        <v>14827</v>
      </c>
      <c r="H260" t="s">
        <v>15287</v>
      </c>
      <c r="I260" t="s">
        <v>14830</v>
      </c>
      <c r="K260" s="47" t="s">
        <v>16094</v>
      </c>
      <c r="L260" t="s">
        <v>16094</v>
      </c>
      <c r="M260" t="s">
        <v>16122</v>
      </c>
    </row>
    <row r="261" spans="1:13">
      <c r="A261" t="s">
        <v>15294</v>
      </c>
      <c r="B261" t="s">
        <v>15294</v>
      </c>
      <c r="C261" t="s">
        <v>15295</v>
      </c>
      <c r="D261" t="s">
        <v>4310</v>
      </c>
      <c r="F261" t="str">
        <f>Config!$B$7</f>
        <v>SCH/Connector.SchLib</v>
      </c>
      <c r="G261" t="s">
        <v>14827</v>
      </c>
      <c r="H261" t="s">
        <v>15287</v>
      </c>
      <c r="I261" t="s">
        <v>14831</v>
      </c>
      <c r="K261" s="47" t="s">
        <v>16094</v>
      </c>
      <c r="L261" t="s">
        <v>16095</v>
      </c>
      <c r="M261" t="s">
        <v>16122</v>
      </c>
    </row>
    <row r="262" spans="1:13">
      <c r="A262" t="s">
        <v>15296</v>
      </c>
      <c r="B262" t="s">
        <v>15296</v>
      </c>
      <c r="C262" t="s">
        <v>15297</v>
      </c>
      <c r="D262" t="s">
        <v>4310</v>
      </c>
      <c r="F262" t="str">
        <f>Config!$B$7</f>
        <v>SCH/Connector.SchLib</v>
      </c>
      <c r="G262" t="s">
        <v>14827</v>
      </c>
      <c r="H262" t="s">
        <v>15287</v>
      </c>
      <c r="I262" t="s">
        <v>14832</v>
      </c>
      <c r="K262" s="47" t="s">
        <v>16095</v>
      </c>
      <c r="L262" t="s">
        <v>16093</v>
      </c>
      <c r="M262" t="s">
        <v>16122</v>
      </c>
    </row>
    <row r="263" spans="1:13">
      <c r="A263" t="s">
        <v>15298</v>
      </c>
      <c r="B263" t="s">
        <v>15298</v>
      </c>
      <c r="C263" t="s">
        <v>15299</v>
      </c>
      <c r="D263" t="s">
        <v>4310</v>
      </c>
      <c r="F263" t="str">
        <f>Config!$B$7</f>
        <v>SCH/Connector.SchLib</v>
      </c>
      <c r="G263" t="s">
        <v>14827</v>
      </c>
      <c r="H263" t="s">
        <v>15287</v>
      </c>
      <c r="I263" t="s">
        <v>14833</v>
      </c>
      <c r="K263" s="47" t="s">
        <v>16095</v>
      </c>
      <c r="L263" t="s">
        <v>16094</v>
      </c>
      <c r="M263" t="s">
        <v>16122</v>
      </c>
    </row>
    <row r="264" spans="1:13">
      <c r="A264" t="s">
        <v>15300</v>
      </c>
      <c r="B264" t="s">
        <v>15300</v>
      </c>
      <c r="C264" t="s">
        <v>15301</v>
      </c>
      <c r="D264" t="s">
        <v>4310</v>
      </c>
      <c r="F264" t="str">
        <f>Config!$B$7</f>
        <v>SCH/Connector.SchLib</v>
      </c>
      <c r="G264" t="s">
        <v>14827</v>
      </c>
      <c r="H264" t="s">
        <v>15287</v>
      </c>
      <c r="I264" t="s">
        <v>14834</v>
      </c>
      <c r="K264" s="47" t="s">
        <v>16095</v>
      </c>
      <c r="L264" t="s">
        <v>16095</v>
      </c>
      <c r="M264" t="s">
        <v>16122</v>
      </c>
    </row>
    <row r="265" spans="1:13">
      <c r="A265" t="s">
        <v>15302</v>
      </c>
      <c r="B265" t="s">
        <v>15302</v>
      </c>
      <c r="C265" t="s">
        <v>15303</v>
      </c>
      <c r="D265" t="s">
        <v>4310</v>
      </c>
      <c r="F265" t="str">
        <f>Config!$B$7</f>
        <v>SCH/Connector.SchLib</v>
      </c>
      <c r="G265" t="s">
        <v>14827</v>
      </c>
      <c r="H265" t="s">
        <v>15287</v>
      </c>
      <c r="I265" t="s">
        <v>14835</v>
      </c>
      <c r="K265" s="47" t="s">
        <v>16095</v>
      </c>
      <c r="L265" t="s">
        <v>16097</v>
      </c>
      <c r="M265" t="s">
        <v>16122</v>
      </c>
    </row>
    <row r="266" spans="1:13">
      <c r="A266" t="s">
        <v>15304</v>
      </c>
      <c r="B266" t="s">
        <v>15304</v>
      </c>
      <c r="C266" t="s">
        <v>15305</v>
      </c>
      <c r="D266" t="s">
        <v>4310</v>
      </c>
      <c r="F266" t="str">
        <f>Config!$B$7</f>
        <v>SCH/Connector.SchLib</v>
      </c>
      <c r="G266" t="s">
        <v>14827</v>
      </c>
      <c r="H266" t="s">
        <v>15287</v>
      </c>
      <c r="I266" t="s">
        <v>14836</v>
      </c>
      <c r="K266" s="47" t="s">
        <v>16096</v>
      </c>
      <c r="L266" t="s">
        <v>16104</v>
      </c>
      <c r="M266" t="s">
        <v>16122</v>
      </c>
    </row>
    <row r="267" spans="1:13">
      <c r="A267" t="s">
        <v>15306</v>
      </c>
      <c r="B267" t="s">
        <v>15306</v>
      </c>
      <c r="C267" t="s">
        <v>15307</v>
      </c>
      <c r="D267" t="s">
        <v>4310</v>
      </c>
      <c r="F267" t="str">
        <f>Config!$B$7</f>
        <v>SCH/Connector.SchLib</v>
      </c>
      <c r="G267" t="s">
        <v>14827</v>
      </c>
      <c r="H267" t="s">
        <v>15287</v>
      </c>
      <c r="I267" t="s">
        <v>14837</v>
      </c>
      <c r="K267" s="47" t="s">
        <v>16096</v>
      </c>
      <c r="L267" t="s">
        <v>16096</v>
      </c>
      <c r="M267" t="s">
        <v>16122</v>
      </c>
    </row>
    <row r="268" spans="1:13">
      <c r="A268" t="s">
        <v>15308</v>
      </c>
      <c r="B268" t="s">
        <v>15308</v>
      </c>
      <c r="C268" t="s">
        <v>15309</v>
      </c>
      <c r="D268" t="s">
        <v>4310</v>
      </c>
      <c r="F268" t="str">
        <f>Config!$B$7</f>
        <v>SCH/Connector.SchLib</v>
      </c>
      <c r="G268" t="s">
        <v>14827</v>
      </c>
      <c r="H268" t="s">
        <v>15287</v>
      </c>
      <c r="I268" t="s">
        <v>14838</v>
      </c>
      <c r="K268" s="47" t="s">
        <v>16096</v>
      </c>
      <c r="L268" t="s">
        <v>16098</v>
      </c>
      <c r="M268" t="s">
        <v>16122</v>
      </c>
    </row>
    <row r="269" spans="1:13">
      <c r="A269" t="s">
        <v>15310</v>
      </c>
      <c r="B269" t="s">
        <v>15310</v>
      </c>
      <c r="C269" t="s">
        <v>15311</v>
      </c>
      <c r="D269" t="s">
        <v>4310</v>
      </c>
      <c r="F269" t="str">
        <f>Config!$B$7</f>
        <v>SCH/Connector.SchLib</v>
      </c>
      <c r="G269" t="s">
        <v>14827</v>
      </c>
      <c r="H269" t="s">
        <v>15287</v>
      </c>
      <c r="I269" t="s">
        <v>14839</v>
      </c>
      <c r="K269" s="47" t="s">
        <v>16097</v>
      </c>
      <c r="L269" t="s">
        <v>16094</v>
      </c>
      <c r="M269" t="s">
        <v>16122</v>
      </c>
    </row>
    <row r="270" spans="1:13">
      <c r="A270" t="s">
        <v>15312</v>
      </c>
      <c r="B270" t="s">
        <v>15312</v>
      </c>
      <c r="C270" t="s">
        <v>15313</v>
      </c>
      <c r="D270" t="s">
        <v>4310</v>
      </c>
      <c r="F270" t="str">
        <f>Config!$B$7</f>
        <v>SCH/Connector.SchLib</v>
      </c>
      <c r="G270" t="s">
        <v>14827</v>
      </c>
      <c r="H270" t="s">
        <v>15287</v>
      </c>
      <c r="I270" t="s">
        <v>14840</v>
      </c>
      <c r="K270" s="47" t="s">
        <v>16097</v>
      </c>
      <c r="L270" t="s">
        <v>16095</v>
      </c>
      <c r="M270" t="s">
        <v>16122</v>
      </c>
    </row>
    <row r="271" spans="1:13">
      <c r="A271" t="s">
        <v>15314</v>
      </c>
      <c r="B271" t="s">
        <v>15314</v>
      </c>
      <c r="C271" t="s">
        <v>15315</v>
      </c>
      <c r="D271" t="s">
        <v>4310</v>
      </c>
      <c r="F271" t="str">
        <f>Config!$B$7</f>
        <v>SCH/Connector.SchLib</v>
      </c>
      <c r="G271" t="s">
        <v>14827</v>
      </c>
      <c r="H271" t="s">
        <v>15287</v>
      </c>
      <c r="I271" t="s">
        <v>14841</v>
      </c>
      <c r="K271" s="47" t="s">
        <v>16097</v>
      </c>
      <c r="L271" t="s">
        <v>16097</v>
      </c>
      <c r="M271" t="s">
        <v>16122</v>
      </c>
    </row>
    <row r="272" spans="1:13">
      <c r="A272" t="s">
        <v>15316</v>
      </c>
      <c r="B272" t="s">
        <v>15316</v>
      </c>
      <c r="C272" t="s">
        <v>15317</v>
      </c>
      <c r="D272" t="s">
        <v>4310</v>
      </c>
      <c r="F272" t="str">
        <f>Config!$B$7</f>
        <v>SCH/Connector.SchLib</v>
      </c>
      <c r="G272" t="s">
        <v>14827</v>
      </c>
      <c r="H272" t="s">
        <v>15287</v>
      </c>
      <c r="I272" t="s">
        <v>14842</v>
      </c>
      <c r="K272" s="47" t="s">
        <v>16097</v>
      </c>
      <c r="L272" t="s">
        <v>16099</v>
      </c>
      <c r="M272" t="s">
        <v>16122</v>
      </c>
    </row>
    <row r="273" spans="1:13">
      <c r="A273" t="s">
        <v>15318</v>
      </c>
      <c r="B273" t="s">
        <v>15318</v>
      </c>
      <c r="C273" t="s">
        <v>15319</v>
      </c>
      <c r="D273" t="s">
        <v>4310</v>
      </c>
      <c r="F273" t="str">
        <f>Config!$B$7</f>
        <v>SCH/Connector.SchLib</v>
      </c>
      <c r="G273" t="s">
        <v>14827</v>
      </c>
      <c r="H273" t="s">
        <v>15287</v>
      </c>
      <c r="I273" t="s">
        <v>14843</v>
      </c>
      <c r="K273" s="47" t="s">
        <v>16098</v>
      </c>
      <c r="L273" t="s">
        <v>16104</v>
      </c>
      <c r="M273" t="s">
        <v>16122</v>
      </c>
    </row>
    <row r="274" spans="1:13">
      <c r="A274" t="s">
        <v>15320</v>
      </c>
      <c r="B274" t="s">
        <v>15320</v>
      </c>
      <c r="C274" t="s">
        <v>15321</v>
      </c>
      <c r="D274" t="s">
        <v>4310</v>
      </c>
      <c r="F274" t="str">
        <f>Config!$B$7</f>
        <v>SCH/Connector.SchLib</v>
      </c>
      <c r="G274" t="s">
        <v>14827</v>
      </c>
      <c r="H274" t="s">
        <v>15287</v>
      </c>
      <c r="I274" t="s">
        <v>14844</v>
      </c>
      <c r="K274" s="47" t="s">
        <v>16098</v>
      </c>
      <c r="L274" t="s">
        <v>16096</v>
      </c>
      <c r="M274" t="s">
        <v>16122</v>
      </c>
    </row>
    <row r="275" spans="1:13">
      <c r="A275" t="s">
        <v>15322</v>
      </c>
      <c r="B275" t="s">
        <v>15322</v>
      </c>
      <c r="C275" t="s">
        <v>15323</v>
      </c>
      <c r="D275" t="s">
        <v>4310</v>
      </c>
      <c r="F275" t="str">
        <f>Config!$B$7</f>
        <v>SCH/Connector.SchLib</v>
      </c>
      <c r="G275" t="s">
        <v>14827</v>
      </c>
      <c r="H275" t="s">
        <v>15287</v>
      </c>
      <c r="I275" t="s">
        <v>14845</v>
      </c>
      <c r="K275" s="47" t="s">
        <v>16098</v>
      </c>
      <c r="L275" t="s">
        <v>16098</v>
      </c>
      <c r="M275" t="s">
        <v>16122</v>
      </c>
    </row>
    <row r="276" spans="1:13">
      <c r="A276" t="s">
        <v>15324</v>
      </c>
      <c r="B276" t="s">
        <v>15324</v>
      </c>
      <c r="C276" t="s">
        <v>15325</v>
      </c>
      <c r="D276" t="s">
        <v>4310</v>
      </c>
      <c r="F276" t="str">
        <f>Config!$B$7</f>
        <v>SCH/Connector.SchLib</v>
      </c>
      <c r="G276" t="s">
        <v>14827</v>
      </c>
      <c r="H276" t="s">
        <v>15287</v>
      </c>
      <c r="I276" t="s">
        <v>14846</v>
      </c>
      <c r="K276" s="47" t="s">
        <v>16098</v>
      </c>
      <c r="L276" t="s">
        <v>16101</v>
      </c>
      <c r="M276" t="s">
        <v>16122</v>
      </c>
    </row>
    <row r="277" spans="1:13">
      <c r="A277" t="s">
        <v>15326</v>
      </c>
      <c r="B277" t="s">
        <v>15326</v>
      </c>
      <c r="C277" t="s">
        <v>15327</v>
      </c>
      <c r="D277" t="s">
        <v>4310</v>
      </c>
      <c r="F277" t="str">
        <f>Config!$B$7</f>
        <v>SCH/Connector.SchLib</v>
      </c>
      <c r="G277" t="s">
        <v>14827</v>
      </c>
      <c r="H277" t="s">
        <v>15287</v>
      </c>
      <c r="I277" t="s">
        <v>14847</v>
      </c>
      <c r="K277" s="47" t="s">
        <v>16099</v>
      </c>
      <c r="L277" t="s">
        <v>16105</v>
      </c>
      <c r="M277" t="s">
        <v>16122</v>
      </c>
    </row>
    <row r="278" spans="1:13">
      <c r="A278" t="s">
        <v>15328</v>
      </c>
      <c r="B278" t="s">
        <v>15328</v>
      </c>
      <c r="C278" t="s">
        <v>15329</v>
      </c>
      <c r="D278" t="s">
        <v>4310</v>
      </c>
      <c r="F278" t="str">
        <f>Config!$B$7</f>
        <v>SCH/Connector.SchLib</v>
      </c>
      <c r="G278" t="s">
        <v>14827</v>
      </c>
      <c r="H278" t="s">
        <v>15287</v>
      </c>
      <c r="I278" t="s">
        <v>14848</v>
      </c>
      <c r="K278" s="47" t="s">
        <v>16099</v>
      </c>
      <c r="L278" t="s">
        <v>16095</v>
      </c>
      <c r="M278" t="s">
        <v>16122</v>
      </c>
    </row>
    <row r="279" spans="1:13">
      <c r="A279" t="s">
        <v>15330</v>
      </c>
      <c r="B279" t="s">
        <v>15330</v>
      </c>
      <c r="C279" t="s">
        <v>15331</v>
      </c>
      <c r="D279" t="s">
        <v>4310</v>
      </c>
      <c r="F279" t="str">
        <f>Config!$B$7</f>
        <v>SCH/Connector.SchLib</v>
      </c>
      <c r="G279" t="s">
        <v>14827</v>
      </c>
      <c r="H279" t="s">
        <v>15287</v>
      </c>
      <c r="I279" t="s">
        <v>14849</v>
      </c>
      <c r="K279" s="47" t="s">
        <v>16099</v>
      </c>
      <c r="L279" t="s">
        <v>16097</v>
      </c>
      <c r="M279" t="s">
        <v>16122</v>
      </c>
    </row>
    <row r="280" spans="1:13">
      <c r="A280" t="s">
        <v>15332</v>
      </c>
      <c r="B280" t="s">
        <v>15332</v>
      </c>
      <c r="C280" t="s">
        <v>15333</v>
      </c>
      <c r="D280" t="s">
        <v>4310</v>
      </c>
      <c r="F280" t="str">
        <f>Config!$B$7</f>
        <v>SCH/Connector.SchLib</v>
      </c>
      <c r="G280" t="s">
        <v>14827</v>
      </c>
      <c r="H280" t="s">
        <v>15287</v>
      </c>
      <c r="I280" t="s">
        <v>14850</v>
      </c>
      <c r="K280" s="47" t="s">
        <v>16099</v>
      </c>
      <c r="L280" t="s">
        <v>16099</v>
      </c>
      <c r="M280" t="s">
        <v>16122</v>
      </c>
    </row>
    <row r="281" spans="1:13">
      <c r="A281" t="s">
        <v>15334</v>
      </c>
      <c r="B281" t="s">
        <v>15334</v>
      </c>
      <c r="C281" t="s">
        <v>15335</v>
      </c>
      <c r="D281" t="s">
        <v>4310</v>
      </c>
      <c r="F281" t="str">
        <f>Config!$B$7</f>
        <v>SCH/Connector.SchLib</v>
      </c>
      <c r="G281" t="s">
        <v>14827</v>
      </c>
      <c r="H281" t="s">
        <v>15287</v>
      </c>
      <c r="I281" t="s">
        <v>14851</v>
      </c>
      <c r="K281" s="47" t="s">
        <v>16099</v>
      </c>
      <c r="L281" t="s">
        <v>16102</v>
      </c>
      <c r="M281" t="s">
        <v>16122</v>
      </c>
    </row>
    <row r="282" spans="1:13">
      <c r="A282" t="s">
        <v>15336</v>
      </c>
      <c r="B282" t="s">
        <v>15336</v>
      </c>
      <c r="C282" t="s">
        <v>15337</v>
      </c>
      <c r="D282" t="s">
        <v>4310</v>
      </c>
      <c r="F282" t="str">
        <f>Config!$B$7</f>
        <v>SCH/Connector.SchLib</v>
      </c>
      <c r="G282" t="s">
        <v>14827</v>
      </c>
      <c r="H282" t="s">
        <v>15287</v>
      </c>
      <c r="I282" t="s">
        <v>14852</v>
      </c>
      <c r="K282" s="47" t="s">
        <v>16100</v>
      </c>
      <c r="L282" t="s">
        <v>16094</v>
      </c>
      <c r="M282" t="s">
        <v>16122</v>
      </c>
    </row>
    <row r="283" spans="1:13">
      <c r="A283" t="s">
        <v>15890</v>
      </c>
      <c r="B283" t="s">
        <v>15890</v>
      </c>
      <c r="C283" t="s">
        <v>15891</v>
      </c>
      <c r="D283" t="s">
        <v>4310</v>
      </c>
      <c r="F283" t="str">
        <f>Config!$B$7</f>
        <v>SCH/Connector.SchLib</v>
      </c>
      <c r="G283" t="s">
        <v>14827</v>
      </c>
      <c r="H283" t="s">
        <v>15287</v>
      </c>
      <c r="I283" t="s">
        <v>15590</v>
      </c>
      <c r="K283" s="47" t="s">
        <v>16100</v>
      </c>
      <c r="L283" t="s">
        <v>16095</v>
      </c>
      <c r="M283" t="s">
        <v>16122</v>
      </c>
    </row>
    <row r="284" spans="1:13">
      <c r="A284" t="s">
        <v>15338</v>
      </c>
      <c r="B284" t="s">
        <v>15338</v>
      </c>
      <c r="C284" t="s">
        <v>15339</v>
      </c>
      <c r="D284" t="s">
        <v>4310</v>
      </c>
      <c r="F284" t="str">
        <f>Config!$B$7</f>
        <v>SCH/Connector.SchLib</v>
      </c>
      <c r="G284" t="s">
        <v>14827</v>
      </c>
      <c r="H284" t="s">
        <v>15287</v>
      </c>
      <c r="I284" t="s">
        <v>14853</v>
      </c>
      <c r="K284" s="47" t="s">
        <v>16100</v>
      </c>
      <c r="L284" t="s">
        <v>16106</v>
      </c>
      <c r="M284" t="s">
        <v>16122</v>
      </c>
    </row>
    <row r="285" spans="1:13">
      <c r="A285" t="s">
        <v>15340</v>
      </c>
      <c r="B285" t="s">
        <v>15340</v>
      </c>
      <c r="C285" t="s">
        <v>15341</v>
      </c>
      <c r="D285" t="s">
        <v>4310</v>
      </c>
      <c r="F285" t="str">
        <f>Config!$B$7</f>
        <v>SCH/Connector.SchLib</v>
      </c>
      <c r="G285" t="s">
        <v>14827</v>
      </c>
      <c r="H285" t="s">
        <v>15287</v>
      </c>
      <c r="I285" t="s">
        <v>14854</v>
      </c>
      <c r="K285" s="47" t="s">
        <v>16100</v>
      </c>
      <c r="L285" t="s">
        <v>16107</v>
      </c>
      <c r="M285" t="s">
        <v>16122</v>
      </c>
    </row>
    <row r="286" spans="1:13">
      <c r="A286" t="s">
        <v>15342</v>
      </c>
      <c r="B286" t="s">
        <v>15342</v>
      </c>
      <c r="C286" t="s">
        <v>15343</v>
      </c>
      <c r="D286" t="s">
        <v>4310</v>
      </c>
      <c r="F286" t="str">
        <f>Config!$B$7</f>
        <v>SCH/Connector.SchLib</v>
      </c>
      <c r="G286" t="s">
        <v>14827</v>
      </c>
      <c r="H286" t="s">
        <v>15287</v>
      </c>
      <c r="I286" t="s">
        <v>14855</v>
      </c>
      <c r="K286" s="47" t="s">
        <v>16100</v>
      </c>
      <c r="L286" t="s">
        <v>16100</v>
      </c>
      <c r="M286" t="s">
        <v>16122</v>
      </c>
    </row>
    <row r="287" spans="1:13">
      <c r="A287" t="s">
        <v>15344</v>
      </c>
      <c r="B287" t="s">
        <v>15344</v>
      </c>
      <c r="C287" t="s">
        <v>15345</v>
      </c>
      <c r="D287" t="s">
        <v>4310</v>
      </c>
      <c r="F287" t="str">
        <f>Config!$B$7</f>
        <v>SCH/Connector.SchLib</v>
      </c>
      <c r="G287" t="s">
        <v>14827</v>
      </c>
      <c r="H287" t="s">
        <v>15287</v>
      </c>
      <c r="I287" t="s">
        <v>14856</v>
      </c>
      <c r="K287" s="47" t="s">
        <v>16100</v>
      </c>
      <c r="L287" t="s">
        <v>16108</v>
      </c>
      <c r="M287" t="s">
        <v>16122</v>
      </c>
    </row>
    <row r="288" spans="1:13">
      <c r="A288" t="s">
        <v>15892</v>
      </c>
      <c r="B288" t="s">
        <v>15892</v>
      </c>
      <c r="C288" t="s">
        <v>15893</v>
      </c>
      <c r="D288" t="s">
        <v>4310</v>
      </c>
      <c r="F288" t="str">
        <f>Config!$B$7</f>
        <v>SCH/Connector.SchLib</v>
      </c>
      <c r="G288" t="s">
        <v>14827</v>
      </c>
      <c r="H288" t="s">
        <v>15287</v>
      </c>
      <c r="I288" t="s">
        <v>15593</v>
      </c>
      <c r="K288" s="47" t="s">
        <v>16101</v>
      </c>
      <c r="L288" t="s">
        <v>16109</v>
      </c>
      <c r="M288" t="s">
        <v>16122</v>
      </c>
    </row>
    <row r="289" spans="1:13">
      <c r="A289" t="s">
        <v>15894</v>
      </c>
      <c r="B289" t="s">
        <v>15894</v>
      </c>
      <c r="C289" t="s">
        <v>15895</v>
      </c>
      <c r="D289" t="s">
        <v>4310</v>
      </c>
      <c r="F289" t="str">
        <f>Config!$B$7</f>
        <v>SCH/Connector.SchLib</v>
      </c>
      <c r="G289" t="s">
        <v>14827</v>
      </c>
      <c r="H289" t="s">
        <v>15287</v>
      </c>
      <c r="I289" t="s">
        <v>15594</v>
      </c>
      <c r="K289" s="47" t="s">
        <v>16101</v>
      </c>
      <c r="L289" t="s">
        <v>16095</v>
      </c>
      <c r="M289" t="s">
        <v>16122</v>
      </c>
    </row>
    <row r="290" spans="1:13">
      <c r="A290" t="s">
        <v>15896</v>
      </c>
      <c r="B290" t="s">
        <v>15896</v>
      </c>
      <c r="C290" t="s">
        <v>15897</v>
      </c>
      <c r="D290" t="s">
        <v>4310</v>
      </c>
      <c r="F290" t="str">
        <f>Config!$B$7</f>
        <v>SCH/Connector.SchLib</v>
      </c>
      <c r="G290" t="s">
        <v>14827</v>
      </c>
      <c r="H290" t="s">
        <v>15287</v>
      </c>
      <c r="I290" t="s">
        <v>15595</v>
      </c>
      <c r="K290" s="47" t="s">
        <v>16101</v>
      </c>
      <c r="L290" t="s">
        <v>16096</v>
      </c>
      <c r="M290" t="s">
        <v>16122</v>
      </c>
    </row>
    <row r="291" spans="1:13">
      <c r="A291" t="s">
        <v>15898</v>
      </c>
      <c r="B291" t="s">
        <v>15898</v>
      </c>
      <c r="C291" t="s">
        <v>15899</v>
      </c>
      <c r="D291" t="s">
        <v>4310</v>
      </c>
      <c r="F291" t="str">
        <f>Config!$B$7</f>
        <v>SCH/Connector.SchLib</v>
      </c>
      <c r="G291" t="s">
        <v>14827</v>
      </c>
      <c r="H291" t="s">
        <v>15287</v>
      </c>
      <c r="I291" t="s">
        <v>15596</v>
      </c>
      <c r="K291" s="47" t="s">
        <v>16101</v>
      </c>
      <c r="L291" t="s">
        <v>16098</v>
      </c>
      <c r="M291" t="s">
        <v>16122</v>
      </c>
    </row>
    <row r="292" spans="1:13">
      <c r="A292" t="s">
        <v>15900</v>
      </c>
      <c r="B292" t="s">
        <v>15900</v>
      </c>
      <c r="C292" t="s">
        <v>15901</v>
      </c>
      <c r="D292" t="s">
        <v>4310</v>
      </c>
      <c r="F292" t="str">
        <f>Config!$B$7</f>
        <v>SCH/Connector.SchLib</v>
      </c>
      <c r="G292" t="s">
        <v>14827</v>
      </c>
      <c r="H292" t="s">
        <v>15287</v>
      </c>
      <c r="I292" t="s">
        <v>15597</v>
      </c>
      <c r="K292" s="47" t="s">
        <v>16101</v>
      </c>
      <c r="L292" t="s">
        <v>16101</v>
      </c>
      <c r="M292" t="s">
        <v>16122</v>
      </c>
    </row>
    <row r="293" spans="1:13">
      <c r="A293" t="s">
        <v>15902</v>
      </c>
      <c r="B293" t="s">
        <v>15902</v>
      </c>
      <c r="C293" t="s">
        <v>15903</v>
      </c>
      <c r="D293" t="s">
        <v>4310</v>
      </c>
      <c r="F293" t="str">
        <f>Config!$B$7</f>
        <v>SCH/Connector.SchLib</v>
      </c>
      <c r="G293" t="s">
        <v>14827</v>
      </c>
      <c r="H293" t="s">
        <v>15287</v>
      </c>
      <c r="I293" t="s">
        <v>15598</v>
      </c>
      <c r="K293" s="47" t="s">
        <v>16101</v>
      </c>
      <c r="L293" t="s">
        <v>16110</v>
      </c>
      <c r="M293" t="s">
        <v>16122</v>
      </c>
    </row>
    <row r="294" spans="1:13">
      <c r="A294" t="s">
        <v>15904</v>
      </c>
      <c r="B294" t="s">
        <v>15904</v>
      </c>
      <c r="C294" t="s">
        <v>15905</v>
      </c>
      <c r="D294" t="s">
        <v>4310</v>
      </c>
      <c r="F294" t="str">
        <f>Config!$B$7</f>
        <v>SCH/Connector.SchLib</v>
      </c>
      <c r="G294" t="s">
        <v>14827</v>
      </c>
      <c r="H294" t="s">
        <v>15287</v>
      </c>
      <c r="I294" t="s">
        <v>15599</v>
      </c>
      <c r="K294" s="47" t="s">
        <v>16102</v>
      </c>
      <c r="L294" t="s">
        <v>16094</v>
      </c>
      <c r="M294" t="s">
        <v>16122</v>
      </c>
    </row>
    <row r="295" spans="1:13">
      <c r="A295" t="s">
        <v>15906</v>
      </c>
      <c r="B295" t="s">
        <v>15906</v>
      </c>
      <c r="C295" t="s">
        <v>15907</v>
      </c>
      <c r="D295" t="s">
        <v>4310</v>
      </c>
      <c r="F295" t="str">
        <f>Config!$B$7</f>
        <v>SCH/Connector.SchLib</v>
      </c>
      <c r="G295" t="s">
        <v>14827</v>
      </c>
      <c r="H295" t="s">
        <v>15287</v>
      </c>
      <c r="I295" t="s">
        <v>15600</v>
      </c>
      <c r="K295" s="47" t="s">
        <v>16102</v>
      </c>
      <c r="L295" t="s">
        <v>16111</v>
      </c>
      <c r="M295" t="s">
        <v>16122</v>
      </c>
    </row>
    <row r="296" spans="1:13">
      <c r="A296" t="s">
        <v>15908</v>
      </c>
      <c r="B296" t="s">
        <v>15908</v>
      </c>
      <c r="C296" t="s">
        <v>15909</v>
      </c>
      <c r="D296" t="s">
        <v>4310</v>
      </c>
      <c r="F296" t="str">
        <f>Config!$B$7</f>
        <v>SCH/Connector.SchLib</v>
      </c>
      <c r="G296" t="s">
        <v>14827</v>
      </c>
      <c r="H296" t="s">
        <v>15287</v>
      </c>
      <c r="I296" t="s">
        <v>15601</v>
      </c>
      <c r="K296" s="47" t="s">
        <v>16102</v>
      </c>
      <c r="L296" t="s">
        <v>16095</v>
      </c>
      <c r="M296" t="s">
        <v>16122</v>
      </c>
    </row>
    <row r="297" spans="1:13">
      <c r="A297" t="s">
        <v>15910</v>
      </c>
      <c r="B297" t="s">
        <v>15910</v>
      </c>
      <c r="C297" t="s">
        <v>15911</v>
      </c>
      <c r="D297" t="s">
        <v>4310</v>
      </c>
      <c r="F297" t="str">
        <f>Config!$B$7</f>
        <v>SCH/Connector.SchLib</v>
      </c>
      <c r="G297" t="s">
        <v>14827</v>
      </c>
      <c r="H297" t="s">
        <v>15287</v>
      </c>
      <c r="I297" t="s">
        <v>15602</v>
      </c>
      <c r="K297" s="47" t="s">
        <v>16102</v>
      </c>
      <c r="L297" t="s">
        <v>16097</v>
      </c>
      <c r="M297" t="s">
        <v>16122</v>
      </c>
    </row>
    <row r="298" spans="1:13">
      <c r="A298" t="s">
        <v>15912</v>
      </c>
      <c r="B298" t="s">
        <v>15912</v>
      </c>
      <c r="C298" t="s">
        <v>15913</v>
      </c>
      <c r="D298" t="s">
        <v>4310</v>
      </c>
      <c r="F298" t="str">
        <f>Config!$B$7</f>
        <v>SCH/Connector.SchLib</v>
      </c>
      <c r="G298" t="s">
        <v>14827</v>
      </c>
      <c r="H298" t="s">
        <v>15287</v>
      </c>
      <c r="I298" t="s">
        <v>15603</v>
      </c>
      <c r="K298" s="47" t="s">
        <v>16102</v>
      </c>
      <c r="L298" t="s">
        <v>16099</v>
      </c>
      <c r="M298" t="s">
        <v>16122</v>
      </c>
    </row>
    <row r="299" spans="1:13">
      <c r="A299" t="s">
        <v>15914</v>
      </c>
      <c r="B299" t="s">
        <v>15914</v>
      </c>
      <c r="C299" t="s">
        <v>15915</v>
      </c>
      <c r="D299" t="s">
        <v>4310</v>
      </c>
      <c r="F299" t="str">
        <f>Config!$B$7</f>
        <v>SCH/Connector.SchLib</v>
      </c>
      <c r="G299" t="s">
        <v>14827</v>
      </c>
      <c r="H299" t="s">
        <v>15287</v>
      </c>
      <c r="I299" t="s">
        <v>15604</v>
      </c>
      <c r="K299" s="47" t="s">
        <v>16102</v>
      </c>
      <c r="L299" t="s">
        <v>16102</v>
      </c>
      <c r="M299" t="s">
        <v>16122</v>
      </c>
    </row>
    <row r="300" spans="1:13">
      <c r="A300" t="s">
        <v>15916</v>
      </c>
      <c r="B300" t="s">
        <v>15916</v>
      </c>
      <c r="C300" t="s">
        <v>15917</v>
      </c>
      <c r="D300" t="s">
        <v>4310</v>
      </c>
      <c r="F300" t="str">
        <f>Config!$B$7</f>
        <v>SCH/Connector.SchLib</v>
      </c>
      <c r="G300" t="s">
        <v>14827</v>
      </c>
      <c r="H300" t="s">
        <v>15287</v>
      </c>
      <c r="I300" t="s">
        <v>15605</v>
      </c>
      <c r="K300" s="47" t="s">
        <v>16102</v>
      </c>
      <c r="L300" t="s">
        <v>16112</v>
      </c>
      <c r="M300" t="s">
        <v>16122</v>
      </c>
    </row>
    <row r="301" spans="1:13">
      <c r="A301" t="s">
        <v>15918</v>
      </c>
      <c r="B301" t="s">
        <v>15918</v>
      </c>
      <c r="C301" t="s">
        <v>15919</v>
      </c>
      <c r="D301" t="s">
        <v>4310</v>
      </c>
      <c r="F301" t="str">
        <f>Config!$B$7</f>
        <v>SCH/Connector.SchLib</v>
      </c>
      <c r="G301" t="s">
        <v>14827</v>
      </c>
      <c r="H301" t="s">
        <v>15287</v>
      </c>
      <c r="I301" t="s">
        <v>15606</v>
      </c>
      <c r="K301" s="47" t="s">
        <v>16103</v>
      </c>
      <c r="L301" t="s">
        <v>16094</v>
      </c>
      <c r="M301" t="s">
        <v>16122</v>
      </c>
    </row>
    <row r="302" spans="1:13">
      <c r="A302" t="s">
        <v>15920</v>
      </c>
      <c r="B302" t="s">
        <v>15920</v>
      </c>
      <c r="C302" t="s">
        <v>15921</v>
      </c>
      <c r="D302" t="s">
        <v>4310</v>
      </c>
      <c r="F302" t="str">
        <f>Config!$B$7</f>
        <v>SCH/Connector.SchLib</v>
      </c>
      <c r="G302" t="s">
        <v>14827</v>
      </c>
      <c r="H302" t="s">
        <v>15287</v>
      </c>
      <c r="I302" t="s">
        <v>15607</v>
      </c>
      <c r="K302" s="47" t="s">
        <v>16103</v>
      </c>
      <c r="L302" t="s">
        <v>16095</v>
      </c>
      <c r="M302" t="s">
        <v>16122</v>
      </c>
    </row>
    <row r="303" spans="1:13">
      <c r="A303" t="s">
        <v>15922</v>
      </c>
      <c r="B303" t="s">
        <v>15922</v>
      </c>
      <c r="C303" t="s">
        <v>15923</v>
      </c>
      <c r="D303" t="s">
        <v>4310</v>
      </c>
      <c r="F303" t="str">
        <f>Config!$B$7</f>
        <v>SCH/Connector.SchLib</v>
      </c>
      <c r="G303" t="s">
        <v>14827</v>
      </c>
      <c r="H303" t="s">
        <v>15287</v>
      </c>
      <c r="I303" t="s">
        <v>15608</v>
      </c>
      <c r="K303" s="47" t="s">
        <v>16103</v>
      </c>
      <c r="L303" t="s">
        <v>16107</v>
      </c>
      <c r="M303" t="s">
        <v>16122</v>
      </c>
    </row>
    <row r="304" spans="1:13">
      <c r="A304" t="s">
        <v>15924</v>
      </c>
      <c r="B304" t="s">
        <v>15924</v>
      </c>
      <c r="C304" t="s">
        <v>15925</v>
      </c>
      <c r="D304" t="s">
        <v>4310</v>
      </c>
      <c r="F304" t="str">
        <f>Config!$B$7</f>
        <v>SCH/Connector.SchLib</v>
      </c>
      <c r="G304" t="s">
        <v>14827</v>
      </c>
      <c r="H304" t="s">
        <v>15287</v>
      </c>
      <c r="I304" t="s">
        <v>15609</v>
      </c>
      <c r="K304" s="47" t="s">
        <v>16103</v>
      </c>
      <c r="L304" t="s">
        <v>16100</v>
      </c>
      <c r="M304" t="s">
        <v>16122</v>
      </c>
    </row>
    <row r="305" spans="1:13">
      <c r="A305" t="s">
        <v>15926</v>
      </c>
      <c r="B305" t="s">
        <v>15926</v>
      </c>
      <c r="C305" t="s">
        <v>15927</v>
      </c>
      <c r="D305" t="s">
        <v>4310</v>
      </c>
      <c r="F305" t="str">
        <f>Config!$B$7</f>
        <v>SCH/Connector.SchLib</v>
      </c>
      <c r="G305" t="s">
        <v>14827</v>
      </c>
      <c r="H305" t="s">
        <v>15287</v>
      </c>
      <c r="I305" t="s">
        <v>15610</v>
      </c>
      <c r="K305" s="47" t="s">
        <v>16103</v>
      </c>
      <c r="L305" t="s">
        <v>16108</v>
      </c>
      <c r="M305" t="s">
        <v>16122</v>
      </c>
    </row>
    <row r="306" spans="1:13">
      <c r="A306" t="s">
        <v>15928</v>
      </c>
      <c r="B306" t="s">
        <v>15928</v>
      </c>
      <c r="C306" t="s">
        <v>15929</v>
      </c>
      <c r="D306" t="s">
        <v>4310</v>
      </c>
      <c r="F306" t="str">
        <f>Config!$B$7</f>
        <v>SCH/Connector.SchLib</v>
      </c>
      <c r="G306" t="s">
        <v>14827</v>
      </c>
      <c r="H306" t="s">
        <v>15287</v>
      </c>
      <c r="I306" t="s">
        <v>15611</v>
      </c>
      <c r="K306" s="47" t="s">
        <v>16103</v>
      </c>
      <c r="L306" t="s">
        <v>16113</v>
      </c>
      <c r="M306" t="s">
        <v>16122</v>
      </c>
    </row>
    <row r="308" spans="1:13">
      <c r="A308" t="s">
        <v>15224</v>
      </c>
      <c r="B308" t="s">
        <v>15224</v>
      </c>
      <c r="C308" t="s">
        <v>15225</v>
      </c>
      <c r="D308" t="s">
        <v>4310</v>
      </c>
      <c r="F308" t="str">
        <f>Config!$B$7</f>
        <v>SCH/Connector.SchLib</v>
      </c>
      <c r="G308" t="s">
        <v>14827</v>
      </c>
      <c r="H308" t="s">
        <v>15226</v>
      </c>
      <c r="I308" t="s">
        <v>14857</v>
      </c>
      <c r="K308" s="47" t="s">
        <v>16093</v>
      </c>
      <c r="L308" t="s">
        <v>16093</v>
      </c>
      <c r="M308" t="s">
        <v>16123</v>
      </c>
    </row>
    <row r="309" spans="1:13">
      <c r="A309" t="s">
        <v>15227</v>
      </c>
      <c r="B309" t="s">
        <v>15227</v>
      </c>
      <c r="C309" t="s">
        <v>15228</v>
      </c>
      <c r="D309" t="s">
        <v>4310</v>
      </c>
      <c r="F309" t="str">
        <f>Config!$B$7</f>
        <v>SCH/Connector.SchLib</v>
      </c>
      <c r="G309" t="s">
        <v>14827</v>
      </c>
      <c r="H309" t="s">
        <v>15226</v>
      </c>
      <c r="I309" t="s">
        <v>14858</v>
      </c>
      <c r="K309" s="47" t="s">
        <v>16093</v>
      </c>
      <c r="L309" t="s">
        <v>16094</v>
      </c>
      <c r="M309" t="s">
        <v>16123</v>
      </c>
    </row>
    <row r="310" spans="1:13">
      <c r="A310" t="s">
        <v>15229</v>
      </c>
      <c r="B310" t="s">
        <v>15229</v>
      </c>
      <c r="C310" t="s">
        <v>15230</v>
      </c>
      <c r="D310" t="s">
        <v>4310</v>
      </c>
      <c r="F310" t="str">
        <f>Config!$B$7</f>
        <v>SCH/Connector.SchLib</v>
      </c>
      <c r="G310" t="s">
        <v>14827</v>
      </c>
      <c r="H310" t="s">
        <v>15226</v>
      </c>
      <c r="I310" t="s">
        <v>14829</v>
      </c>
      <c r="K310" s="47" t="s">
        <v>16094</v>
      </c>
      <c r="L310" t="s">
        <v>16093</v>
      </c>
      <c r="M310" t="s">
        <v>16123</v>
      </c>
    </row>
    <row r="311" spans="1:13">
      <c r="A311" t="s">
        <v>15231</v>
      </c>
      <c r="B311" t="s">
        <v>15231</v>
      </c>
      <c r="C311" t="s">
        <v>15232</v>
      </c>
      <c r="D311" t="s">
        <v>4310</v>
      </c>
      <c r="F311" t="str">
        <f>Config!$B$7</f>
        <v>SCH/Connector.SchLib</v>
      </c>
      <c r="G311" t="s">
        <v>14827</v>
      </c>
      <c r="H311" t="s">
        <v>15226</v>
      </c>
      <c r="I311" t="s">
        <v>14830</v>
      </c>
      <c r="K311" s="47" t="s">
        <v>16094</v>
      </c>
      <c r="L311" t="s">
        <v>16094</v>
      </c>
      <c r="M311" t="s">
        <v>16123</v>
      </c>
    </row>
    <row r="312" spans="1:13">
      <c r="A312" t="s">
        <v>15233</v>
      </c>
      <c r="B312" t="s">
        <v>15233</v>
      </c>
      <c r="C312" t="s">
        <v>15234</v>
      </c>
      <c r="D312" t="s">
        <v>4310</v>
      </c>
      <c r="F312" t="str">
        <f>Config!$B$7</f>
        <v>SCH/Connector.SchLib</v>
      </c>
      <c r="G312" t="s">
        <v>14827</v>
      </c>
      <c r="H312" t="s">
        <v>15226</v>
      </c>
      <c r="I312" t="s">
        <v>14831</v>
      </c>
      <c r="K312" s="47" t="s">
        <v>16094</v>
      </c>
      <c r="L312" t="s">
        <v>16095</v>
      </c>
      <c r="M312" t="s">
        <v>16123</v>
      </c>
    </row>
    <row r="313" spans="1:13">
      <c r="A313" t="s">
        <v>15235</v>
      </c>
      <c r="B313" t="s">
        <v>15235</v>
      </c>
      <c r="C313" t="s">
        <v>15236</v>
      </c>
      <c r="D313" t="s">
        <v>4310</v>
      </c>
      <c r="F313" t="str">
        <f>Config!$B$7</f>
        <v>SCH/Connector.SchLib</v>
      </c>
      <c r="G313" t="s">
        <v>14827</v>
      </c>
      <c r="H313" t="s">
        <v>15226</v>
      </c>
      <c r="I313" t="s">
        <v>14832</v>
      </c>
      <c r="K313" s="47" t="s">
        <v>16095</v>
      </c>
      <c r="L313" t="s">
        <v>16093</v>
      </c>
      <c r="M313" t="s">
        <v>16123</v>
      </c>
    </row>
    <row r="314" spans="1:13">
      <c r="A314" t="s">
        <v>15237</v>
      </c>
      <c r="B314" t="s">
        <v>15237</v>
      </c>
      <c r="C314" t="s">
        <v>15238</v>
      </c>
      <c r="D314" t="s">
        <v>4310</v>
      </c>
      <c r="F314" t="str">
        <f>Config!$B$7</f>
        <v>SCH/Connector.SchLib</v>
      </c>
      <c r="G314" t="s">
        <v>14827</v>
      </c>
      <c r="H314" t="s">
        <v>15226</v>
      </c>
      <c r="I314" t="s">
        <v>14833</v>
      </c>
      <c r="K314" s="47" t="s">
        <v>16095</v>
      </c>
      <c r="L314" t="s">
        <v>16094</v>
      </c>
      <c r="M314" t="s">
        <v>16123</v>
      </c>
    </row>
    <row r="315" spans="1:13">
      <c r="A315" t="s">
        <v>15239</v>
      </c>
      <c r="B315" t="s">
        <v>15239</v>
      </c>
      <c r="C315" t="s">
        <v>15240</v>
      </c>
      <c r="D315" t="s">
        <v>4310</v>
      </c>
      <c r="F315" t="str">
        <f>Config!$B$7</f>
        <v>SCH/Connector.SchLib</v>
      </c>
      <c r="G315" t="s">
        <v>14827</v>
      </c>
      <c r="H315" t="s">
        <v>15226</v>
      </c>
      <c r="I315" t="s">
        <v>14834</v>
      </c>
      <c r="K315" s="47" t="s">
        <v>16095</v>
      </c>
      <c r="L315" t="s">
        <v>16095</v>
      </c>
      <c r="M315" t="s">
        <v>16123</v>
      </c>
    </row>
    <row r="316" spans="1:13">
      <c r="A316" t="s">
        <v>15241</v>
      </c>
      <c r="B316" t="s">
        <v>15241</v>
      </c>
      <c r="C316" t="s">
        <v>15242</v>
      </c>
      <c r="D316" t="s">
        <v>4310</v>
      </c>
      <c r="F316" t="str">
        <f>Config!$B$7</f>
        <v>SCH/Connector.SchLib</v>
      </c>
      <c r="G316" t="s">
        <v>14827</v>
      </c>
      <c r="H316" t="s">
        <v>15226</v>
      </c>
      <c r="I316" t="s">
        <v>14835</v>
      </c>
      <c r="K316" s="47" t="s">
        <v>16095</v>
      </c>
      <c r="L316" t="s">
        <v>16097</v>
      </c>
      <c r="M316" t="s">
        <v>16123</v>
      </c>
    </row>
    <row r="317" spans="1:13">
      <c r="A317" t="s">
        <v>15243</v>
      </c>
      <c r="B317" t="s">
        <v>15243</v>
      </c>
      <c r="C317" t="s">
        <v>15244</v>
      </c>
      <c r="D317" t="s">
        <v>4310</v>
      </c>
      <c r="F317" t="str">
        <f>Config!$B$7</f>
        <v>SCH/Connector.SchLib</v>
      </c>
      <c r="G317" t="s">
        <v>14827</v>
      </c>
      <c r="H317" t="s">
        <v>15226</v>
      </c>
      <c r="I317" t="s">
        <v>14836</v>
      </c>
      <c r="K317" s="47" t="s">
        <v>16096</v>
      </c>
      <c r="L317" t="s">
        <v>16104</v>
      </c>
      <c r="M317" t="s">
        <v>16123</v>
      </c>
    </row>
    <row r="318" spans="1:13">
      <c r="A318" t="s">
        <v>15245</v>
      </c>
      <c r="B318" t="s">
        <v>15245</v>
      </c>
      <c r="C318" t="s">
        <v>15246</v>
      </c>
      <c r="D318" t="s">
        <v>4310</v>
      </c>
      <c r="F318" t="str">
        <f>Config!$B$7</f>
        <v>SCH/Connector.SchLib</v>
      </c>
      <c r="G318" t="s">
        <v>14827</v>
      </c>
      <c r="H318" t="s">
        <v>15226</v>
      </c>
      <c r="I318" t="s">
        <v>14837</v>
      </c>
      <c r="K318" s="47" t="s">
        <v>16096</v>
      </c>
      <c r="L318" t="s">
        <v>16096</v>
      </c>
      <c r="M318" t="s">
        <v>16123</v>
      </c>
    </row>
    <row r="319" spans="1:13">
      <c r="A319" t="s">
        <v>15247</v>
      </c>
      <c r="B319" t="s">
        <v>15247</v>
      </c>
      <c r="C319" t="s">
        <v>15248</v>
      </c>
      <c r="D319" t="s">
        <v>4310</v>
      </c>
      <c r="F319" t="str">
        <f>Config!$B$7</f>
        <v>SCH/Connector.SchLib</v>
      </c>
      <c r="G319" t="s">
        <v>14827</v>
      </c>
      <c r="H319" t="s">
        <v>15226</v>
      </c>
      <c r="I319" t="s">
        <v>14838</v>
      </c>
      <c r="K319" s="47" t="s">
        <v>16096</v>
      </c>
      <c r="L319" t="s">
        <v>16098</v>
      </c>
      <c r="M319" t="s">
        <v>16123</v>
      </c>
    </row>
    <row r="320" spans="1:13">
      <c r="A320" t="s">
        <v>15249</v>
      </c>
      <c r="B320" t="s">
        <v>15249</v>
      </c>
      <c r="C320" t="s">
        <v>15250</v>
      </c>
      <c r="D320" t="s">
        <v>4310</v>
      </c>
      <c r="F320" t="str">
        <f>Config!$B$7</f>
        <v>SCH/Connector.SchLib</v>
      </c>
      <c r="G320" t="s">
        <v>14827</v>
      </c>
      <c r="H320" t="s">
        <v>15226</v>
      </c>
      <c r="I320" t="s">
        <v>14839</v>
      </c>
      <c r="K320" s="47" t="s">
        <v>16097</v>
      </c>
      <c r="L320" t="s">
        <v>16094</v>
      </c>
      <c r="M320" t="s">
        <v>16123</v>
      </c>
    </row>
    <row r="321" spans="1:13">
      <c r="A321" t="s">
        <v>15251</v>
      </c>
      <c r="B321" t="s">
        <v>15251</v>
      </c>
      <c r="C321" t="s">
        <v>15252</v>
      </c>
      <c r="D321" t="s">
        <v>4310</v>
      </c>
      <c r="F321" t="str">
        <f>Config!$B$7</f>
        <v>SCH/Connector.SchLib</v>
      </c>
      <c r="G321" t="s">
        <v>14827</v>
      </c>
      <c r="H321" t="s">
        <v>15226</v>
      </c>
      <c r="I321" t="s">
        <v>14840</v>
      </c>
      <c r="K321" s="47" t="s">
        <v>16097</v>
      </c>
      <c r="L321" t="s">
        <v>16095</v>
      </c>
      <c r="M321" t="s">
        <v>16123</v>
      </c>
    </row>
    <row r="322" spans="1:13">
      <c r="A322" t="s">
        <v>15253</v>
      </c>
      <c r="B322" t="s">
        <v>15253</v>
      </c>
      <c r="C322" t="s">
        <v>15254</v>
      </c>
      <c r="D322" t="s">
        <v>4310</v>
      </c>
      <c r="F322" t="str">
        <f>Config!$B$7</f>
        <v>SCH/Connector.SchLib</v>
      </c>
      <c r="G322" t="s">
        <v>14827</v>
      </c>
      <c r="H322" t="s">
        <v>15226</v>
      </c>
      <c r="I322" t="s">
        <v>14841</v>
      </c>
      <c r="K322" s="47" t="s">
        <v>16097</v>
      </c>
      <c r="L322" t="s">
        <v>16097</v>
      </c>
      <c r="M322" t="s">
        <v>16123</v>
      </c>
    </row>
    <row r="323" spans="1:13">
      <c r="A323" t="s">
        <v>15255</v>
      </c>
      <c r="B323" t="s">
        <v>15255</v>
      </c>
      <c r="C323" t="s">
        <v>15256</v>
      </c>
      <c r="D323" t="s">
        <v>4310</v>
      </c>
      <c r="F323" t="str">
        <f>Config!$B$7</f>
        <v>SCH/Connector.SchLib</v>
      </c>
      <c r="G323" t="s">
        <v>14827</v>
      </c>
      <c r="H323" t="s">
        <v>15226</v>
      </c>
      <c r="I323" t="s">
        <v>14842</v>
      </c>
      <c r="K323" s="47" t="s">
        <v>16097</v>
      </c>
      <c r="L323" t="s">
        <v>16099</v>
      </c>
      <c r="M323" t="s">
        <v>16123</v>
      </c>
    </row>
    <row r="324" spans="1:13">
      <c r="A324" t="s">
        <v>15257</v>
      </c>
      <c r="B324" t="s">
        <v>15257</v>
      </c>
      <c r="C324" t="s">
        <v>15258</v>
      </c>
      <c r="D324" t="s">
        <v>4310</v>
      </c>
      <c r="F324" t="str">
        <f>Config!$B$7</f>
        <v>SCH/Connector.SchLib</v>
      </c>
      <c r="G324" t="s">
        <v>14827</v>
      </c>
      <c r="H324" t="s">
        <v>15226</v>
      </c>
      <c r="I324" t="s">
        <v>14843</v>
      </c>
      <c r="K324" s="47" t="s">
        <v>16098</v>
      </c>
      <c r="L324" t="s">
        <v>16104</v>
      </c>
      <c r="M324" t="s">
        <v>16123</v>
      </c>
    </row>
    <row r="325" spans="1:13">
      <c r="A325" t="s">
        <v>15259</v>
      </c>
      <c r="B325" t="s">
        <v>15259</v>
      </c>
      <c r="C325" t="s">
        <v>15260</v>
      </c>
      <c r="D325" t="s">
        <v>4310</v>
      </c>
      <c r="F325" t="str">
        <f>Config!$B$7</f>
        <v>SCH/Connector.SchLib</v>
      </c>
      <c r="G325" t="s">
        <v>14827</v>
      </c>
      <c r="H325" t="s">
        <v>15226</v>
      </c>
      <c r="I325" t="s">
        <v>14844</v>
      </c>
      <c r="K325" s="47" t="s">
        <v>16098</v>
      </c>
      <c r="L325" t="s">
        <v>16096</v>
      </c>
      <c r="M325" t="s">
        <v>16123</v>
      </c>
    </row>
    <row r="326" spans="1:13">
      <c r="A326" t="s">
        <v>15261</v>
      </c>
      <c r="B326" t="s">
        <v>15261</v>
      </c>
      <c r="C326" t="s">
        <v>15262</v>
      </c>
      <c r="D326" t="s">
        <v>4310</v>
      </c>
      <c r="F326" t="str">
        <f>Config!$B$7</f>
        <v>SCH/Connector.SchLib</v>
      </c>
      <c r="G326" t="s">
        <v>14827</v>
      </c>
      <c r="H326" t="s">
        <v>15226</v>
      </c>
      <c r="I326" t="s">
        <v>14845</v>
      </c>
      <c r="K326" s="47" t="s">
        <v>16098</v>
      </c>
      <c r="L326" t="s">
        <v>16098</v>
      </c>
      <c r="M326" t="s">
        <v>16123</v>
      </c>
    </row>
    <row r="327" spans="1:13">
      <c r="A327" t="s">
        <v>15263</v>
      </c>
      <c r="B327" t="s">
        <v>15263</v>
      </c>
      <c r="C327" t="s">
        <v>15264</v>
      </c>
      <c r="D327" t="s">
        <v>4310</v>
      </c>
      <c r="F327" t="str">
        <f>Config!$B$7</f>
        <v>SCH/Connector.SchLib</v>
      </c>
      <c r="G327" t="s">
        <v>14827</v>
      </c>
      <c r="H327" t="s">
        <v>15226</v>
      </c>
      <c r="I327" t="s">
        <v>14846</v>
      </c>
      <c r="K327" s="47" t="s">
        <v>16098</v>
      </c>
      <c r="L327" t="s">
        <v>16101</v>
      </c>
      <c r="M327" t="s">
        <v>16123</v>
      </c>
    </row>
    <row r="328" spans="1:13">
      <c r="A328" t="s">
        <v>15265</v>
      </c>
      <c r="B328" t="s">
        <v>15265</v>
      </c>
      <c r="C328" t="s">
        <v>15266</v>
      </c>
      <c r="D328" t="s">
        <v>4310</v>
      </c>
      <c r="F328" t="str">
        <f>Config!$B$7</f>
        <v>SCH/Connector.SchLib</v>
      </c>
      <c r="G328" t="s">
        <v>14827</v>
      </c>
      <c r="H328" t="s">
        <v>15226</v>
      </c>
      <c r="I328" t="s">
        <v>14847</v>
      </c>
      <c r="K328" s="47" t="s">
        <v>16099</v>
      </c>
      <c r="L328" t="s">
        <v>16105</v>
      </c>
      <c r="M328" t="s">
        <v>16123</v>
      </c>
    </row>
    <row r="329" spans="1:13">
      <c r="A329" t="s">
        <v>15267</v>
      </c>
      <c r="B329" t="s">
        <v>15267</v>
      </c>
      <c r="C329" t="s">
        <v>15268</v>
      </c>
      <c r="D329" t="s">
        <v>4310</v>
      </c>
      <c r="F329" t="str">
        <f>Config!$B$7</f>
        <v>SCH/Connector.SchLib</v>
      </c>
      <c r="G329" t="s">
        <v>14827</v>
      </c>
      <c r="H329" t="s">
        <v>15226</v>
      </c>
      <c r="I329" t="s">
        <v>14848</v>
      </c>
      <c r="K329" s="47" t="s">
        <v>16099</v>
      </c>
      <c r="L329" t="s">
        <v>16095</v>
      </c>
      <c r="M329" t="s">
        <v>16123</v>
      </c>
    </row>
    <row r="330" spans="1:13">
      <c r="A330" t="s">
        <v>15269</v>
      </c>
      <c r="B330" t="s">
        <v>15269</v>
      </c>
      <c r="C330" t="s">
        <v>15270</v>
      </c>
      <c r="D330" t="s">
        <v>4310</v>
      </c>
      <c r="F330" t="str">
        <f>Config!$B$7</f>
        <v>SCH/Connector.SchLib</v>
      </c>
      <c r="G330" t="s">
        <v>14827</v>
      </c>
      <c r="H330" t="s">
        <v>15226</v>
      </c>
      <c r="I330" t="s">
        <v>14849</v>
      </c>
      <c r="K330" s="47" t="s">
        <v>16099</v>
      </c>
      <c r="L330" t="s">
        <v>16097</v>
      </c>
      <c r="M330" t="s">
        <v>16123</v>
      </c>
    </row>
    <row r="331" spans="1:13">
      <c r="A331" t="s">
        <v>15271</v>
      </c>
      <c r="B331" t="s">
        <v>15271</v>
      </c>
      <c r="C331" t="s">
        <v>15272</v>
      </c>
      <c r="D331" t="s">
        <v>4310</v>
      </c>
      <c r="F331" t="str">
        <f>Config!$B$7</f>
        <v>SCH/Connector.SchLib</v>
      </c>
      <c r="G331" t="s">
        <v>14827</v>
      </c>
      <c r="H331" t="s">
        <v>15226</v>
      </c>
      <c r="I331" t="s">
        <v>14850</v>
      </c>
      <c r="K331" s="47" t="s">
        <v>16099</v>
      </c>
      <c r="L331" t="s">
        <v>16099</v>
      </c>
      <c r="M331" t="s">
        <v>16123</v>
      </c>
    </row>
    <row r="332" spans="1:13">
      <c r="A332" t="s">
        <v>15273</v>
      </c>
      <c r="B332" t="s">
        <v>15273</v>
      </c>
      <c r="C332" t="s">
        <v>15274</v>
      </c>
      <c r="D332" t="s">
        <v>4310</v>
      </c>
      <c r="F332" t="str">
        <f>Config!$B$7</f>
        <v>SCH/Connector.SchLib</v>
      </c>
      <c r="G332" t="s">
        <v>14827</v>
      </c>
      <c r="H332" t="s">
        <v>15226</v>
      </c>
      <c r="I332" t="s">
        <v>14851</v>
      </c>
      <c r="K332" s="47" t="s">
        <v>16099</v>
      </c>
      <c r="L332" t="s">
        <v>16102</v>
      </c>
      <c r="M332" t="s">
        <v>16123</v>
      </c>
    </row>
    <row r="333" spans="1:13">
      <c r="A333" t="s">
        <v>15275</v>
      </c>
      <c r="B333" t="s">
        <v>15275</v>
      </c>
      <c r="C333" t="s">
        <v>15276</v>
      </c>
      <c r="D333" t="s">
        <v>4310</v>
      </c>
      <c r="F333" t="str">
        <f>Config!$B$7</f>
        <v>SCH/Connector.SchLib</v>
      </c>
      <c r="G333" t="s">
        <v>14827</v>
      </c>
      <c r="H333" t="s">
        <v>15226</v>
      </c>
      <c r="I333" t="s">
        <v>14852</v>
      </c>
      <c r="K333" s="47" t="s">
        <v>16100</v>
      </c>
      <c r="L333" t="s">
        <v>16094</v>
      </c>
      <c r="M333" t="s">
        <v>16123</v>
      </c>
    </row>
    <row r="334" spans="1:13">
      <c r="A334" t="s">
        <v>15850</v>
      </c>
      <c r="B334" t="s">
        <v>15850</v>
      </c>
      <c r="C334" t="s">
        <v>15851</v>
      </c>
      <c r="D334" t="s">
        <v>4310</v>
      </c>
      <c r="F334" t="str">
        <f>Config!$B$7</f>
        <v>SCH/Connector.SchLib</v>
      </c>
      <c r="G334" t="s">
        <v>14827</v>
      </c>
      <c r="H334" t="s">
        <v>15226</v>
      </c>
      <c r="I334" t="s">
        <v>15590</v>
      </c>
      <c r="K334" s="47" t="s">
        <v>16100</v>
      </c>
      <c r="L334" t="s">
        <v>16095</v>
      </c>
      <c r="M334" t="s">
        <v>16123</v>
      </c>
    </row>
    <row r="335" spans="1:13">
      <c r="A335" t="s">
        <v>15277</v>
      </c>
      <c r="B335" t="s">
        <v>15277</v>
      </c>
      <c r="C335" t="s">
        <v>15278</v>
      </c>
      <c r="D335" t="s">
        <v>4310</v>
      </c>
      <c r="F335" t="str">
        <f>Config!$B$7</f>
        <v>SCH/Connector.SchLib</v>
      </c>
      <c r="G335" t="s">
        <v>14827</v>
      </c>
      <c r="H335" t="s">
        <v>15226</v>
      </c>
      <c r="I335" t="s">
        <v>14853</v>
      </c>
      <c r="K335" s="47" t="s">
        <v>16100</v>
      </c>
      <c r="L335" t="s">
        <v>16106</v>
      </c>
      <c r="M335" t="s">
        <v>16123</v>
      </c>
    </row>
    <row r="336" spans="1:13">
      <c r="A336" t="s">
        <v>15279</v>
      </c>
      <c r="B336" t="s">
        <v>15279</v>
      </c>
      <c r="C336" t="s">
        <v>15280</v>
      </c>
      <c r="D336" t="s">
        <v>4310</v>
      </c>
      <c r="F336" t="str">
        <f>Config!$B$7</f>
        <v>SCH/Connector.SchLib</v>
      </c>
      <c r="G336" t="s">
        <v>14827</v>
      </c>
      <c r="H336" t="s">
        <v>15226</v>
      </c>
      <c r="I336" t="s">
        <v>14854</v>
      </c>
      <c r="K336" s="47" t="s">
        <v>16100</v>
      </c>
      <c r="L336" t="s">
        <v>16107</v>
      </c>
      <c r="M336" t="s">
        <v>16123</v>
      </c>
    </row>
    <row r="337" spans="1:13">
      <c r="A337" t="s">
        <v>15281</v>
      </c>
      <c r="B337" t="s">
        <v>15281</v>
      </c>
      <c r="C337" t="s">
        <v>15282</v>
      </c>
      <c r="D337" t="s">
        <v>4310</v>
      </c>
      <c r="F337" t="str">
        <f>Config!$B$7</f>
        <v>SCH/Connector.SchLib</v>
      </c>
      <c r="G337" t="s">
        <v>14827</v>
      </c>
      <c r="H337" t="s">
        <v>15226</v>
      </c>
      <c r="I337" t="s">
        <v>14855</v>
      </c>
      <c r="K337" s="47" t="s">
        <v>16100</v>
      </c>
      <c r="L337" t="s">
        <v>16100</v>
      </c>
      <c r="M337" t="s">
        <v>16123</v>
      </c>
    </row>
    <row r="338" spans="1:13">
      <c r="A338" t="s">
        <v>15283</v>
      </c>
      <c r="B338" t="s">
        <v>15283</v>
      </c>
      <c r="C338" t="s">
        <v>15284</v>
      </c>
      <c r="D338" t="s">
        <v>4310</v>
      </c>
      <c r="F338" t="str">
        <f>Config!$B$7</f>
        <v>SCH/Connector.SchLib</v>
      </c>
      <c r="G338" t="s">
        <v>14827</v>
      </c>
      <c r="H338" t="s">
        <v>15226</v>
      </c>
      <c r="I338" t="s">
        <v>14856</v>
      </c>
      <c r="K338" s="47" t="s">
        <v>16100</v>
      </c>
      <c r="L338" t="s">
        <v>16108</v>
      </c>
      <c r="M338" t="s">
        <v>16123</v>
      </c>
    </row>
    <row r="339" spans="1:13">
      <c r="A339" t="s">
        <v>15852</v>
      </c>
      <c r="B339" t="s">
        <v>15852</v>
      </c>
      <c r="C339" t="s">
        <v>15853</v>
      </c>
      <c r="D339" t="s">
        <v>4310</v>
      </c>
      <c r="F339" t="str">
        <f>Config!$B$7</f>
        <v>SCH/Connector.SchLib</v>
      </c>
      <c r="G339" t="s">
        <v>14827</v>
      </c>
      <c r="H339" t="s">
        <v>15226</v>
      </c>
      <c r="I339" t="s">
        <v>15593</v>
      </c>
      <c r="K339" s="47" t="s">
        <v>16101</v>
      </c>
      <c r="L339" t="s">
        <v>16109</v>
      </c>
      <c r="M339" t="s">
        <v>16123</v>
      </c>
    </row>
    <row r="340" spans="1:13">
      <c r="A340" t="s">
        <v>15854</v>
      </c>
      <c r="B340" t="s">
        <v>15854</v>
      </c>
      <c r="C340" t="s">
        <v>15855</v>
      </c>
      <c r="D340" t="s">
        <v>4310</v>
      </c>
      <c r="F340" t="str">
        <f>Config!$B$7</f>
        <v>SCH/Connector.SchLib</v>
      </c>
      <c r="G340" t="s">
        <v>14827</v>
      </c>
      <c r="H340" t="s">
        <v>15226</v>
      </c>
      <c r="I340" t="s">
        <v>15594</v>
      </c>
      <c r="K340" s="47" t="s">
        <v>16101</v>
      </c>
      <c r="L340" t="s">
        <v>16095</v>
      </c>
      <c r="M340" t="s">
        <v>16123</v>
      </c>
    </row>
    <row r="341" spans="1:13">
      <c r="A341" t="s">
        <v>15856</v>
      </c>
      <c r="B341" t="s">
        <v>15856</v>
      </c>
      <c r="C341" t="s">
        <v>15857</v>
      </c>
      <c r="D341" t="s">
        <v>4310</v>
      </c>
      <c r="F341" t="str">
        <f>Config!$B$7</f>
        <v>SCH/Connector.SchLib</v>
      </c>
      <c r="G341" t="s">
        <v>14827</v>
      </c>
      <c r="H341" t="s">
        <v>15226</v>
      </c>
      <c r="I341" t="s">
        <v>15595</v>
      </c>
      <c r="K341" s="47" t="s">
        <v>16101</v>
      </c>
      <c r="L341" t="s">
        <v>16096</v>
      </c>
      <c r="M341" t="s">
        <v>16123</v>
      </c>
    </row>
    <row r="342" spans="1:13">
      <c r="A342" t="s">
        <v>15858</v>
      </c>
      <c r="B342" t="s">
        <v>15858</v>
      </c>
      <c r="C342" t="s">
        <v>15859</v>
      </c>
      <c r="D342" t="s">
        <v>4310</v>
      </c>
      <c r="F342" t="str">
        <f>Config!$B$7</f>
        <v>SCH/Connector.SchLib</v>
      </c>
      <c r="G342" t="s">
        <v>14827</v>
      </c>
      <c r="H342" t="s">
        <v>15226</v>
      </c>
      <c r="I342" t="s">
        <v>15596</v>
      </c>
      <c r="K342" s="47" t="s">
        <v>16101</v>
      </c>
      <c r="L342" t="s">
        <v>16098</v>
      </c>
      <c r="M342" t="s">
        <v>16123</v>
      </c>
    </row>
    <row r="343" spans="1:13">
      <c r="A343" t="s">
        <v>15860</v>
      </c>
      <c r="B343" t="s">
        <v>15860</v>
      </c>
      <c r="C343" t="s">
        <v>15861</v>
      </c>
      <c r="D343" t="s">
        <v>4310</v>
      </c>
      <c r="F343" t="str">
        <f>Config!$B$7</f>
        <v>SCH/Connector.SchLib</v>
      </c>
      <c r="G343" t="s">
        <v>14827</v>
      </c>
      <c r="H343" t="s">
        <v>15226</v>
      </c>
      <c r="I343" t="s">
        <v>15597</v>
      </c>
      <c r="K343" s="47" t="s">
        <v>16101</v>
      </c>
      <c r="L343" t="s">
        <v>16101</v>
      </c>
      <c r="M343" t="s">
        <v>16123</v>
      </c>
    </row>
    <row r="344" spans="1:13">
      <c r="A344" t="s">
        <v>15862</v>
      </c>
      <c r="B344" t="s">
        <v>15862</v>
      </c>
      <c r="C344" t="s">
        <v>15863</v>
      </c>
      <c r="D344" t="s">
        <v>4310</v>
      </c>
      <c r="F344" t="str">
        <f>Config!$B$7</f>
        <v>SCH/Connector.SchLib</v>
      </c>
      <c r="G344" t="s">
        <v>14827</v>
      </c>
      <c r="H344" t="s">
        <v>15226</v>
      </c>
      <c r="I344" t="s">
        <v>15598</v>
      </c>
      <c r="K344" s="47" t="s">
        <v>16101</v>
      </c>
      <c r="L344" t="s">
        <v>16110</v>
      </c>
      <c r="M344" t="s">
        <v>16123</v>
      </c>
    </row>
    <row r="345" spans="1:13">
      <c r="A345" t="s">
        <v>15864</v>
      </c>
      <c r="B345" t="s">
        <v>15864</v>
      </c>
      <c r="C345" t="s">
        <v>15865</v>
      </c>
      <c r="D345" t="s">
        <v>4310</v>
      </c>
      <c r="F345" t="str">
        <f>Config!$B$7</f>
        <v>SCH/Connector.SchLib</v>
      </c>
      <c r="G345" t="s">
        <v>14827</v>
      </c>
      <c r="H345" t="s">
        <v>15226</v>
      </c>
      <c r="I345" t="s">
        <v>15599</v>
      </c>
      <c r="K345" s="47" t="s">
        <v>16102</v>
      </c>
      <c r="L345" t="s">
        <v>16094</v>
      </c>
      <c r="M345" t="s">
        <v>16123</v>
      </c>
    </row>
    <row r="346" spans="1:13">
      <c r="A346" t="s">
        <v>15866</v>
      </c>
      <c r="B346" t="s">
        <v>15866</v>
      </c>
      <c r="C346" t="s">
        <v>15867</v>
      </c>
      <c r="D346" t="s">
        <v>4310</v>
      </c>
      <c r="F346" t="str">
        <f>Config!$B$7</f>
        <v>SCH/Connector.SchLib</v>
      </c>
      <c r="G346" t="s">
        <v>14827</v>
      </c>
      <c r="H346" t="s">
        <v>15226</v>
      </c>
      <c r="I346" t="s">
        <v>15600</v>
      </c>
      <c r="K346" s="47" t="s">
        <v>16102</v>
      </c>
      <c r="L346" t="s">
        <v>16111</v>
      </c>
      <c r="M346" t="s">
        <v>16123</v>
      </c>
    </row>
    <row r="347" spans="1:13">
      <c r="A347" t="s">
        <v>15868</v>
      </c>
      <c r="B347" t="s">
        <v>15868</v>
      </c>
      <c r="C347" t="s">
        <v>15869</v>
      </c>
      <c r="D347" t="s">
        <v>4310</v>
      </c>
      <c r="F347" t="str">
        <f>Config!$B$7</f>
        <v>SCH/Connector.SchLib</v>
      </c>
      <c r="G347" t="s">
        <v>14827</v>
      </c>
      <c r="H347" t="s">
        <v>15226</v>
      </c>
      <c r="I347" t="s">
        <v>15601</v>
      </c>
      <c r="K347" s="47" t="s">
        <v>16102</v>
      </c>
      <c r="L347" t="s">
        <v>16095</v>
      </c>
      <c r="M347" t="s">
        <v>16123</v>
      </c>
    </row>
    <row r="348" spans="1:13">
      <c r="A348" t="s">
        <v>15870</v>
      </c>
      <c r="B348" t="s">
        <v>15870</v>
      </c>
      <c r="C348" t="s">
        <v>15871</v>
      </c>
      <c r="D348" t="s">
        <v>4310</v>
      </c>
      <c r="F348" t="str">
        <f>Config!$B$7</f>
        <v>SCH/Connector.SchLib</v>
      </c>
      <c r="G348" t="s">
        <v>14827</v>
      </c>
      <c r="H348" t="s">
        <v>15226</v>
      </c>
      <c r="I348" t="s">
        <v>15602</v>
      </c>
      <c r="K348" s="47" t="s">
        <v>16102</v>
      </c>
      <c r="L348" t="s">
        <v>16097</v>
      </c>
      <c r="M348" t="s">
        <v>16123</v>
      </c>
    </row>
    <row r="349" spans="1:13">
      <c r="A349" t="s">
        <v>15872</v>
      </c>
      <c r="B349" t="s">
        <v>15872</v>
      </c>
      <c r="C349" t="s">
        <v>15873</v>
      </c>
      <c r="D349" t="s">
        <v>4310</v>
      </c>
      <c r="F349" t="str">
        <f>Config!$B$7</f>
        <v>SCH/Connector.SchLib</v>
      </c>
      <c r="G349" t="s">
        <v>14827</v>
      </c>
      <c r="H349" t="s">
        <v>15226</v>
      </c>
      <c r="I349" t="s">
        <v>15603</v>
      </c>
      <c r="K349" s="47" t="s">
        <v>16102</v>
      </c>
      <c r="L349" t="s">
        <v>16099</v>
      </c>
      <c r="M349" t="s">
        <v>16123</v>
      </c>
    </row>
    <row r="350" spans="1:13">
      <c r="A350" t="s">
        <v>15874</v>
      </c>
      <c r="B350" t="s">
        <v>15874</v>
      </c>
      <c r="C350" t="s">
        <v>15875</v>
      </c>
      <c r="D350" t="s">
        <v>4310</v>
      </c>
      <c r="F350" t="str">
        <f>Config!$B$7</f>
        <v>SCH/Connector.SchLib</v>
      </c>
      <c r="G350" t="s">
        <v>14827</v>
      </c>
      <c r="H350" t="s">
        <v>15226</v>
      </c>
      <c r="I350" t="s">
        <v>15604</v>
      </c>
      <c r="K350" s="47" t="s">
        <v>16102</v>
      </c>
      <c r="L350" t="s">
        <v>16102</v>
      </c>
      <c r="M350" t="s">
        <v>16123</v>
      </c>
    </row>
    <row r="351" spans="1:13">
      <c r="A351" t="s">
        <v>15876</v>
      </c>
      <c r="B351" t="s">
        <v>15876</v>
      </c>
      <c r="C351" t="s">
        <v>15877</v>
      </c>
      <c r="D351" t="s">
        <v>4310</v>
      </c>
      <c r="F351" t="str">
        <f>Config!$B$7</f>
        <v>SCH/Connector.SchLib</v>
      </c>
      <c r="G351" t="s">
        <v>14827</v>
      </c>
      <c r="H351" t="s">
        <v>15226</v>
      </c>
      <c r="I351" t="s">
        <v>15605</v>
      </c>
      <c r="K351" s="47" t="s">
        <v>16102</v>
      </c>
      <c r="L351" t="s">
        <v>16112</v>
      </c>
      <c r="M351" t="s">
        <v>16123</v>
      </c>
    </row>
    <row r="352" spans="1:13">
      <c r="A352" t="s">
        <v>15878</v>
      </c>
      <c r="B352" t="s">
        <v>15878</v>
      </c>
      <c r="C352" t="s">
        <v>15879</v>
      </c>
      <c r="D352" t="s">
        <v>4310</v>
      </c>
      <c r="F352" t="str">
        <f>Config!$B$7</f>
        <v>SCH/Connector.SchLib</v>
      </c>
      <c r="G352" t="s">
        <v>14827</v>
      </c>
      <c r="H352" t="s">
        <v>15226</v>
      </c>
      <c r="I352" t="s">
        <v>15606</v>
      </c>
      <c r="K352" s="47" t="s">
        <v>16103</v>
      </c>
      <c r="L352" t="s">
        <v>16094</v>
      </c>
      <c r="M352" t="s">
        <v>16123</v>
      </c>
    </row>
    <row r="353" spans="1:13">
      <c r="A353" t="s">
        <v>15880</v>
      </c>
      <c r="B353" t="s">
        <v>15880</v>
      </c>
      <c r="C353" t="s">
        <v>15881</v>
      </c>
      <c r="D353" t="s">
        <v>4310</v>
      </c>
      <c r="F353" t="str">
        <f>Config!$B$7</f>
        <v>SCH/Connector.SchLib</v>
      </c>
      <c r="G353" t="s">
        <v>14827</v>
      </c>
      <c r="H353" t="s">
        <v>15226</v>
      </c>
      <c r="I353" t="s">
        <v>15607</v>
      </c>
      <c r="K353" s="47" t="s">
        <v>16103</v>
      </c>
      <c r="L353" t="s">
        <v>16095</v>
      </c>
      <c r="M353" t="s">
        <v>16123</v>
      </c>
    </row>
    <row r="354" spans="1:13">
      <c r="A354" t="s">
        <v>15882</v>
      </c>
      <c r="B354" t="s">
        <v>15882</v>
      </c>
      <c r="C354" t="s">
        <v>15883</v>
      </c>
      <c r="D354" t="s">
        <v>4310</v>
      </c>
      <c r="F354" t="str">
        <f>Config!$B$7</f>
        <v>SCH/Connector.SchLib</v>
      </c>
      <c r="G354" t="s">
        <v>14827</v>
      </c>
      <c r="H354" t="s">
        <v>15226</v>
      </c>
      <c r="I354" t="s">
        <v>15608</v>
      </c>
      <c r="K354" s="47" t="s">
        <v>16103</v>
      </c>
      <c r="L354" t="s">
        <v>16107</v>
      </c>
      <c r="M354" t="s">
        <v>16123</v>
      </c>
    </row>
    <row r="355" spans="1:13">
      <c r="A355" t="s">
        <v>15884</v>
      </c>
      <c r="B355" t="s">
        <v>15884</v>
      </c>
      <c r="C355" t="s">
        <v>15885</v>
      </c>
      <c r="D355" t="s">
        <v>4310</v>
      </c>
      <c r="F355" t="str">
        <f>Config!$B$7</f>
        <v>SCH/Connector.SchLib</v>
      </c>
      <c r="G355" t="s">
        <v>14827</v>
      </c>
      <c r="H355" t="s">
        <v>15226</v>
      </c>
      <c r="I355" t="s">
        <v>15609</v>
      </c>
      <c r="K355" s="47" t="s">
        <v>16103</v>
      </c>
      <c r="L355" t="s">
        <v>16100</v>
      </c>
      <c r="M355" t="s">
        <v>16123</v>
      </c>
    </row>
    <row r="356" spans="1:13">
      <c r="A356" t="s">
        <v>15886</v>
      </c>
      <c r="B356" t="s">
        <v>15886</v>
      </c>
      <c r="C356" t="s">
        <v>15887</v>
      </c>
      <c r="D356" t="s">
        <v>4310</v>
      </c>
      <c r="F356" t="str">
        <f>Config!$B$7</f>
        <v>SCH/Connector.SchLib</v>
      </c>
      <c r="G356" t="s">
        <v>14827</v>
      </c>
      <c r="H356" t="s">
        <v>15226</v>
      </c>
      <c r="I356" t="s">
        <v>15610</v>
      </c>
      <c r="K356" s="47" t="s">
        <v>16103</v>
      </c>
      <c r="L356" t="s">
        <v>16108</v>
      </c>
      <c r="M356" t="s">
        <v>16123</v>
      </c>
    </row>
    <row r="357" spans="1:13">
      <c r="A357" t="s">
        <v>15888</v>
      </c>
      <c r="B357" t="s">
        <v>15888</v>
      </c>
      <c r="C357" t="s">
        <v>15889</v>
      </c>
      <c r="D357" t="s">
        <v>4310</v>
      </c>
      <c r="F357" t="str">
        <f>Config!$B$7</f>
        <v>SCH/Connector.SchLib</v>
      </c>
      <c r="G357" t="s">
        <v>14827</v>
      </c>
      <c r="H357" t="s">
        <v>15226</v>
      </c>
      <c r="I357" t="s">
        <v>15611</v>
      </c>
      <c r="K357" s="47" t="s">
        <v>16103</v>
      </c>
      <c r="L357" t="s">
        <v>16113</v>
      </c>
      <c r="M357" t="s">
        <v>16123</v>
      </c>
    </row>
    <row r="359" spans="1:13">
      <c r="A359" t="s">
        <v>15163</v>
      </c>
      <c r="B359" t="s">
        <v>15163</v>
      </c>
      <c r="C359" t="s">
        <v>15164</v>
      </c>
      <c r="D359" t="s">
        <v>4310</v>
      </c>
      <c r="F359" t="str">
        <f>Config!$B$7</f>
        <v>SCH/Connector.SchLib</v>
      </c>
      <c r="G359" t="s">
        <v>14827</v>
      </c>
      <c r="H359" t="s">
        <v>15165</v>
      </c>
      <c r="I359" t="s">
        <v>14857</v>
      </c>
      <c r="K359" s="47" t="s">
        <v>16093</v>
      </c>
      <c r="L359" t="s">
        <v>16093</v>
      </c>
      <c r="M359" t="s">
        <v>16124</v>
      </c>
    </row>
    <row r="360" spans="1:13">
      <c r="A360" t="s">
        <v>15166</v>
      </c>
      <c r="B360" t="s">
        <v>15166</v>
      </c>
      <c r="C360" t="s">
        <v>15167</v>
      </c>
      <c r="D360" t="s">
        <v>4310</v>
      </c>
      <c r="F360" t="str">
        <f>Config!$B$7</f>
        <v>SCH/Connector.SchLib</v>
      </c>
      <c r="G360" t="s">
        <v>14827</v>
      </c>
      <c r="H360" t="s">
        <v>15165</v>
      </c>
      <c r="I360" t="s">
        <v>14858</v>
      </c>
      <c r="K360" s="47" t="s">
        <v>16093</v>
      </c>
      <c r="L360" t="s">
        <v>16094</v>
      </c>
      <c r="M360" t="s">
        <v>16124</v>
      </c>
    </row>
    <row r="361" spans="1:13">
      <c r="A361" t="s">
        <v>15168</v>
      </c>
      <c r="B361" t="s">
        <v>15168</v>
      </c>
      <c r="C361" t="s">
        <v>15169</v>
      </c>
      <c r="D361" t="s">
        <v>4310</v>
      </c>
      <c r="F361" t="str">
        <f>Config!$B$7</f>
        <v>SCH/Connector.SchLib</v>
      </c>
      <c r="G361" t="s">
        <v>14827</v>
      </c>
      <c r="H361" t="s">
        <v>15165</v>
      </c>
      <c r="I361" t="s">
        <v>14829</v>
      </c>
      <c r="K361" s="47" t="s">
        <v>16094</v>
      </c>
      <c r="L361" t="s">
        <v>16093</v>
      </c>
      <c r="M361" t="s">
        <v>16124</v>
      </c>
    </row>
    <row r="362" spans="1:13">
      <c r="A362" t="s">
        <v>15170</v>
      </c>
      <c r="B362" t="s">
        <v>15170</v>
      </c>
      <c r="C362" t="s">
        <v>15171</v>
      </c>
      <c r="D362" t="s">
        <v>4310</v>
      </c>
      <c r="F362" t="str">
        <f>Config!$B$7</f>
        <v>SCH/Connector.SchLib</v>
      </c>
      <c r="G362" t="s">
        <v>14827</v>
      </c>
      <c r="H362" t="s">
        <v>15165</v>
      </c>
      <c r="I362" t="s">
        <v>14830</v>
      </c>
      <c r="K362" s="47" t="s">
        <v>16094</v>
      </c>
      <c r="L362" t="s">
        <v>16094</v>
      </c>
      <c r="M362" t="s">
        <v>16124</v>
      </c>
    </row>
    <row r="363" spans="1:13">
      <c r="A363" t="s">
        <v>15172</v>
      </c>
      <c r="B363" t="s">
        <v>15172</v>
      </c>
      <c r="C363" t="s">
        <v>15173</v>
      </c>
      <c r="D363" t="s">
        <v>4310</v>
      </c>
      <c r="F363" t="str">
        <f>Config!$B$7</f>
        <v>SCH/Connector.SchLib</v>
      </c>
      <c r="G363" t="s">
        <v>14827</v>
      </c>
      <c r="H363" t="s">
        <v>15165</v>
      </c>
      <c r="I363" t="s">
        <v>14831</v>
      </c>
      <c r="K363" s="47" t="s">
        <v>16094</v>
      </c>
      <c r="L363" t="s">
        <v>16095</v>
      </c>
      <c r="M363" t="s">
        <v>16124</v>
      </c>
    </row>
    <row r="364" spans="1:13">
      <c r="A364" t="s">
        <v>15174</v>
      </c>
      <c r="B364" t="s">
        <v>15174</v>
      </c>
      <c r="C364" t="s">
        <v>15175</v>
      </c>
      <c r="D364" t="s">
        <v>4310</v>
      </c>
      <c r="F364" t="str">
        <f>Config!$B$7</f>
        <v>SCH/Connector.SchLib</v>
      </c>
      <c r="G364" t="s">
        <v>14827</v>
      </c>
      <c r="H364" t="s">
        <v>15165</v>
      </c>
      <c r="I364" t="s">
        <v>14832</v>
      </c>
      <c r="K364" s="47" t="s">
        <v>16095</v>
      </c>
      <c r="L364" t="s">
        <v>16093</v>
      </c>
      <c r="M364" t="s">
        <v>16124</v>
      </c>
    </row>
    <row r="365" spans="1:13">
      <c r="A365" t="s">
        <v>15176</v>
      </c>
      <c r="B365" t="s">
        <v>15176</v>
      </c>
      <c r="C365" t="s">
        <v>15177</v>
      </c>
      <c r="D365" t="s">
        <v>4310</v>
      </c>
      <c r="F365" t="str">
        <f>Config!$B$7</f>
        <v>SCH/Connector.SchLib</v>
      </c>
      <c r="G365" t="s">
        <v>14827</v>
      </c>
      <c r="H365" t="s">
        <v>15165</v>
      </c>
      <c r="I365" t="s">
        <v>14833</v>
      </c>
      <c r="K365" s="47" t="s">
        <v>16095</v>
      </c>
      <c r="L365" t="s">
        <v>16094</v>
      </c>
      <c r="M365" t="s">
        <v>16124</v>
      </c>
    </row>
    <row r="366" spans="1:13">
      <c r="A366" t="s">
        <v>15178</v>
      </c>
      <c r="B366" t="s">
        <v>15178</v>
      </c>
      <c r="C366" t="s">
        <v>15179</v>
      </c>
      <c r="D366" t="s">
        <v>4310</v>
      </c>
      <c r="F366" t="str">
        <f>Config!$B$7</f>
        <v>SCH/Connector.SchLib</v>
      </c>
      <c r="G366" t="s">
        <v>14827</v>
      </c>
      <c r="H366" t="s">
        <v>15165</v>
      </c>
      <c r="I366" t="s">
        <v>14834</v>
      </c>
      <c r="K366" s="47" t="s">
        <v>16095</v>
      </c>
      <c r="L366" t="s">
        <v>16095</v>
      </c>
      <c r="M366" t="s">
        <v>16124</v>
      </c>
    </row>
    <row r="367" spans="1:13">
      <c r="A367" t="s">
        <v>15180</v>
      </c>
      <c r="B367" t="s">
        <v>15180</v>
      </c>
      <c r="C367" t="s">
        <v>15181</v>
      </c>
      <c r="D367" t="s">
        <v>4310</v>
      </c>
      <c r="F367" t="str">
        <f>Config!$B$7</f>
        <v>SCH/Connector.SchLib</v>
      </c>
      <c r="G367" t="s">
        <v>14827</v>
      </c>
      <c r="H367" t="s">
        <v>15165</v>
      </c>
      <c r="I367" t="s">
        <v>14835</v>
      </c>
      <c r="K367" s="47" t="s">
        <v>16095</v>
      </c>
      <c r="L367" t="s">
        <v>16097</v>
      </c>
      <c r="M367" t="s">
        <v>16124</v>
      </c>
    </row>
    <row r="368" spans="1:13">
      <c r="A368" t="s">
        <v>15182</v>
      </c>
      <c r="B368" t="s">
        <v>15182</v>
      </c>
      <c r="C368" t="s">
        <v>15183</v>
      </c>
      <c r="D368" t="s">
        <v>4310</v>
      </c>
      <c r="F368" t="str">
        <f>Config!$B$7</f>
        <v>SCH/Connector.SchLib</v>
      </c>
      <c r="G368" t="s">
        <v>14827</v>
      </c>
      <c r="H368" t="s">
        <v>15165</v>
      </c>
      <c r="I368" t="s">
        <v>14836</v>
      </c>
      <c r="K368" s="47" t="s">
        <v>16096</v>
      </c>
      <c r="L368" t="s">
        <v>16104</v>
      </c>
      <c r="M368" t="s">
        <v>16124</v>
      </c>
    </row>
    <row r="369" spans="1:13">
      <c r="A369" t="s">
        <v>15184</v>
      </c>
      <c r="B369" t="s">
        <v>15184</v>
      </c>
      <c r="C369" t="s">
        <v>15185</v>
      </c>
      <c r="D369" t="s">
        <v>4310</v>
      </c>
      <c r="F369" t="str">
        <f>Config!$B$7</f>
        <v>SCH/Connector.SchLib</v>
      </c>
      <c r="G369" t="s">
        <v>14827</v>
      </c>
      <c r="H369" t="s">
        <v>15165</v>
      </c>
      <c r="I369" t="s">
        <v>14837</v>
      </c>
      <c r="K369" s="47" t="s">
        <v>16096</v>
      </c>
      <c r="L369" t="s">
        <v>16096</v>
      </c>
      <c r="M369" t="s">
        <v>16124</v>
      </c>
    </row>
    <row r="370" spans="1:13">
      <c r="A370" t="s">
        <v>15186</v>
      </c>
      <c r="B370" t="s">
        <v>15186</v>
      </c>
      <c r="C370" t="s">
        <v>15187</v>
      </c>
      <c r="D370" t="s">
        <v>4310</v>
      </c>
      <c r="F370" t="str">
        <f>Config!$B$7</f>
        <v>SCH/Connector.SchLib</v>
      </c>
      <c r="G370" t="s">
        <v>14827</v>
      </c>
      <c r="H370" t="s">
        <v>15165</v>
      </c>
      <c r="I370" t="s">
        <v>14838</v>
      </c>
      <c r="K370" s="47" t="s">
        <v>16096</v>
      </c>
      <c r="L370" t="s">
        <v>16098</v>
      </c>
      <c r="M370" t="s">
        <v>16124</v>
      </c>
    </row>
    <row r="371" spans="1:13">
      <c r="A371" t="s">
        <v>15188</v>
      </c>
      <c r="B371" t="s">
        <v>15188</v>
      </c>
      <c r="C371" t="s">
        <v>15189</v>
      </c>
      <c r="D371" t="s">
        <v>4310</v>
      </c>
      <c r="F371" t="str">
        <f>Config!$B$7</f>
        <v>SCH/Connector.SchLib</v>
      </c>
      <c r="G371" t="s">
        <v>14827</v>
      </c>
      <c r="H371" t="s">
        <v>15165</v>
      </c>
      <c r="I371" t="s">
        <v>14839</v>
      </c>
      <c r="K371" s="47" t="s">
        <v>16097</v>
      </c>
      <c r="L371" t="s">
        <v>16094</v>
      </c>
      <c r="M371" t="s">
        <v>16124</v>
      </c>
    </row>
    <row r="372" spans="1:13">
      <c r="A372" t="s">
        <v>15190</v>
      </c>
      <c r="B372" t="s">
        <v>15190</v>
      </c>
      <c r="C372" t="s">
        <v>15191</v>
      </c>
      <c r="D372" t="s">
        <v>4310</v>
      </c>
      <c r="F372" t="str">
        <f>Config!$B$7</f>
        <v>SCH/Connector.SchLib</v>
      </c>
      <c r="G372" t="s">
        <v>14827</v>
      </c>
      <c r="H372" t="s">
        <v>15165</v>
      </c>
      <c r="I372" t="s">
        <v>14840</v>
      </c>
      <c r="K372" s="47" t="s">
        <v>16097</v>
      </c>
      <c r="L372" t="s">
        <v>16095</v>
      </c>
      <c r="M372" t="s">
        <v>16124</v>
      </c>
    </row>
    <row r="373" spans="1:13">
      <c r="A373" t="s">
        <v>15192</v>
      </c>
      <c r="B373" t="s">
        <v>15192</v>
      </c>
      <c r="C373" t="s">
        <v>15193</v>
      </c>
      <c r="D373" t="s">
        <v>4310</v>
      </c>
      <c r="F373" t="str">
        <f>Config!$B$7</f>
        <v>SCH/Connector.SchLib</v>
      </c>
      <c r="G373" t="s">
        <v>14827</v>
      </c>
      <c r="H373" t="s">
        <v>15165</v>
      </c>
      <c r="I373" t="s">
        <v>14841</v>
      </c>
      <c r="K373" s="47" t="s">
        <v>16097</v>
      </c>
      <c r="L373" t="s">
        <v>16097</v>
      </c>
      <c r="M373" t="s">
        <v>16124</v>
      </c>
    </row>
    <row r="374" spans="1:13">
      <c r="A374" t="s">
        <v>15194</v>
      </c>
      <c r="B374" t="s">
        <v>15194</v>
      </c>
      <c r="C374" t="s">
        <v>15195</v>
      </c>
      <c r="D374" t="s">
        <v>4310</v>
      </c>
      <c r="F374" t="str">
        <f>Config!$B$7</f>
        <v>SCH/Connector.SchLib</v>
      </c>
      <c r="G374" t="s">
        <v>14827</v>
      </c>
      <c r="H374" t="s">
        <v>15165</v>
      </c>
      <c r="I374" t="s">
        <v>14842</v>
      </c>
      <c r="K374" s="47" t="s">
        <v>16097</v>
      </c>
      <c r="L374" t="s">
        <v>16099</v>
      </c>
      <c r="M374" t="s">
        <v>16124</v>
      </c>
    </row>
    <row r="375" spans="1:13">
      <c r="A375" t="s">
        <v>15196</v>
      </c>
      <c r="B375" t="s">
        <v>15196</v>
      </c>
      <c r="C375" t="s">
        <v>15197</v>
      </c>
      <c r="D375" t="s">
        <v>4310</v>
      </c>
      <c r="F375" t="str">
        <f>Config!$B$7</f>
        <v>SCH/Connector.SchLib</v>
      </c>
      <c r="G375" t="s">
        <v>14827</v>
      </c>
      <c r="H375" t="s">
        <v>15165</v>
      </c>
      <c r="I375" t="s">
        <v>14843</v>
      </c>
      <c r="K375" s="47" t="s">
        <v>16098</v>
      </c>
      <c r="L375" t="s">
        <v>16104</v>
      </c>
      <c r="M375" t="s">
        <v>16124</v>
      </c>
    </row>
    <row r="376" spans="1:13">
      <c r="A376" t="s">
        <v>15198</v>
      </c>
      <c r="B376" t="s">
        <v>15198</v>
      </c>
      <c r="C376" t="s">
        <v>15199</v>
      </c>
      <c r="D376" t="s">
        <v>4310</v>
      </c>
      <c r="F376" t="str">
        <f>Config!$B$7</f>
        <v>SCH/Connector.SchLib</v>
      </c>
      <c r="G376" t="s">
        <v>14827</v>
      </c>
      <c r="H376" t="s">
        <v>15165</v>
      </c>
      <c r="I376" t="s">
        <v>14844</v>
      </c>
      <c r="K376" s="47" t="s">
        <v>16098</v>
      </c>
      <c r="L376" t="s">
        <v>16096</v>
      </c>
      <c r="M376" t="s">
        <v>16124</v>
      </c>
    </row>
    <row r="377" spans="1:13">
      <c r="A377" t="s">
        <v>15200</v>
      </c>
      <c r="B377" t="s">
        <v>15200</v>
      </c>
      <c r="C377" t="s">
        <v>15201</v>
      </c>
      <c r="D377" t="s">
        <v>4310</v>
      </c>
      <c r="F377" t="str">
        <f>Config!$B$7</f>
        <v>SCH/Connector.SchLib</v>
      </c>
      <c r="G377" t="s">
        <v>14827</v>
      </c>
      <c r="H377" t="s">
        <v>15165</v>
      </c>
      <c r="I377" t="s">
        <v>14845</v>
      </c>
      <c r="K377" s="47" t="s">
        <v>16098</v>
      </c>
      <c r="L377" t="s">
        <v>16098</v>
      </c>
      <c r="M377" t="s">
        <v>16124</v>
      </c>
    </row>
    <row r="378" spans="1:13">
      <c r="A378" t="s">
        <v>15202</v>
      </c>
      <c r="B378" t="s">
        <v>15202</v>
      </c>
      <c r="C378" t="s">
        <v>15203</v>
      </c>
      <c r="D378" t="s">
        <v>4310</v>
      </c>
      <c r="F378" t="str">
        <f>Config!$B$7</f>
        <v>SCH/Connector.SchLib</v>
      </c>
      <c r="G378" t="s">
        <v>14827</v>
      </c>
      <c r="H378" t="s">
        <v>15165</v>
      </c>
      <c r="I378" t="s">
        <v>14846</v>
      </c>
      <c r="K378" s="47" t="s">
        <v>16098</v>
      </c>
      <c r="L378" t="s">
        <v>16101</v>
      </c>
      <c r="M378" t="s">
        <v>16124</v>
      </c>
    </row>
    <row r="379" spans="1:13">
      <c r="A379" t="s">
        <v>15204</v>
      </c>
      <c r="B379" t="s">
        <v>15204</v>
      </c>
      <c r="C379" t="s">
        <v>15205</v>
      </c>
      <c r="D379" t="s">
        <v>4310</v>
      </c>
      <c r="F379" t="str">
        <f>Config!$B$7</f>
        <v>SCH/Connector.SchLib</v>
      </c>
      <c r="G379" t="s">
        <v>14827</v>
      </c>
      <c r="H379" t="s">
        <v>15165</v>
      </c>
      <c r="I379" t="s">
        <v>14847</v>
      </c>
      <c r="K379" s="47" t="s">
        <v>16099</v>
      </c>
      <c r="L379" t="s">
        <v>16105</v>
      </c>
      <c r="M379" t="s">
        <v>16124</v>
      </c>
    </row>
    <row r="380" spans="1:13">
      <c r="A380" t="s">
        <v>15206</v>
      </c>
      <c r="B380" t="s">
        <v>15206</v>
      </c>
      <c r="C380" t="s">
        <v>15207</v>
      </c>
      <c r="D380" t="s">
        <v>4310</v>
      </c>
      <c r="F380" t="str">
        <f>Config!$B$7</f>
        <v>SCH/Connector.SchLib</v>
      </c>
      <c r="G380" t="s">
        <v>14827</v>
      </c>
      <c r="H380" t="s">
        <v>15165</v>
      </c>
      <c r="I380" t="s">
        <v>14848</v>
      </c>
      <c r="K380" s="47" t="s">
        <v>16099</v>
      </c>
      <c r="L380" t="s">
        <v>16095</v>
      </c>
      <c r="M380" t="s">
        <v>16124</v>
      </c>
    </row>
    <row r="381" spans="1:13">
      <c r="A381" t="s">
        <v>15208</v>
      </c>
      <c r="B381" t="s">
        <v>15208</v>
      </c>
      <c r="C381" t="s">
        <v>15209</v>
      </c>
      <c r="D381" t="s">
        <v>4310</v>
      </c>
      <c r="F381" t="str">
        <f>Config!$B$7</f>
        <v>SCH/Connector.SchLib</v>
      </c>
      <c r="G381" t="s">
        <v>14827</v>
      </c>
      <c r="H381" t="s">
        <v>15165</v>
      </c>
      <c r="I381" t="s">
        <v>14849</v>
      </c>
      <c r="K381" s="47" t="s">
        <v>16099</v>
      </c>
      <c r="L381" t="s">
        <v>16097</v>
      </c>
      <c r="M381" t="s">
        <v>16124</v>
      </c>
    </row>
    <row r="382" spans="1:13">
      <c r="A382" t="s">
        <v>15210</v>
      </c>
      <c r="B382" t="s">
        <v>15210</v>
      </c>
      <c r="C382" t="s">
        <v>15211</v>
      </c>
      <c r="D382" t="s">
        <v>4310</v>
      </c>
      <c r="F382" t="str">
        <f>Config!$B$7</f>
        <v>SCH/Connector.SchLib</v>
      </c>
      <c r="G382" t="s">
        <v>14827</v>
      </c>
      <c r="H382" t="s">
        <v>15165</v>
      </c>
      <c r="I382" t="s">
        <v>14850</v>
      </c>
      <c r="K382" s="47" t="s">
        <v>16099</v>
      </c>
      <c r="L382" t="s">
        <v>16099</v>
      </c>
      <c r="M382" t="s">
        <v>16124</v>
      </c>
    </row>
    <row r="383" spans="1:13">
      <c r="A383" t="s">
        <v>15212</v>
      </c>
      <c r="B383" t="s">
        <v>15212</v>
      </c>
      <c r="C383" t="s">
        <v>15213</v>
      </c>
      <c r="D383" t="s">
        <v>4310</v>
      </c>
      <c r="F383" t="str">
        <f>Config!$B$7</f>
        <v>SCH/Connector.SchLib</v>
      </c>
      <c r="G383" t="s">
        <v>14827</v>
      </c>
      <c r="H383" t="s">
        <v>15165</v>
      </c>
      <c r="I383" t="s">
        <v>14851</v>
      </c>
      <c r="K383" s="47" t="s">
        <v>16099</v>
      </c>
      <c r="L383" t="s">
        <v>16102</v>
      </c>
      <c r="M383" t="s">
        <v>16124</v>
      </c>
    </row>
    <row r="384" spans="1:13">
      <c r="A384" t="s">
        <v>15214</v>
      </c>
      <c r="B384" t="s">
        <v>15214</v>
      </c>
      <c r="C384" t="s">
        <v>15215</v>
      </c>
      <c r="D384" t="s">
        <v>4310</v>
      </c>
      <c r="F384" t="str">
        <f>Config!$B$7</f>
        <v>SCH/Connector.SchLib</v>
      </c>
      <c r="G384" t="s">
        <v>14827</v>
      </c>
      <c r="H384" t="s">
        <v>15165</v>
      </c>
      <c r="I384" t="s">
        <v>14852</v>
      </c>
      <c r="K384" s="47" t="s">
        <v>16100</v>
      </c>
      <c r="L384" t="s">
        <v>16094</v>
      </c>
      <c r="M384" t="s">
        <v>16124</v>
      </c>
    </row>
    <row r="385" spans="1:13">
      <c r="A385" t="s">
        <v>15810</v>
      </c>
      <c r="B385" t="s">
        <v>15810</v>
      </c>
      <c r="C385" t="s">
        <v>15811</v>
      </c>
      <c r="D385" t="s">
        <v>4310</v>
      </c>
      <c r="F385" t="str">
        <f>Config!$B$7</f>
        <v>SCH/Connector.SchLib</v>
      </c>
      <c r="G385" t="s">
        <v>14827</v>
      </c>
      <c r="H385" t="s">
        <v>15165</v>
      </c>
      <c r="I385" t="s">
        <v>15590</v>
      </c>
      <c r="K385" s="47" t="s">
        <v>16100</v>
      </c>
      <c r="L385" t="s">
        <v>16095</v>
      </c>
      <c r="M385" t="s">
        <v>16124</v>
      </c>
    </row>
    <row r="386" spans="1:13">
      <c r="A386" t="s">
        <v>15216</v>
      </c>
      <c r="B386" t="s">
        <v>15216</v>
      </c>
      <c r="C386" t="s">
        <v>15217</v>
      </c>
      <c r="D386" t="s">
        <v>4310</v>
      </c>
      <c r="F386" t="str">
        <f>Config!$B$7</f>
        <v>SCH/Connector.SchLib</v>
      </c>
      <c r="G386" t="s">
        <v>14827</v>
      </c>
      <c r="H386" t="s">
        <v>15165</v>
      </c>
      <c r="I386" t="s">
        <v>14853</v>
      </c>
      <c r="K386" s="47" t="s">
        <v>16100</v>
      </c>
      <c r="L386" t="s">
        <v>16106</v>
      </c>
      <c r="M386" t="s">
        <v>16124</v>
      </c>
    </row>
    <row r="387" spans="1:13">
      <c r="A387" t="s">
        <v>15218</v>
      </c>
      <c r="B387" t="s">
        <v>15218</v>
      </c>
      <c r="C387" t="s">
        <v>15219</v>
      </c>
      <c r="D387" t="s">
        <v>4310</v>
      </c>
      <c r="F387" t="str">
        <f>Config!$B$7</f>
        <v>SCH/Connector.SchLib</v>
      </c>
      <c r="G387" t="s">
        <v>14827</v>
      </c>
      <c r="H387" t="s">
        <v>15165</v>
      </c>
      <c r="I387" t="s">
        <v>14854</v>
      </c>
      <c r="K387" s="47" t="s">
        <v>16100</v>
      </c>
      <c r="L387" t="s">
        <v>16107</v>
      </c>
      <c r="M387" t="s">
        <v>16124</v>
      </c>
    </row>
    <row r="388" spans="1:13">
      <c r="A388" t="s">
        <v>15220</v>
      </c>
      <c r="B388" t="s">
        <v>15220</v>
      </c>
      <c r="C388" t="s">
        <v>15221</v>
      </c>
      <c r="D388" t="s">
        <v>4310</v>
      </c>
      <c r="F388" t="str">
        <f>Config!$B$7</f>
        <v>SCH/Connector.SchLib</v>
      </c>
      <c r="G388" t="s">
        <v>14827</v>
      </c>
      <c r="H388" t="s">
        <v>15165</v>
      </c>
      <c r="I388" t="s">
        <v>14855</v>
      </c>
      <c r="K388" s="47" t="s">
        <v>16100</v>
      </c>
      <c r="L388" t="s">
        <v>16100</v>
      </c>
      <c r="M388" t="s">
        <v>16124</v>
      </c>
    </row>
    <row r="389" spans="1:13">
      <c r="A389" t="s">
        <v>15222</v>
      </c>
      <c r="B389" t="s">
        <v>15222</v>
      </c>
      <c r="C389" t="s">
        <v>15223</v>
      </c>
      <c r="D389" t="s">
        <v>4310</v>
      </c>
      <c r="F389" t="str">
        <f>Config!$B$7</f>
        <v>SCH/Connector.SchLib</v>
      </c>
      <c r="G389" t="s">
        <v>14827</v>
      </c>
      <c r="H389" t="s">
        <v>15165</v>
      </c>
      <c r="I389" t="s">
        <v>14856</v>
      </c>
      <c r="K389" s="47" t="s">
        <v>16100</v>
      </c>
      <c r="L389" t="s">
        <v>16108</v>
      </c>
      <c r="M389" t="s">
        <v>16124</v>
      </c>
    </row>
    <row r="390" spans="1:13">
      <c r="A390" t="s">
        <v>15812</v>
      </c>
      <c r="B390" t="s">
        <v>15812</v>
      </c>
      <c r="C390" t="s">
        <v>15813</v>
      </c>
      <c r="D390" t="s">
        <v>4310</v>
      </c>
      <c r="F390" t="str">
        <f>Config!$B$7</f>
        <v>SCH/Connector.SchLib</v>
      </c>
      <c r="G390" t="s">
        <v>14827</v>
      </c>
      <c r="H390" t="s">
        <v>15165</v>
      </c>
      <c r="I390" t="s">
        <v>15593</v>
      </c>
      <c r="K390" s="47" t="s">
        <v>16101</v>
      </c>
      <c r="L390" t="s">
        <v>16109</v>
      </c>
      <c r="M390" t="s">
        <v>16124</v>
      </c>
    </row>
    <row r="391" spans="1:13">
      <c r="A391" t="s">
        <v>15814</v>
      </c>
      <c r="B391" t="s">
        <v>15814</v>
      </c>
      <c r="C391" t="s">
        <v>15815</v>
      </c>
      <c r="D391" t="s">
        <v>4310</v>
      </c>
      <c r="F391" t="str">
        <f>Config!$B$7</f>
        <v>SCH/Connector.SchLib</v>
      </c>
      <c r="G391" t="s">
        <v>14827</v>
      </c>
      <c r="H391" t="s">
        <v>15165</v>
      </c>
      <c r="I391" t="s">
        <v>15594</v>
      </c>
      <c r="K391" s="47" t="s">
        <v>16101</v>
      </c>
      <c r="L391" t="s">
        <v>16095</v>
      </c>
      <c r="M391" t="s">
        <v>16124</v>
      </c>
    </row>
    <row r="392" spans="1:13">
      <c r="A392" t="s">
        <v>15816</v>
      </c>
      <c r="B392" t="s">
        <v>15816</v>
      </c>
      <c r="C392" t="s">
        <v>15817</v>
      </c>
      <c r="D392" t="s">
        <v>4310</v>
      </c>
      <c r="F392" t="str">
        <f>Config!$B$7</f>
        <v>SCH/Connector.SchLib</v>
      </c>
      <c r="G392" t="s">
        <v>14827</v>
      </c>
      <c r="H392" t="s">
        <v>15165</v>
      </c>
      <c r="I392" t="s">
        <v>15595</v>
      </c>
      <c r="K392" s="47" t="s">
        <v>16101</v>
      </c>
      <c r="L392" t="s">
        <v>16096</v>
      </c>
      <c r="M392" t="s">
        <v>16124</v>
      </c>
    </row>
    <row r="393" spans="1:13">
      <c r="A393" t="s">
        <v>15818</v>
      </c>
      <c r="B393" t="s">
        <v>15818</v>
      </c>
      <c r="C393" t="s">
        <v>15819</v>
      </c>
      <c r="D393" t="s">
        <v>4310</v>
      </c>
      <c r="F393" t="str">
        <f>Config!$B$7</f>
        <v>SCH/Connector.SchLib</v>
      </c>
      <c r="G393" t="s">
        <v>14827</v>
      </c>
      <c r="H393" t="s">
        <v>15165</v>
      </c>
      <c r="I393" t="s">
        <v>15596</v>
      </c>
      <c r="K393" s="47" t="s">
        <v>16101</v>
      </c>
      <c r="L393" t="s">
        <v>16098</v>
      </c>
      <c r="M393" t="s">
        <v>16124</v>
      </c>
    </row>
    <row r="394" spans="1:13">
      <c r="A394" t="s">
        <v>15820</v>
      </c>
      <c r="B394" t="s">
        <v>15820</v>
      </c>
      <c r="C394" t="s">
        <v>15821</v>
      </c>
      <c r="D394" t="s">
        <v>4310</v>
      </c>
      <c r="F394" t="str">
        <f>Config!$B$7</f>
        <v>SCH/Connector.SchLib</v>
      </c>
      <c r="G394" t="s">
        <v>14827</v>
      </c>
      <c r="H394" t="s">
        <v>15165</v>
      </c>
      <c r="I394" t="s">
        <v>15597</v>
      </c>
      <c r="K394" s="47" t="s">
        <v>16101</v>
      </c>
      <c r="L394" t="s">
        <v>16101</v>
      </c>
      <c r="M394" t="s">
        <v>16124</v>
      </c>
    </row>
    <row r="395" spans="1:13">
      <c r="A395" t="s">
        <v>15822</v>
      </c>
      <c r="B395" t="s">
        <v>15822</v>
      </c>
      <c r="C395" t="s">
        <v>15823</v>
      </c>
      <c r="D395" t="s">
        <v>4310</v>
      </c>
      <c r="F395" t="str">
        <f>Config!$B$7</f>
        <v>SCH/Connector.SchLib</v>
      </c>
      <c r="G395" t="s">
        <v>14827</v>
      </c>
      <c r="H395" t="s">
        <v>15165</v>
      </c>
      <c r="I395" t="s">
        <v>15598</v>
      </c>
      <c r="K395" s="47" t="s">
        <v>16101</v>
      </c>
      <c r="L395" t="s">
        <v>16110</v>
      </c>
      <c r="M395" t="s">
        <v>16124</v>
      </c>
    </row>
    <row r="396" spans="1:13">
      <c r="A396" t="s">
        <v>15824</v>
      </c>
      <c r="B396" t="s">
        <v>15824</v>
      </c>
      <c r="C396" t="s">
        <v>15825</v>
      </c>
      <c r="D396" t="s">
        <v>4310</v>
      </c>
      <c r="F396" t="str">
        <f>Config!$B$7</f>
        <v>SCH/Connector.SchLib</v>
      </c>
      <c r="G396" t="s">
        <v>14827</v>
      </c>
      <c r="H396" t="s">
        <v>15165</v>
      </c>
      <c r="I396" t="s">
        <v>15599</v>
      </c>
      <c r="K396" s="47" t="s">
        <v>16102</v>
      </c>
      <c r="L396" t="s">
        <v>16094</v>
      </c>
      <c r="M396" t="s">
        <v>16124</v>
      </c>
    </row>
    <row r="397" spans="1:13">
      <c r="A397" t="s">
        <v>15826</v>
      </c>
      <c r="B397" t="s">
        <v>15826</v>
      </c>
      <c r="C397" t="s">
        <v>15827</v>
      </c>
      <c r="D397" t="s">
        <v>4310</v>
      </c>
      <c r="F397" t="str">
        <f>Config!$B$7</f>
        <v>SCH/Connector.SchLib</v>
      </c>
      <c r="G397" t="s">
        <v>14827</v>
      </c>
      <c r="H397" t="s">
        <v>15165</v>
      </c>
      <c r="I397" t="s">
        <v>15600</v>
      </c>
      <c r="K397" s="47" t="s">
        <v>16102</v>
      </c>
      <c r="L397" t="s">
        <v>16111</v>
      </c>
      <c r="M397" t="s">
        <v>16124</v>
      </c>
    </row>
    <row r="398" spans="1:13">
      <c r="A398" t="s">
        <v>15828</v>
      </c>
      <c r="B398" t="s">
        <v>15828</v>
      </c>
      <c r="C398" t="s">
        <v>15829</v>
      </c>
      <c r="D398" t="s">
        <v>4310</v>
      </c>
      <c r="F398" t="str">
        <f>Config!$B$7</f>
        <v>SCH/Connector.SchLib</v>
      </c>
      <c r="G398" t="s">
        <v>14827</v>
      </c>
      <c r="H398" t="s">
        <v>15165</v>
      </c>
      <c r="I398" t="s">
        <v>15601</v>
      </c>
      <c r="K398" s="47" t="s">
        <v>16102</v>
      </c>
      <c r="L398" t="s">
        <v>16095</v>
      </c>
      <c r="M398" t="s">
        <v>16124</v>
      </c>
    </row>
    <row r="399" spans="1:13">
      <c r="A399" t="s">
        <v>15830</v>
      </c>
      <c r="B399" t="s">
        <v>15830</v>
      </c>
      <c r="C399" t="s">
        <v>15831</v>
      </c>
      <c r="D399" t="s">
        <v>4310</v>
      </c>
      <c r="F399" t="str">
        <f>Config!$B$7</f>
        <v>SCH/Connector.SchLib</v>
      </c>
      <c r="G399" t="s">
        <v>14827</v>
      </c>
      <c r="H399" t="s">
        <v>15165</v>
      </c>
      <c r="I399" t="s">
        <v>15602</v>
      </c>
      <c r="K399" s="47" t="s">
        <v>16102</v>
      </c>
      <c r="L399" t="s">
        <v>16097</v>
      </c>
      <c r="M399" t="s">
        <v>16124</v>
      </c>
    </row>
    <row r="400" spans="1:13">
      <c r="A400" t="s">
        <v>15832</v>
      </c>
      <c r="B400" t="s">
        <v>15832</v>
      </c>
      <c r="C400" t="s">
        <v>15833</v>
      </c>
      <c r="D400" t="s">
        <v>4310</v>
      </c>
      <c r="F400" t="str">
        <f>Config!$B$7</f>
        <v>SCH/Connector.SchLib</v>
      </c>
      <c r="G400" t="s">
        <v>14827</v>
      </c>
      <c r="H400" t="s">
        <v>15165</v>
      </c>
      <c r="I400" t="s">
        <v>15603</v>
      </c>
      <c r="K400" s="47" t="s">
        <v>16102</v>
      </c>
      <c r="L400" t="s">
        <v>16099</v>
      </c>
      <c r="M400" t="s">
        <v>16124</v>
      </c>
    </row>
    <row r="401" spans="1:13">
      <c r="A401" t="s">
        <v>15834</v>
      </c>
      <c r="B401" t="s">
        <v>15834</v>
      </c>
      <c r="C401" t="s">
        <v>15835</v>
      </c>
      <c r="D401" t="s">
        <v>4310</v>
      </c>
      <c r="F401" t="str">
        <f>Config!$B$7</f>
        <v>SCH/Connector.SchLib</v>
      </c>
      <c r="G401" t="s">
        <v>14827</v>
      </c>
      <c r="H401" t="s">
        <v>15165</v>
      </c>
      <c r="I401" t="s">
        <v>15604</v>
      </c>
      <c r="K401" s="47" t="s">
        <v>16102</v>
      </c>
      <c r="L401" t="s">
        <v>16102</v>
      </c>
      <c r="M401" t="s">
        <v>16124</v>
      </c>
    </row>
    <row r="402" spans="1:13">
      <c r="A402" t="s">
        <v>15836</v>
      </c>
      <c r="B402" t="s">
        <v>15836</v>
      </c>
      <c r="C402" t="s">
        <v>15837</v>
      </c>
      <c r="D402" t="s">
        <v>4310</v>
      </c>
      <c r="F402" t="str">
        <f>Config!$B$7</f>
        <v>SCH/Connector.SchLib</v>
      </c>
      <c r="G402" t="s">
        <v>14827</v>
      </c>
      <c r="H402" t="s">
        <v>15165</v>
      </c>
      <c r="I402" t="s">
        <v>15605</v>
      </c>
      <c r="K402" s="47" t="s">
        <v>16102</v>
      </c>
      <c r="L402" t="s">
        <v>16112</v>
      </c>
      <c r="M402" t="s">
        <v>16124</v>
      </c>
    </row>
    <row r="403" spans="1:13">
      <c r="A403" t="s">
        <v>15838</v>
      </c>
      <c r="B403" t="s">
        <v>15838</v>
      </c>
      <c r="C403" t="s">
        <v>15839</v>
      </c>
      <c r="D403" t="s">
        <v>4310</v>
      </c>
      <c r="F403" t="str">
        <f>Config!$B$7</f>
        <v>SCH/Connector.SchLib</v>
      </c>
      <c r="G403" t="s">
        <v>14827</v>
      </c>
      <c r="H403" t="s">
        <v>15165</v>
      </c>
      <c r="I403" t="s">
        <v>15606</v>
      </c>
      <c r="K403" s="47" t="s">
        <v>16103</v>
      </c>
      <c r="L403" t="s">
        <v>16094</v>
      </c>
      <c r="M403" t="s">
        <v>16124</v>
      </c>
    </row>
    <row r="404" spans="1:13">
      <c r="A404" t="s">
        <v>15840</v>
      </c>
      <c r="B404" t="s">
        <v>15840</v>
      </c>
      <c r="C404" t="s">
        <v>15841</v>
      </c>
      <c r="D404" t="s">
        <v>4310</v>
      </c>
      <c r="F404" t="str">
        <f>Config!$B$7</f>
        <v>SCH/Connector.SchLib</v>
      </c>
      <c r="G404" t="s">
        <v>14827</v>
      </c>
      <c r="H404" t="s">
        <v>15165</v>
      </c>
      <c r="I404" t="s">
        <v>15607</v>
      </c>
      <c r="K404" s="47" t="s">
        <v>16103</v>
      </c>
      <c r="L404" t="s">
        <v>16095</v>
      </c>
      <c r="M404" t="s">
        <v>16124</v>
      </c>
    </row>
    <row r="405" spans="1:13">
      <c r="A405" t="s">
        <v>15842</v>
      </c>
      <c r="B405" t="s">
        <v>15842</v>
      </c>
      <c r="C405" t="s">
        <v>15843</v>
      </c>
      <c r="D405" t="s">
        <v>4310</v>
      </c>
      <c r="F405" t="str">
        <f>Config!$B$7</f>
        <v>SCH/Connector.SchLib</v>
      </c>
      <c r="G405" t="s">
        <v>14827</v>
      </c>
      <c r="H405" t="s">
        <v>15165</v>
      </c>
      <c r="I405" t="s">
        <v>15608</v>
      </c>
      <c r="K405" s="47" t="s">
        <v>16103</v>
      </c>
      <c r="L405" t="s">
        <v>16107</v>
      </c>
      <c r="M405" t="s">
        <v>16124</v>
      </c>
    </row>
    <row r="406" spans="1:13">
      <c r="A406" t="s">
        <v>15844</v>
      </c>
      <c r="B406" t="s">
        <v>15844</v>
      </c>
      <c r="C406" t="s">
        <v>15845</v>
      </c>
      <c r="D406" t="s">
        <v>4310</v>
      </c>
      <c r="F406" t="str">
        <f>Config!$B$7</f>
        <v>SCH/Connector.SchLib</v>
      </c>
      <c r="G406" t="s">
        <v>14827</v>
      </c>
      <c r="H406" t="s">
        <v>15165</v>
      </c>
      <c r="I406" t="s">
        <v>15609</v>
      </c>
      <c r="K406" s="47" t="s">
        <v>16103</v>
      </c>
      <c r="L406" t="s">
        <v>16100</v>
      </c>
      <c r="M406" t="s">
        <v>16124</v>
      </c>
    </row>
    <row r="407" spans="1:13">
      <c r="A407" t="s">
        <v>15846</v>
      </c>
      <c r="B407" t="s">
        <v>15846</v>
      </c>
      <c r="C407" t="s">
        <v>15847</v>
      </c>
      <c r="D407" t="s">
        <v>4310</v>
      </c>
      <c r="F407" t="str">
        <f>Config!$B$7</f>
        <v>SCH/Connector.SchLib</v>
      </c>
      <c r="G407" t="s">
        <v>14827</v>
      </c>
      <c r="H407" t="s">
        <v>15165</v>
      </c>
      <c r="I407" t="s">
        <v>15610</v>
      </c>
      <c r="K407" s="47" t="s">
        <v>16103</v>
      </c>
      <c r="L407" t="s">
        <v>16108</v>
      </c>
      <c r="M407" t="s">
        <v>16124</v>
      </c>
    </row>
    <row r="408" spans="1:13">
      <c r="A408" t="s">
        <v>15848</v>
      </c>
      <c r="B408" t="s">
        <v>15848</v>
      </c>
      <c r="C408" t="s">
        <v>15849</v>
      </c>
      <c r="D408" t="s">
        <v>4310</v>
      </c>
      <c r="F408" t="str">
        <f>Config!$B$7</f>
        <v>SCH/Connector.SchLib</v>
      </c>
      <c r="G408" t="s">
        <v>14827</v>
      </c>
      <c r="H408" t="s">
        <v>15165</v>
      </c>
      <c r="I408" t="s">
        <v>15611</v>
      </c>
      <c r="K408" s="47" t="s">
        <v>16103</v>
      </c>
      <c r="L408" t="s">
        <v>16113</v>
      </c>
      <c r="M408" t="s">
        <v>16124</v>
      </c>
    </row>
    <row r="410" spans="1:13">
      <c r="A410" t="s">
        <v>15102</v>
      </c>
      <c r="B410" t="s">
        <v>15102</v>
      </c>
      <c r="C410" t="s">
        <v>15103</v>
      </c>
      <c r="D410" t="s">
        <v>4310</v>
      </c>
      <c r="F410" t="str">
        <f>Config!$B$7</f>
        <v>SCH/Connector.SchLib</v>
      </c>
      <c r="G410" t="s">
        <v>14827</v>
      </c>
      <c r="H410" t="s">
        <v>15104</v>
      </c>
      <c r="I410" t="s">
        <v>14857</v>
      </c>
      <c r="K410" s="47" t="s">
        <v>16093</v>
      </c>
      <c r="L410" t="s">
        <v>16093</v>
      </c>
      <c r="M410" t="s">
        <v>16125</v>
      </c>
    </row>
    <row r="411" spans="1:13">
      <c r="A411" t="s">
        <v>15105</v>
      </c>
      <c r="B411" t="s">
        <v>15105</v>
      </c>
      <c r="C411" t="s">
        <v>15106</v>
      </c>
      <c r="D411" t="s">
        <v>4310</v>
      </c>
      <c r="F411" t="str">
        <f>Config!$B$7</f>
        <v>SCH/Connector.SchLib</v>
      </c>
      <c r="G411" t="s">
        <v>14827</v>
      </c>
      <c r="H411" t="s">
        <v>15104</v>
      </c>
      <c r="I411" t="s">
        <v>14858</v>
      </c>
      <c r="K411" s="47" t="s">
        <v>16093</v>
      </c>
      <c r="L411" t="s">
        <v>16094</v>
      </c>
      <c r="M411" t="s">
        <v>16125</v>
      </c>
    </row>
    <row r="412" spans="1:13">
      <c r="A412" t="s">
        <v>15107</v>
      </c>
      <c r="B412" t="s">
        <v>15107</v>
      </c>
      <c r="C412" t="s">
        <v>15108</v>
      </c>
      <c r="D412" t="s">
        <v>4310</v>
      </c>
      <c r="F412" t="str">
        <f>Config!$B$7</f>
        <v>SCH/Connector.SchLib</v>
      </c>
      <c r="G412" t="s">
        <v>14827</v>
      </c>
      <c r="H412" t="s">
        <v>15104</v>
      </c>
      <c r="I412" t="s">
        <v>14829</v>
      </c>
      <c r="K412" s="47" t="s">
        <v>16094</v>
      </c>
      <c r="L412" t="s">
        <v>16093</v>
      </c>
      <c r="M412" t="s">
        <v>16125</v>
      </c>
    </row>
    <row r="413" spans="1:13">
      <c r="A413" t="s">
        <v>15109</v>
      </c>
      <c r="B413" t="s">
        <v>15109</v>
      </c>
      <c r="C413" t="s">
        <v>15110</v>
      </c>
      <c r="D413" t="s">
        <v>4310</v>
      </c>
      <c r="F413" t="str">
        <f>Config!$B$7</f>
        <v>SCH/Connector.SchLib</v>
      </c>
      <c r="G413" t="s">
        <v>14827</v>
      </c>
      <c r="H413" t="s">
        <v>15104</v>
      </c>
      <c r="I413" t="s">
        <v>14830</v>
      </c>
      <c r="K413" s="47" t="s">
        <v>16094</v>
      </c>
      <c r="L413" t="s">
        <v>16094</v>
      </c>
      <c r="M413" t="s">
        <v>16125</v>
      </c>
    </row>
    <row r="414" spans="1:13">
      <c r="A414" t="s">
        <v>15111</v>
      </c>
      <c r="B414" t="s">
        <v>15111</v>
      </c>
      <c r="C414" t="s">
        <v>15112</v>
      </c>
      <c r="D414" t="s">
        <v>4310</v>
      </c>
      <c r="F414" t="str">
        <f>Config!$B$7</f>
        <v>SCH/Connector.SchLib</v>
      </c>
      <c r="G414" t="s">
        <v>14827</v>
      </c>
      <c r="H414" t="s">
        <v>15104</v>
      </c>
      <c r="I414" t="s">
        <v>14831</v>
      </c>
      <c r="K414" s="47" t="s">
        <v>16094</v>
      </c>
      <c r="L414" t="s">
        <v>16095</v>
      </c>
      <c r="M414" t="s">
        <v>16125</v>
      </c>
    </row>
    <row r="415" spans="1:13">
      <c r="A415" t="s">
        <v>15113</v>
      </c>
      <c r="B415" t="s">
        <v>15113</v>
      </c>
      <c r="C415" t="s">
        <v>15114</v>
      </c>
      <c r="D415" t="s">
        <v>4310</v>
      </c>
      <c r="F415" t="str">
        <f>Config!$B$7</f>
        <v>SCH/Connector.SchLib</v>
      </c>
      <c r="G415" t="s">
        <v>14827</v>
      </c>
      <c r="H415" t="s">
        <v>15104</v>
      </c>
      <c r="I415" t="s">
        <v>14832</v>
      </c>
      <c r="K415" s="47" t="s">
        <v>16095</v>
      </c>
      <c r="L415" t="s">
        <v>16093</v>
      </c>
      <c r="M415" t="s">
        <v>16125</v>
      </c>
    </row>
    <row r="416" spans="1:13">
      <c r="A416" t="s">
        <v>15115</v>
      </c>
      <c r="B416" t="s">
        <v>15115</v>
      </c>
      <c r="C416" t="s">
        <v>15116</v>
      </c>
      <c r="D416" t="s">
        <v>4310</v>
      </c>
      <c r="F416" t="str">
        <f>Config!$B$7</f>
        <v>SCH/Connector.SchLib</v>
      </c>
      <c r="G416" t="s">
        <v>14827</v>
      </c>
      <c r="H416" t="s">
        <v>15104</v>
      </c>
      <c r="I416" t="s">
        <v>14833</v>
      </c>
      <c r="K416" s="47" t="s">
        <v>16095</v>
      </c>
      <c r="L416" t="s">
        <v>16094</v>
      </c>
      <c r="M416" t="s">
        <v>16125</v>
      </c>
    </row>
    <row r="417" spans="1:13">
      <c r="A417" t="s">
        <v>15117</v>
      </c>
      <c r="B417" t="s">
        <v>15117</v>
      </c>
      <c r="C417" t="s">
        <v>15118</v>
      </c>
      <c r="D417" t="s">
        <v>4310</v>
      </c>
      <c r="F417" t="str">
        <f>Config!$B$7</f>
        <v>SCH/Connector.SchLib</v>
      </c>
      <c r="G417" t="s">
        <v>14827</v>
      </c>
      <c r="H417" t="s">
        <v>15104</v>
      </c>
      <c r="I417" t="s">
        <v>14834</v>
      </c>
      <c r="K417" s="47" t="s">
        <v>16095</v>
      </c>
      <c r="L417" t="s">
        <v>16095</v>
      </c>
      <c r="M417" t="s">
        <v>16125</v>
      </c>
    </row>
    <row r="418" spans="1:13">
      <c r="A418" t="s">
        <v>15119</v>
      </c>
      <c r="B418" t="s">
        <v>15119</v>
      </c>
      <c r="C418" t="s">
        <v>15120</v>
      </c>
      <c r="D418" t="s">
        <v>4310</v>
      </c>
      <c r="F418" t="str">
        <f>Config!$B$7</f>
        <v>SCH/Connector.SchLib</v>
      </c>
      <c r="G418" t="s">
        <v>14827</v>
      </c>
      <c r="H418" t="s">
        <v>15104</v>
      </c>
      <c r="I418" t="s">
        <v>14835</v>
      </c>
      <c r="K418" s="47" t="s">
        <v>16095</v>
      </c>
      <c r="L418" t="s">
        <v>16097</v>
      </c>
      <c r="M418" t="s">
        <v>16125</v>
      </c>
    </row>
    <row r="419" spans="1:13">
      <c r="A419" t="s">
        <v>15121</v>
      </c>
      <c r="B419" t="s">
        <v>15121</v>
      </c>
      <c r="C419" t="s">
        <v>15122</v>
      </c>
      <c r="D419" t="s">
        <v>4310</v>
      </c>
      <c r="F419" t="str">
        <f>Config!$B$7</f>
        <v>SCH/Connector.SchLib</v>
      </c>
      <c r="G419" t="s">
        <v>14827</v>
      </c>
      <c r="H419" t="s">
        <v>15104</v>
      </c>
      <c r="I419" t="s">
        <v>14836</v>
      </c>
      <c r="K419" s="47" t="s">
        <v>16096</v>
      </c>
      <c r="L419" t="s">
        <v>16104</v>
      </c>
      <c r="M419" t="s">
        <v>16125</v>
      </c>
    </row>
    <row r="420" spans="1:13">
      <c r="A420" t="s">
        <v>15123</v>
      </c>
      <c r="B420" t="s">
        <v>15123</v>
      </c>
      <c r="C420" t="s">
        <v>15124</v>
      </c>
      <c r="D420" t="s">
        <v>4310</v>
      </c>
      <c r="F420" t="str">
        <f>Config!$B$7</f>
        <v>SCH/Connector.SchLib</v>
      </c>
      <c r="G420" t="s">
        <v>14827</v>
      </c>
      <c r="H420" t="s">
        <v>15104</v>
      </c>
      <c r="I420" t="s">
        <v>14837</v>
      </c>
      <c r="K420" s="47" t="s">
        <v>16096</v>
      </c>
      <c r="L420" t="s">
        <v>16096</v>
      </c>
      <c r="M420" t="s">
        <v>16125</v>
      </c>
    </row>
    <row r="421" spans="1:13">
      <c r="A421" t="s">
        <v>15125</v>
      </c>
      <c r="B421" t="s">
        <v>15125</v>
      </c>
      <c r="C421" t="s">
        <v>15126</v>
      </c>
      <c r="D421" t="s">
        <v>4310</v>
      </c>
      <c r="F421" t="str">
        <f>Config!$B$7</f>
        <v>SCH/Connector.SchLib</v>
      </c>
      <c r="G421" t="s">
        <v>14827</v>
      </c>
      <c r="H421" t="s">
        <v>15104</v>
      </c>
      <c r="I421" t="s">
        <v>14838</v>
      </c>
      <c r="K421" s="47" t="s">
        <v>16096</v>
      </c>
      <c r="L421" t="s">
        <v>16098</v>
      </c>
      <c r="M421" t="s">
        <v>16125</v>
      </c>
    </row>
    <row r="422" spans="1:13">
      <c r="A422" t="s">
        <v>15127</v>
      </c>
      <c r="B422" t="s">
        <v>15127</v>
      </c>
      <c r="C422" t="s">
        <v>15128</v>
      </c>
      <c r="D422" t="s">
        <v>4310</v>
      </c>
      <c r="F422" t="str">
        <f>Config!$B$7</f>
        <v>SCH/Connector.SchLib</v>
      </c>
      <c r="G422" t="s">
        <v>14827</v>
      </c>
      <c r="H422" t="s">
        <v>15104</v>
      </c>
      <c r="I422" t="s">
        <v>14839</v>
      </c>
      <c r="K422" s="47" t="s">
        <v>16097</v>
      </c>
      <c r="L422" t="s">
        <v>16094</v>
      </c>
      <c r="M422" t="s">
        <v>16125</v>
      </c>
    </row>
    <row r="423" spans="1:13">
      <c r="A423" t="s">
        <v>15129</v>
      </c>
      <c r="B423" t="s">
        <v>15129</v>
      </c>
      <c r="C423" t="s">
        <v>15130</v>
      </c>
      <c r="D423" t="s">
        <v>4310</v>
      </c>
      <c r="F423" t="str">
        <f>Config!$B$7</f>
        <v>SCH/Connector.SchLib</v>
      </c>
      <c r="G423" t="s">
        <v>14827</v>
      </c>
      <c r="H423" t="s">
        <v>15104</v>
      </c>
      <c r="I423" t="s">
        <v>14840</v>
      </c>
      <c r="K423" s="47" t="s">
        <v>16097</v>
      </c>
      <c r="L423" t="s">
        <v>16095</v>
      </c>
      <c r="M423" t="s">
        <v>16125</v>
      </c>
    </row>
    <row r="424" spans="1:13">
      <c r="A424" t="s">
        <v>15131</v>
      </c>
      <c r="B424" t="s">
        <v>15131</v>
      </c>
      <c r="C424" t="s">
        <v>15132</v>
      </c>
      <c r="D424" t="s">
        <v>4310</v>
      </c>
      <c r="F424" t="str">
        <f>Config!$B$7</f>
        <v>SCH/Connector.SchLib</v>
      </c>
      <c r="G424" t="s">
        <v>14827</v>
      </c>
      <c r="H424" t="s">
        <v>15104</v>
      </c>
      <c r="I424" t="s">
        <v>14841</v>
      </c>
      <c r="K424" s="47" t="s">
        <v>16097</v>
      </c>
      <c r="L424" t="s">
        <v>16097</v>
      </c>
      <c r="M424" t="s">
        <v>16125</v>
      </c>
    </row>
    <row r="425" spans="1:13">
      <c r="A425" t="s">
        <v>15133</v>
      </c>
      <c r="B425" t="s">
        <v>15133</v>
      </c>
      <c r="C425" t="s">
        <v>15134</v>
      </c>
      <c r="D425" t="s">
        <v>4310</v>
      </c>
      <c r="F425" t="str">
        <f>Config!$B$7</f>
        <v>SCH/Connector.SchLib</v>
      </c>
      <c r="G425" t="s">
        <v>14827</v>
      </c>
      <c r="H425" t="s">
        <v>15104</v>
      </c>
      <c r="I425" t="s">
        <v>14842</v>
      </c>
      <c r="K425" s="47" t="s">
        <v>16097</v>
      </c>
      <c r="L425" t="s">
        <v>16099</v>
      </c>
      <c r="M425" t="s">
        <v>16125</v>
      </c>
    </row>
    <row r="426" spans="1:13">
      <c r="A426" t="s">
        <v>15135</v>
      </c>
      <c r="B426" t="s">
        <v>15135</v>
      </c>
      <c r="C426" t="s">
        <v>15136</v>
      </c>
      <c r="D426" t="s">
        <v>4310</v>
      </c>
      <c r="F426" t="str">
        <f>Config!$B$7</f>
        <v>SCH/Connector.SchLib</v>
      </c>
      <c r="G426" t="s">
        <v>14827</v>
      </c>
      <c r="H426" t="s">
        <v>15104</v>
      </c>
      <c r="I426" t="s">
        <v>14843</v>
      </c>
      <c r="K426" s="47" t="s">
        <v>16098</v>
      </c>
      <c r="L426" t="s">
        <v>16104</v>
      </c>
      <c r="M426" t="s">
        <v>16125</v>
      </c>
    </row>
    <row r="427" spans="1:13">
      <c r="A427" t="s">
        <v>15137</v>
      </c>
      <c r="B427" t="s">
        <v>15137</v>
      </c>
      <c r="C427" t="s">
        <v>15138</v>
      </c>
      <c r="D427" t="s">
        <v>4310</v>
      </c>
      <c r="F427" t="str">
        <f>Config!$B$7</f>
        <v>SCH/Connector.SchLib</v>
      </c>
      <c r="G427" t="s">
        <v>14827</v>
      </c>
      <c r="H427" t="s">
        <v>15104</v>
      </c>
      <c r="I427" t="s">
        <v>14844</v>
      </c>
      <c r="K427" s="47" t="s">
        <v>16098</v>
      </c>
      <c r="L427" t="s">
        <v>16096</v>
      </c>
      <c r="M427" t="s">
        <v>16125</v>
      </c>
    </row>
    <row r="428" spans="1:13">
      <c r="A428" t="s">
        <v>15139</v>
      </c>
      <c r="B428" t="s">
        <v>15139</v>
      </c>
      <c r="C428" t="s">
        <v>15140</v>
      </c>
      <c r="D428" t="s">
        <v>4310</v>
      </c>
      <c r="F428" t="str">
        <f>Config!$B$7</f>
        <v>SCH/Connector.SchLib</v>
      </c>
      <c r="G428" t="s">
        <v>14827</v>
      </c>
      <c r="H428" t="s">
        <v>15104</v>
      </c>
      <c r="I428" t="s">
        <v>14845</v>
      </c>
      <c r="K428" s="47" t="s">
        <v>16098</v>
      </c>
      <c r="L428" t="s">
        <v>16098</v>
      </c>
      <c r="M428" t="s">
        <v>16125</v>
      </c>
    </row>
    <row r="429" spans="1:13">
      <c r="A429" t="s">
        <v>15141</v>
      </c>
      <c r="B429" t="s">
        <v>15141</v>
      </c>
      <c r="C429" t="s">
        <v>15142</v>
      </c>
      <c r="D429" t="s">
        <v>4310</v>
      </c>
      <c r="F429" t="str">
        <f>Config!$B$7</f>
        <v>SCH/Connector.SchLib</v>
      </c>
      <c r="G429" t="s">
        <v>14827</v>
      </c>
      <c r="H429" t="s">
        <v>15104</v>
      </c>
      <c r="I429" t="s">
        <v>14846</v>
      </c>
      <c r="K429" s="47" t="s">
        <v>16098</v>
      </c>
      <c r="L429" t="s">
        <v>16101</v>
      </c>
      <c r="M429" t="s">
        <v>16125</v>
      </c>
    </row>
    <row r="430" spans="1:13">
      <c r="A430" t="s">
        <v>15143</v>
      </c>
      <c r="B430" t="s">
        <v>15143</v>
      </c>
      <c r="C430" t="s">
        <v>15144</v>
      </c>
      <c r="D430" t="s">
        <v>4310</v>
      </c>
      <c r="F430" t="str">
        <f>Config!$B$7</f>
        <v>SCH/Connector.SchLib</v>
      </c>
      <c r="G430" t="s">
        <v>14827</v>
      </c>
      <c r="H430" t="s">
        <v>15104</v>
      </c>
      <c r="I430" t="s">
        <v>14847</v>
      </c>
      <c r="K430" s="47" t="s">
        <v>16099</v>
      </c>
      <c r="L430" t="s">
        <v>16105</v>
      </c>
      <c r="M430" t="s">
        <v>16125</v>
      </c>
    </row>
    <row r="431" spans="1:13">
      <c r="A431" t="s">
        <v>15145</v>
      </c>
      <c r="B431" t="s">
        <v>15145</v>
      </c>
      <c r="C431" t="s">
        <v>15146</v>
      </c>
      <c r="D431" t="s">
        <v>4310</v>
      </c>
      <c r="F431" t="str">
        <f>Config!$B$7</f>
        <v>SCH/Connector.SchLib</v>
      </c>
      <c r="G431" t="s">
        <v>14827</v>
      </c>
      <c r="H431" t="s">
        <v>15104</v>
      </c>
      <c r="I431" t="s">
        <v>14848</v>
      </c>
      <c r="K431" s="47" t="s">
        <v>16099</v>
      </c>
      <c r="L431" t="s">
        <v>16095</v>
      </c>
      <c r="M431" t="s">
        <v>16125</v>
      </c>
    </row>
    <row r="432" spans="1:13">
      <c r="A432" t="s">
        <v>15147</v>
      </c>
      <c r="B432" t="s">
        <v>15147</v>
      </c>
      <c r="C432" t="s">
        <v>15148</v>
      </c>
      <c r="D432" t="s">
        <v>4310</v>
      </c>
      <c r="F432" t="str">
        <f>Config!$B$7</f>
        <v>SCH/Connector.SchLib</v>
      </c>
      <c r="G432" t="s">
        <v>14827</v>
      </c>
      <c r="H432" t="s">
        <v>15104</v>
      </c>
      <c r="I432" t="s">
        <v>14849</v>
      </c>
      <c r="K432" s="47" t="s">
        <v>16099</v>
      </c>
      <c r="L432" t="s">
        <v>16097</v>
      </c>
      <c r="M432" t="s">
        <v>16125</v>
      </c>
    </row>
    <row r="433" spans="1:13">
      <c r="A433" t="s">
        <v>15149</v>
      </c>
      <c r="B433" t="s">
        <v>15149</v>
      </c>
      <c r="C433" t="s">
        <v>15150</v>
      </c>
      <c r="D433" t="s">
        <v>4310</v>
      </c>
      <c r="F433" t="str">
        <f>Config!$B$7</f>
        <v>SCH/Connector.SchLib</v>
      </c>
      <c r="G433" t="s">
        <v>14827</v>
      </c>
      <c r="H433" t="s">
        <v>15104</v>
      </c>
      <c r="I433" t="s">
        <v>14850</v>
      </c>
      <c r="K433" s="47" t="s">
        <v>16099</v>
      </c>
      <c r="L433" t="s">
        <v>16099</v>
      </c>
      <c r="M433" t="s">
        <v>16125</v>
      </c>
    </row>
    <row r="434" spans="1:13">
      <c r="A434" t="s">
        <v>15151</v>
      </c>
      <c r="B434" t="s">
        <v>15151</v>
      </c>
      <c r="C434" t="s">
        <v>15152</v>
      </c>
      <c r="D434" t="s">
        <v>4310</v>
      </c>
      <c r="F434" t="str">
        <f>Config!$B$7</f>
        <v>SCH/Connector.SchLib</v>
      </c>
      <c r="G434" t="s">
        <v>14827</v>
      </c>
      <c r="H434" t="s">
        <v>15104</v>
      </c>
      <c r="I434" t="s">
        <v>14851</v>
      </c>
      <c r="K434" s="47" t="s">
        <v>16099</v>
      </c>
      <c r="L434" t="s">
        <v>16102</v>
      </c>
      <c r="M434" t="s">
        <v>16125</v>
      </c>
    </row>
    <row r="435" spans="1:13">
      <c r="A435" t="s">
        <v>15153</v>
      </c>
      <c r="B435" t="s">
        <v>15153</v>
      </c>
      <c r="C435" t="s">
        <v>15154</v>
      </c>
      <c r="D435" t="s">
        <v>4310</v>
      </c>
      <c r="F435" t="str">
        <f>Config!$B$7</f>
        <v>SCH/Connector.SchLib</v>
      </c>
      <c r="G435" t="s">
        <v>14827</v>
      </c>
      <c r="H435" t="s">
        <v>15104</v>
      </c>
      <c r="I435" t="s">
        <v>14852</v>
      </c>
      <c r="K435" s="47" t="s">
        <v>16100</v>
      </c>
      <c r="L435" t="s">
        <v>16094</v>
      </c>
      <c r="M435" t="s">
        <v>16125</v>
      </c>
    </row>
    <row r="436" spans="1:13">
      <c r="A436" t="s">
        <v>15770</v>
      </c>
      <c r="B436" t="s">
        <v>15770</v>
      </c>
      <c r="C436" t="s">
        <v>15771</v>
      </c>
      <c r="D436" t="s">
        <v>4310</v>
      </c>
      <c r="F436" t="str">
        <f>Config!$B$7</f>
        <v>SCH/Connector.SchLib</v>
      </c>
      <c r="G436" t="s">
        <v>14827</v>
      </c>
      <c r="H436" t="s">
        <v>15104</v>
      </c>
      <c r="I436" t="s">
        <v>15590</v>
      </c>
      <c r="K436" s="47" t="s">
        <v>16100</v>
      </c>
      <c r="L436" t="s">
        <v>16095</v>
      </c>
      <c r="M436" t="s">
        <v>16125</v>
      </c>
    </row>
    <row r="437" spans="1:13">
      <c r="A437" t="s">
        <v>15155</v>
      </c>
      <c r="B437" t="s">
        <v>15155</v>
      </c>
      <c r="C437" t="s">
        <v>15156</v>
      </c>
      <c r="D437" t="s">
        <v>4310</v>
      </c>
      <c r="F437" t="str">
        <f>Config!$B$7</f>
        <v>SCH/Connector.SchLib</v>
      </c>
      <c r="G437" t="s">
        <v>14827</v>
      </c>
      <c r="H437" t="s">
        <v>15104</v>
      </c>
      <c r="I437" t="s">
        <v>14853</v>
      </c>
      <c r="K437" s="47" t="s">
        <v>16100</v>
      </c>
      <c r="L437" t="s">
        <v>16106</v>
      </c>
      <c r="M437" t="s">
        <v>16125</v>
      </c>
    </row>
    <row r="438" spans="1:13">
      <c r="A438" t="s">
        <v>15157</v>
      </c>
      <c r="B438" t="s">
        <v>15157</v>
      </c>
      <c r="C438" t="s">
        <v>15158</v>
      </c>
      <c r="D438" t="s">
        <v>4310</v>
      </c>
      <c r="F438" t="str">
        <f>Config!$B$7</f>
        <v>SCH/Connector.SchLib</v>
      </c>
      <c r="G438" t="s">
        <v>14827</v>
      </c>
      <c r="H438" t="s">
        <v>15104</v>
      </c>
      <c r="I438" t="s">
        <v>14854</v>
      </c>
      <c r="K438" s="47" t="s">
        <v>16100</v>
      </c>
      <c r="L438" t="s">
        <v>16107</v>
      </c>
      <c r="M438" t="s">
        <v>16125</v>
      </c>
    </row>
    <row r="439" spans="1:13">
      <c r="A439" t="s">
        <v>15159</v>
      </c>
      <c r="B439" t="s">
        <v>15159</v>
      </c>
      <c r="C439" t="s">
        <v>15160</v>
      </c>
      <c r="D439" t="s">
        <v>4310</v>
      </c>
      <c r="F439" t="str">
        <f>Config!$B$7</f>
        <v>SCH/Connector.SchLib</v>
      </c>
      <c r="G439" t="s">
        <v>14827</v>
      </c>
      <c r="H439" t="s">
        <v>15104</v>
      </c>
      <c r="I439" t="s">
        <v>14855</v>
      </c>
      <c r="K439" s="47" t="s">
        <v>16100</v>
      </c>
      <c r="L439" t="s">
        <v>16100</v>
      </c>
      <c r="M439" t="s">
        <v>16125</v>
      </c>
    </row>
    <row r="440" spans="1:13">
      <c r="A440" t="s">
        <v>15161</v>
      </c>
      <c r="B440" t="s">
        <v>15161</v>
      </c>
      <c r="C440" t="s">
        <v>15162</v>
      </c>
      <c r="D440" t="s">
        <v>4310</v>
      </c>
      <c r="F440" t="str">
        <f>Config!$B$7</f>
        <v>SCH/Connector.SchLib</v>
      </c>
      <c r="G440" t="s">
        <v>14827</v>
      </c>
      <c r="H440" t="s">
        <v>15104</v>
      </c>
      <c r="I440" t="s">
        <v>14856</v>
      </c>
      <c r="K440" s="47" t="s">
        <v>16100</v>
      </c>
      <c r="L440" t="s">
        <v>16108</v>
      </c>
      <c r="M440" t="s">
        <v>16125</v>
      </c>
    </row>
    <row r="441" spans="1:13">
      <c r="A441" t="s">
        <v>15772</v>
      </c>
      <c r="B441" t="s">
        <v>15772</v>
      </c>
      <c r="C441" t="s">
        <v>15773</v>
      </c>
      <c r="D441" t="s">
        <v>4310</v>
      </c>
      <c r="F441" t="str">
        <f>Config!$B$7</f>
        <v>SCH/Connector.SchLib</v>
      </c>
      <c r="G441" t="s">
        <v>14827</v>
      </c>
      <c r="H441" t="s">
        <v>15104</v>
      </c>
      <c r="I441" t="s">
        <v>15593</v>
      </c>
      <c r="K441" s="47" t="s">
        <v>16101</v>
      </c>
      <c r="L441" t="s">
        <v>16109</v>
      </c>
      <c r="M441" t="s">
        <v>16125</v>
      </c>
    </row>
    <row r="442" spans="1:13">
      <c r="A442" t="s">
        <v>15774</v>
      </c>
      <c r="B442" t="s">
        <v>15774</v>
      </c>
      <c r="C442" t="s">
        <v>15775</v>
      </c>
      <c r="D442" t="s">
        <v>4310</v>
      </c>
      <c r="F442" t="str">
        <f>Config!$B$7</f>
        <v>SCH/Connector.SchLib</v>
      </c>
      <c r="G442" t="s">
        <v>14827</v>
      </c>
      <c r="H442" t="s">
        <v>15104</v>
      </c>
      <c r="I442" t="s">
        <v>15594</v>
      </c>
      <c r="K442" s="47" t="s">
        <v>16101</v>
      </c>
      <c r="L442" t="s">
        <v>16095</v>
      </c>
      <c r="M442" t="s">
        <v>16125</v>
      </c>
    </row>
    <row r="443" spans="1:13">
      <c r="A443" t="s">
        <v>15776</v>
      </c>
      <c r="B443" t="s">
        <v>15776</v>
      </c>
      <c r="C443" t="s">
        <v>15777</v>
      </c>
      <c r="D443" t="s">
        <v>4310</v>
      </c>
      <c r="F443" t="str">
        <f>Config!$B$7</f>
        <v>SCH/Connector.SchLib</v>
      </c>
      <c r="G443" t="s">
        <v>14827</v>
      </c>
      <c r="H443" t="s">
        <v>15104</v>
      </c>
      <c r="I443" t="s">
        <v>15595</v>
      </c>
      <c r="K443" s="47" t="s">
        <v>16101</v>
      </c>
      <c r="L443" t="s">
        <v>16096</v>
      </c>
      <c r="M443" t="s">
        <v>16125</v>
      </c>
    </row>
    <row r="444" spans="1:13">
      <c r="A444" t="s">
        <v>15778</v>
      </c>
      <c r="B444" t="s">
        <v>15778</v>
      </c>
      <c r="C444" t="s">
        <v>15779</v>
      </c>
      <c r="D444" t="s">
        <v>4310</v>
      </c>
      <c r="F444" t="str">
        <f>Config!$B$7</f>
        <v>SCH/Connector.SchLib</v>
      </c>
      <c r="G444" t="s">
        <v>14827</v>
      </c>
      <c r="H444" t="s">
        <v>15104</v>
      </c>
      <c r="I444" t="s">
        <v>15596</v>
      </c>
      <c r="K444" s="47" t="s">
        <v>16101</v>
      </c>
      <c r="L444" t="s">
        <v>16098</v>
      </c>
      <c r="M444" t="s">
        <v>16125</v>
      </c>
    </row>
    <row r="445" spans="1:13">
      <c r="A445" t="s">
        <v>15780</v>
      </c>
      <c r="B445" t="s">
        <v>15780</v>
      </c>
      <c r="C445" t="s">
        <v>15781</v>
      </c>
      <c r="D445" t="s">
        <v>4310</v>
      </c>
      <c r="F445" t="str">
        <f>Config!$B$7</f>
        <v>SCH/Connector.SchLib</v>
      </c>
      <c r="G445" t="s">
        <v>14827</v>
      </c>
      <c r="H445" t="s">
        <v>15104</v>
      </c>
      <c r="I445" t="s">
        <v>15597</v>
      </c>
      <c r="K445" s="47" t="s">
        <v>16101</v>
      </c>
      <c r="L445" t="s">
        <v>16101</v>
      </c>
      <c r="M445" t="s">
        <v>16125</v>
      </c>
    </row>
    <row r="446" spans="1:13">
      <c r="A446" t="s">
        <v>15782</v>
      </c>
      <c r="B446" t="s">
        <v>15782</v>
      </c>
      <c r="C446" t="s">
        <v>15783</v>
      </c>
      <c r="D446" t="s">
        <v>4310</v>
      </c>
      <c r="F446" t="str">
        <f>Config!$B$7</f>
        <v>SCH/Connector.SchLib</v>
      </c>
      <c r="G446" t="s">
        <v>14827</v>
      </c>
      <c r="H446" t="s">
        <v>15104</v>
      </c>
      <c r="I446" t="s">
        <v>15598</v>
      </c>
      <c r="K446" s="47" t="s">
        <v>16101</v>
      </c>
      <c r="L446" t="s">
        <v>16110</v>
      </c>
      <c r="M446" t="s">
        <v>16125</v>
      </c>
    </row>
    <row r="447" spans="1:13">
      <c r="A447" t="s">
        <v>15784</v>
      </c>
      <c r="B447" t="s">
        <v>15784</v>
      </c>
      <c r="C447" t="s">
        <v>15785</v>
      </c>
      <c r="D447" t="s">
        <v>4310</v>
      </c>
      <c r="F447" t="str">
        <f>Config!$B$7</f>
        <v>SCH/Connector.SchLib</v>
      </c>
      <c r="G447" t="s">
        <v>14827</v>
      </c>
      <c r="H447" t="s">
        <v>15104</v>
      </c>
      <c r="I447" t="s">
        <v>15599</v>
      </c>
      <c r="K447" s="47" t="s">
        <v>16102</v>
      </c>
      <c r="L447" t="s">
        <v>16094</v>
      </c>
      <c r="M447" t="s">
        <v>16125</v>
      </c>
    </row>
    <row r="448" spans="1:13">
      <c r="A448" t="s">
        <v>15786</v>
      </c>
      <c r="B448" t="s">
        <v>15786</v>
      </c>
      <c r="C448" t="s">
        <v>15787</v>
      </c>
      <c r="D448" t="s">
        <v>4310</v>
      </c>
      <c r="F448" t="str">
        <f>Config!$B$7</f>
        <v>SCH/Connector.SchLib</v>
      </c>
      <c r="G448" t="s">
        <v>14827</v>
      </c>
      <c r="H448" t="s">
        <v>15104</v>
      </c>
      <c r="I448" t="s">
        <v>15600</v>
      </c>
      <c r="K448" s="47" t="s">
        <v>16102</v>
      </c>
      <c r="L448" t="s">
        <v>16111</v>
      </c>
      <c r="M448" t="s">
        <v>16125</v>
      </c>
    </row>
    <row r="449" spans="1:13">
      <c r="A449" t="s">
        <v>15788</v>
      </c>
      <c r="B449" t="s">
        <v>15788</v>
      </c>
      <c r="C449" t="s">
        <v>15789</v>
      </c>
      <c r="D449" t="s">
        <v>4310</v>
      </c>
      <c r="F449" t="str">
        <f>Config!$B$7</f>
        <v>SCH/Connector.SchLib</v>
      </c>
      <c r="G449" t="s">
        <v>14827</v>
      </c>
      <c r="H449" t="s">
        <v>15104</v>
      </c>
      <c r="I449" t="s">
        <v>15601</v>
      </c>
      <c r="K449" s="47" t="s">
        <v>16102</v>
      </c>
      <c r="L449" t="s">
        <v>16095</v>
      </c>
      <c r="M449" t="s">
        <v>16125</v>
      </c>
    </row>
    <row r="450" spans="1:13">
      <c r="A450" t="s">
        <v>15790</v>
      </c>
      <c r="B450" t="s">
        <v>15790</v>
      </c>
      <c r="C450" t="s">
        <v>15791</v>
      </c>
      <c r="D450" t="s">
        <v>4310</v>
      </c>
      <c r="F450" t="str">
        <f>Config!$B$7</f>
        <v>SCH/Connector.SchLib</v>
      </c>
      <c r="G450" t="s">
        <v>14827</v>
      </c>
      <c r="H450" t="s">
        <v>15104</v>
      </c>
      <c r="I450" t="s">
        <v>15602</v>
      </c>
      <c r="K450" s="47" t="s">
        <v>16102</v>
      </c>
      <c r="L450" t="s">
        <v>16097</v>
      </c>
      <c r="M450" t="s">
        <v>16125</v>
      </c>
    </row>
    <row r="451" spans="1:13">
      <c r="A451" t="s">
        <v>15792</v>
      </c>
      <c r="B451" t="s">
        <v>15792</v>
      </c>
      <c r="C451" t="s">
        <v>15793</v>
      </c>
      <c r="D451" t="s">
        <v>4310</v>
      </c>
      <c r="F451" t="str">
        <f>Config!$B$7</f>
        <v>SCH/Connector.SchLib</v>
      </c>
      <c r="G451" t="s">
        <v>14827</v>
      </c>
      <c r="H451" t="s">
        <v>15104</v>
      </c>
      <c r="I451" t="s">
        <v>15603</v>
      </c>
      <c r="K451" s="47" t="s">
        <v>16102</v>
      </c>
      <c r="L451" t="s">
        <v>16099</v>
      </c>
      <c r="M451" t="s">
        <v>16125</v>
      </c>
    </row>
    <row r="452" spans="1:13">
      <c r="A452" t="s">
        <v>15794</v>
      </c>
      <c r="B452" t="s">
        <v>15794</v>
      </c>
      <c r="C452" t="s">
        <v>15795</v>
      </c>
      <c r="D452" t="s">
        <v>4310</v>
      </c>
      <c r="F452" t="str">
        <f>Config!$B$7</f>
        <v>SCH/Connector.SchLib</v>
      </c>
      <c r="G452" t="s">
        <v>14827</v>
      </c>
      <c r="H452" t="s">
        <v>15104</v>
      </c>
      <c r="I452" t="s">
        <v>15604</v>
      </c>
      <c r="K452" s="47" t="s">
        <v>16102</v>
      </c>
      <c r="L452" t="s">
        <v>16102</v>
      </c>
      <c r="M452" t="s">
        <v>16125</v>
      </c>
    </row>
    <row r="453" spans="1:13">
      <c r="A453" t="s">
        <v>15796</v>
      </c>
      <c r="B453" t="s">
        <v>15796</v>
      </c>
      <c r="C453" t="s">
        <v>15797</v>
      </c>
      <c r="D453" t="s">
        <v>4310</v>
      </c>
      <c r="F453" t="str">
        <f>Config!$B$7</f>
        <v>SCH/Connector.SchLib</v>
      </c>
      <c r="G453" t="s">
        <v>14827</v>
      </c>
      <c r="H453" t="s">
        <v>15104</v>
      </c>
      <c r="I453" t="s">
        <v>15605</v>
      </c>
      <c r="K453" s="47" t="s">
        <v>16102</v>
      </c>
      <c r="L453" t="s">
        <v>16112</v>
      </c>
      <c r="M453" t="s">
        <v>16125</v>
      </c>
    </row>
    <row r="454" spans="1:13">
      <c r="A454" t="s">
        <v>15798</v>
      </c>
      <c r="B454" t="s">
        <v>15798</v>
      </c>
      <c r="C454" t="s">
        <v>15799</v>
      </c>
      <c r="D454" t="s">
        <v>4310</v>
      </c>
      <c r="F454" t="str">
        <f>Config!$B$7</f>
        <v>SCH/Connector.SchLib</v>
      </c>
      <c r="G454" t="s">
        <v>14827</v>
      </c>
      <c r="H454" t="s">
        <v>15104</v>
      </c>
      <c r="I454" t="s">
        <v>15606</v>
      </c>
      <c r="K454" s="47" t="s">
        <v>16103</v>
      </c>
      <c r="L454" t="s">
        <v>16094</v>
      </c>
      <c r="M454" t="s">
        <v>16125</v>
      </c>
    </row>
    <row r="455" spans="1:13">
      <c r="A455" t="s">
        <v>15800</v>
      </c>
      <c r="B455" t="s">
        <v>15800</v>
      </c>
      <c r="C455" t="s">
        <v>15801</v>
      </c>
      <c r="D455" t="s">
        <v>4310</v>
      </c>
      <c r="F455" t="str">
        <f>Config!$B$7</f>
        <v>SCH/Connector.SchLib</v>
      </c>
      <c r="G455" t="s">
        <v>14827</v>
      </c>
      <c r="H455" t="s">
        <v>15104</v>
      </c>
      <c r="I455" t="s">
        <v>15607</v>
      </c>
      <c r="K455" s="47" t="s">
        <v>16103</v>
      </c>
      <c r="L455" t="s">
        <v>16095</v>
      </c>
      <c r="M455" t="s">
        <v>16125</v>
      </c>
    </row>
    <row r="456" spans="1:13">
      <c r="A456" t="s">
        <v>15802</v>
      </c>
      <c r="B456" t="s">
        <v>15802</v>
      </c>
      <c r="C456" t="s">
        <v>15803</v>
      </c>
      <c r="D456" t="s">
        <v>4310</v>
      </c>
      <c r="F456" t="str">
        <f>Config!$B$7</f>
        <v>SCH/Connector.SchLib</v>
      </c>
      <c r="G456" t="s">
        <v>14827</v>
      </c>
      <c r="H456" t="s">
        <v>15104</v>
      </c>
      <c r="I456" t="s">
        <v>15608</v>
      </c>
      <c r="K456" s="47" t="s">
        <v>16103</v>
      </c>
      <c r="L456" t="s">
        <v>16107</v>
      </c>
      <c r="M456" t="s">
        <v>16125</v>
      </c>
    </row>
    <row r="457" spans="1:13">
      <c r="A457" t="s">
        <v>15804</v>
      </c>
      <c r="B457" t="s">
        <v>15804</v>
      </c>
      <c r="C457" t="s">
        <v>15805</v>
      </c>
      <c r="D457" t="s">
        <v>4310</v>
      </c>
      <c r="F457" t="str">
        <f>Config!$B$7</f>
        <v>SCH/Connector.SchLib</v>
      </c>
      <c r="G457" t="s">
        <v>14827</v>
      </c>
      <c r="H457" t="s">
        <v>15104</v>
      </c>
      <c r="I457" t="s">
        <v>15609</v>
      </c>
      <c r="K457" s="47" t="s">
        <v>16103</v>
      </c>
      <c r="L457" t="s">
        <v>16100</v>
      </c>
      <c r="M457" t="s">
        <v>16125</v>
      </c>
    </row>
    <row r="458" spans="1:13">
      <c r="A458" t="s">
        <v>15806</v>
      </c>
      <c r="B458" t="s">
        <v>15806</v>
      </c>
      <c r="C458" t="s">
        <v>15807</v>
      </c>
      <c r="D458" t="s">
        <v>4310</v>
      </c>
      <c r="F458" t="str">
        <f>Config!$B$7</f>
        <v>SCH/Connector.SchLib</v>
      </c>
      <c r="G458" t="s">
        <v>14827</v>
      </c>
      <c r="H458" t="s">
        <v>15104</v>
      </c>
      <c r="I458" t="s">
        <v>15610</v>
      </c>
      <c r="K458" s="47" t="s">
        <v>16103</v>
      </c>
      <c r="L458" t="s">
        <v>16108</v>
      </c>
      <c r="M458" t="s">
        <v>16125</v>
      </c>
    </row>
    <row r="459" spans="1:13">
      <c r="A459" t="s">
        <v>15808</v>
      </c>
      <c r="B459" t="s">
        <v>15808</v>
      </c>
      <c r="C459" t="s">
        <v>15809</v>
      </c>
      <c r="D459" t="s">
        <v>4310</v>
      </c>
      <c r="F459" t="str">
        <f>Config!$B$7</f>
        <v>SCH/Connector.SchLib</v>
      </c>
      <c r="G459" t="s">
        <v>14827</v>
      </c>
      <c r="H459" t="s">
        <v>15104</v>
      </c>
      <c r="I459" t="s">
        <v>15611</v>
      </c>
      <c r="K459" s="47" t="s">
        <v>16103</v>
      </c>
      <c r="L459" t="s">
        <v>16113</v>
      </c>
      <c r="M459" t="s">
        <v>16125</v>
      </c>
    </row>
    <row r="461" spans="1:13">
      <c r="A461" t="s">
        <v>14889</v>
      </c>
      <c r="B461" t="s">
        <v>14889</v>
      </c>
      <c r="C461" t="s">
        <v>14949</v>
      </c>
      <c r="D461" t="s">
        <v>4310</v>
      </c>
      <c r="F461" t="str">
        <f>Config!$B$7</f>
        <v>SCH/Connector.SchLib</v>
      </c>
      <c r="G461" t="s">
        <v>14827</v>
      </c>
      <c r="H461" t="s">
        <v>14979</v>
      </c>
      <c r="I461" t="s">
        <v>14857</v>
      </c>
      <c r="K461" s="47" t="s">
        <v>16093</v>
      </c>
      <c r="L461" t="s">
        <v>16093</v>
      </c>
      <c r="M461" t="s">
        <v>16117</v>
      </c>
    </row>
    <row r="462" spans="1:13">
      <c r="A462" t="s">
        <v>14890</v>
      </c>
      <c r="B462" t="s">
        <v>14890</v>
      </c>
      <c r="C462" t="s">
        <v>14950</v>
      </c>
      <c r="D462" t="s">
        <v>4310</v>
      </c>
      <c r="F462" t="str">
        <f>Config!$B$7</f>
        <v>SCH/Connector.SchLib</v>
      </c>
      <c r="G462" t="s">
        <v>14827</v>
      </c>
      <c r="H462" t="s">
        <v>14979</v>
      </c>
      <c r="I462" t="s">
        <v>14858</v>
      </c>
      <c r="K462" s="47" t="s">
        <v>16093</v>
      </c>
      <c r="L462" t="s">
        <v>16094</v>
      </c>
      <c r="M462" t="s">
        <v>16117</v>
      </c>
    </row>
    <row r="463" spans="1:13">
      <c r="A463" t="s">
        <v>14891</v>
      </c>
      <c r="B463" t="s">
        <v>14891</v>
      </c>
      <c r="C463" t="s">
        <v>14951</v>
      </c>
      <c r="D463" t="s">
        <v>4310</v>
      </c>
      <c r="F463" t="str">
        <f>Config!$B$7</f>
        <v>SCH/Connector.SchLib</v>
      </c>
      <c r="G463" t="s">
        <v>14827</v>
      </c>
      <c r="H463" t="s">
        <v>14979</v>
      </c>
      <c r="I463" t="s">
        <v>14829</v>
      </c>
      <c r="K463" s="47" t="s">
        <v>16094</v>
      </c>
      <c r="L463" t="s">
        <v>16093</v>
      </c>
      <c r="M463" t="s">
        <v>16117</v>
      </c>
    </row>
    <row r="464" spans="1:13">
      <c r="A464" t="s">
        <v>14892</v>
      </c>
      <c r="B464" t="s">
        <v>14892</v>
      </c>
      <c r="C464" t="s">
        <v>14952</v>
      </c>
      <c r="D464" t="s">
        <v>4310</v>
      </c>
      <c r="F464" t="str">
        <f>Config!$B$7</f>
        <v>SCH/Connector.SchLib</v>
      </c>
      <c r="G464" t="s">
        <v>14827</v>
      </c>
      <c r="H464" t="s">
        <v>14979</v>
      </c>
      <c r="I464" t="s">
        <v>14830</v>
      </c>
      <c r="K464" s="47" t="s">
        <v>16094</v>
      </c>
      <c r="L464" t="s">
        <v>16094</v>
      </c>
      <c r="M464" t="s">
        <v>16117</v>
      </c>
    </row>
    <row r="465" spans="1:13">
      <c r="A465" t="s">
        <v>14893</v>
      </c>
      <c r="B465" t="s">
        <v>14893</v>
      </c>
      <c r="C465" t="s">
        <v>14953</v>
      </c>
      <c r="D465" t="s">
        <v>4310</v>
      </c>
      <c r="F465" t="str">
        <f>Config!$B$7</f>
        <v>SCH/Connector.SchLib</v>
      </c>
      <c r="G465" t="s">
        <v>14827</v>
      </c>
      <c r="H465" t="s">
        <v>14979</v>
      </c>
      <c r="I465" t="s">
        <v>14831</v>
      </c>
      <c r="K465" s="47" t="s">
        <v>16094</v>
      </c>
      <c r="L465" t="s">
        <v>16095</v>
      </c>
      <c r="M465" t="s">
        <v>16117</v>
      </c>
    </row>
    <row r="466" spans="1:13">
      <c r="A466" t="s">
        <v>14894</v>
      </c>
      <c r="B466" t="s">
        <v>14894</v>
      </c>
      <c r="C466" t="s">
        <v>14954</v>
      </c>
      <c r="D466" t="s">
        <v>4310</v>
      </c>
      <c r="F466" t="str">
        <f>Config!$B$7</f>
        <v>SCH/Connector.SchLib</v>
      </c>
      <c r="G466" t="s">
        <v>14827</v>
      </c>
      <c r="H466" t="s">
        <v>14979</v>
      </c>
      <c r="I466" t="s">
        <v>14832</v>
      </c>
      <c r="K466" s="47" t="s">
        <v>16095</v>
      </c>
      <c r="L466" t="s">
        <v>16093</v>
      </c>
      <c r="M466" t="s">
        <v>16117</v>
      </c>
    </row>
    <row r="467" spans="1:13">
      <c r="A467" t="s">
        <v>14895</v>
      </c>
      <c r="B467" t="s">
        <v>14895</v>
      </c>
      <c r="C467" t="s">
        <v>14955</v>
      </c>
      <c r="D467" t="s">
        <v>4310</v>
      </c>
      <c r="F467" t="str">
        <f>Config!$B$7</f>
        <v>SCH/Connector.SchLib</v>
      </c>
      <c r="G467" t="s">
        <v>14827</v>
      </c>
      <c r="H467" t="s">
        <v>14979</v>
      </c>
      <c r="I467" t="s">
        <v>14833</v>
      </c>
      <c r="K467" s="47" t="s">
        <v>16095</v>
      </c>
      <c r="L467" t="s">
        <v>16094</v>
      </c>
      <c r="M467" t="s">
        <v>16117</v>
      </c>
    </row>
    <row r="468" spans="1:13">
      <c r="A468" t="s">
        <v>14896</v>
      </c>
      <c r="B468" t="s">
        <v>14896</v>
      </c>
      <c r="C468" t="s">
        <v>14956</v>
      </c>
      <c r="D468" t="s">
        <v>4310</v>
      </c>
      <c r="F468" t="str">
        <f>Config!$B$7</f>
        <v>SCH/Connector.SchLib</v>
      </c>
      <c r="G468" t="s">
        <v>14827</v>
      </c>
      <c r="H468" t="s">
        <v>14979</v>
      </c>
      <c r="I468" t="s">
        <v>14834</v>
      </c>
      <c r="K468" s="47" t="s">
        <v>16095</v>
      </c>
      <c r="L468" t="s">
        <v>16095</v>
      </c>
      <c r="M468" t="s">
        <v>16117</v>
      </c>
    </row>
    <row r="469" spans="1:13">
      <c r="A469" t="s">
        <v>14897</v>
      </c>
      <c r="B469" t="s">
        <v>14897</v>
      </c>
      <c r="C469" t="s">
        <v>14957</v>
      </c>
      <c r="D469" t="s">
        <v>4310</v>
      </c>
      <c r="F469" t="str">
        <f>Config!$B$7</f>
        <v>SCH/Connector.SchLib</v>
      </c>
      <c r="G469" t="s">
        <v>14827</v>
      </c>
      <c r="H469" t="s">
        <v>14979</v>
      </c>
      <c r="I469" t="s">
        <v>14835</v>
      </c>
      <c r="K469" s="47" t="s">
        <v>16095</v>
      </c>
      <c r="L469" t="s">
        <v>16097</v>
      </c>
      <c r="M469" t="s">
        <v>16117</v>
      </c>
    </row>
    <row r="470" spans="1:13">
      <c r="A470" t="s">
        <v>14898</v>
      </c>
      <c r="B470" t="s">
        <v>14898</v>
      </c>
      <c r="C470" t="s">
        <v>14958</v>
      </c>
      <c r="D470" t="s">
        <v>4310</v>
      </c>
      <c r="F470" t="str">
        <f>Config!$B$7</f>
        <v>SCH/Connector.SchLib</v>
      </c>
      <c r="G470" t="s">
        <v>14827</v>
      </c>
      <c r="H470" t="s">
        <v>14979</v>
      </c>
      <c r="I470" t="s">
        <v>14836</v>
      </c>
      <c r="K470" s="47" t="s">
        <v>16096</v>
      </c>
      <c r="L470" t="s">
        <v>16104</v>
      </c>
      <c r="M470" t="s">
        <v>16117</v>
      </c>
    </row>
    <row r="471" spans="1:13">
      <c r="A471" t="s">
        <v>14899</v>
      </c>
      <c r="B471" t="s">
        <v>14899</v>
      </c>
      <c r="C471" t="s">
        <v>14959</v>
      </c>
      <c r="D471" t="s">
        <v>4310</v>
      </c>
      <c r="F471" t="str">
        <f>Config!$B$7</f>
        <v>SCH/Connector.SchLib</v>
      </c>
      <c r="G471" t="s">
        <v>14827</v>
      </c>
      <c r="H471" t="s">
        <v>14979</v>
      </c>
      <c r="I471" t="s">
        <v>14837</v>
      </c>
      <c r="K471" s="47" t="s">
        <v>16096</v>
      </c>
      <c r="L471" t="s">
        <v>16096</v>
      </c>
      <c r="M471" t="s">
        <v>16117</v>
      </c>
    </row>
    <row r="472" spans="1:13">
      <c r="A472" t="s">
        <v>14900</v>
      </c>
      <c r="B472" t="s">
        <v>14900</v>
      </c>
      <c r="C472" t="s">
        <v>14960</v>
      </c>
      <c r="D472" t="s">
        <v>4310</v>
      </c>
      <c r="F472" t="str">
        <f>Config!$B$7</f>
        <v>SCH/Connector.SchLib</v>
      </c>
      <c r="G472" t="s">
        <v>14827</v>
      </c>
      <c r="H472" t="s">
        <v>14979</v>
      </c>
      <c r="I472" t="s">
        <v>14838</v>
      </c>
      <c r="K472" s="47" t="s">
        <v>16096</v>
      </c>
      <c r="L472" t="s">
        <v>16098</v>
      </c>
      <c r="M472" t="s">
        <v>16117</v>
      </c>
    </row>
    <row r="473" spans="1:13">
      <c r="A473" t="s">
        <v>14901</v>
      </c>
      <c r="B473" t="s">
        <v>14901</v>
      </c>
      <c r="C473" t="s">
        <v>14961</v>
      </c>
      <c r="D473" t="s">
        <v>4310</v>
      </c>
      <c r="F473" t="str">
        <f>Config!$B$7</f>
        <v>SCH/Connector.SchLib</v>
      </c>
      <c r="G473" t="s">
        <v>14827</v>
      </c>
      <c r="H473" t="s">
        <v>14979</v>
      </c>
      <c r="I473" t="s">
        <v>14839</v>
      </c>
      <c r="K473" s="47" t="s">
        <v>16097</v>
      </c>
      <c r="L473" t="s">
        <v>16094</v>
      </c>
      <c r="M473" t="s">
        <v>16117</v>
      </c>
    </row>
    <row r="474" spans="1:13">
      <c r="A474" t="s">
        <v>14902</v>
      </c>
      <c r="B474" t="s">
        <v>14902</v>
      </c>
      <c r="C474" t="s">
        <v>14962</v>
      </c>
      <c r="D474" t="s">
        <v>4310</v>
      </c>
      <c r="F474" t="str">
        <f>Config!$B$7</f>
        <v>SCH/Connector.SchLib</v>
      </c>
      <c r="G474" t="s">
        <v>14827</v>
      </c>
      <c r="H474" t="s">
        <v>14979</v>
      </c>
      <c r="I474" t="s">
        <v>14840</v>
      </c>
      <c r="K474" s="47" t="s">
        <v>16097</v>
      </c>
      <c r="L474" t="s">
        <v>16095</v>
      </c>
      <c r="M474" t="s">
        <v>16117</v>
      </c>
    </row>
    <row r="475" spans="1:13">
      <c r="A475" t="s">
        <v>14903</v>
      </c>
      <c r="B475" t="s">
        <v>14903</v>
      </c>
      <c r="C475" t="s">
        <v>14963</v>
      </c>
      <c r="D475" t="s">
        <v>4310</v>
      </c>
      <c r="F475" t="str">
        <f>Config!$B$7</f>
        <v>SCH/Connector.SchLib</v>
      </c>
      <c r="G475" t="s">
        <v>14827</v>
      </c>
      <c r="H475" t="s">
        <v>14979</v>
      </c>
      <c r="I475" t="s">
        <v>14841</v>
      </c>
      <c r="K475" s="47" t="s">
        <v>16097</v>
      </c>
      <c r="L475" t="s">
        <v>16097</v>
      </c>
      <c r="M475" t="s">
        <v>16117</v>
      </c>
    </row>
    <row r="476" spans="1:13">
      <c r="A476" t="s">
        <v>14904</v>
      </c>
      <c r="B476" t="s">
        <v>14904</v>
      </c>
      <c r="C476" t="s">
        <v>14964</v>
      </c>
      <c r="D476" t="s">
        <v>4310</v>
      </c>
      <c r="F476" t="str">
        <f>Config!$B$7</f>
        <v>SCH/Connector.SchLib</v>
      </c>
      <c r="G476" t="s">
        <v>14827</v>
      </c>
      <c r="H476" t="s">
        <v>14979</v>
      </c>
      <c r="I476" t="s">
        <v>14842</v>
      </c>
      <c r="K476" s="47" t="s">
        <v>16097</v>
      </c>
      <c r="L476" t="s">
        <v>16099</v>
      </c>
      <c r="M476" t="s">
        <v>16117</v>
      </c>
    </row>
    <row r="477" spans="1:13">
      <c r="A477" t="s">
        <v>14905</v>
      </c>
      <c r="B477" t="s">
        <v>14905</v>
      </c>
      <c r="C477" t="s">
        <v>14965</v>
      </c>
      <c r="D477" t="s">
        <v>4310</v>
      </c>
      <c r="F477" t="str">
        <f>Config!$B$7</f>
        <v>SCH/Connector.SchLib</v>
      </c>
      <c r="G477" t="s">
        <v>14827</v>
      </c>
      <c r="H477" t="s">
        <v>14979</v>
      </c>
      <c r="I477" t="s">
        <v>14843</v>
      </c>
      <c r="K477" s="47" t="s">
        <v>16098</v>
      </c>
      <c r="L477" t="s">
        <v>16104</v>
      </c>
      <c r="M477" t="s">
        <v>16117</v>
      </c>
    </row>
    <row r="478" spans="1:13">
      <c r="A478" t="s">
        <v>14906</v>
      </c>
      <c r="B478" t="s">
        <v>14906</v>
      </c>
      <c r="C478" t="s">
        <v>14966</v>
      </c>
      <c r="D478" t="s">
        <v>4310</v>
      </c>
      <c r="F478" t="str">
        <f>Config!$B$7</f>
        <v>SCH/Connector.SchLib</v>
      </c>
      <c r="G478" t="s">
        <v>14827</v>
      </c>
      <c r="H478" t="s">
        <v>14979</v>
      </c>
      <c r="I478" t="s">
        <v>14844</v>
      </c>
      <c r="K478" s="47" t="s">
        <v>16098</v>
      </c>
      <c r="L478" t="s">
        <v>16096</v>
      </c>
      <c r="M478" t="s">
        <v>16117</v>
      </c>
    </row>
    <row r="479" spans="1:13">
      <c r="A479" t="s">
        <v>14907</v>
      </c>
      <c r="B479" t="s">
        <v>14907</v>
      </c>
      <c r="C479" t="s">
        <v>14967</v>
      </c>
      <c r="D479" t="s">
        <v>4310</v>
      </c>
      <c r="F479" t="str">
        <f>Config!$B$7</f>
        <v>SCH/Connector.SchLib</v>
      </c>
      <c r="G479" t="s">
        <v>14827</v>
      </c>
      <c r="H479" t="s">
        <v>14979</v>
      </c>
      <c r="I479" t="s">
        <v>14845</v>
      </c>
      <c r="K479" s="47" t="s">
        <v>16098</v>
      </c>
      <c r="L479" t="s">
        <v>16098</v>
      </c>
      <c r="M479" t="s">
        <v>16117</v>
      </c>
    </row>
    <row r="480" spans="1:13">
      <c r="A480" t="s">
        <v>14908</v>
      </c>
      <c r="B480" t="s">
        <v>14908</v>
      </c>
      <c r="C480" t="s">
        <v>14968</v>
      </c>
      <c r="D480" t="s">
        <v>4310</v>
      </c>
      <c r="F480" t="str">
        <f>Config!$B$7</f>
        <v>SCH/Connector.SchLib</v>
      </c>
      <c r="G480" t="s">
        <v>14827</v>
      </c>
      <c r="H480" t="s">
        <v>14979</v>
      </c>
      <c r="I480" t="s">
        <v>14846</v>
      </c>
      <c r="K480" s="47" t="s">
        <v>16098</v>
      </c>
      <c r="L480" t="s">
        <v>16101</v>
      </c>
      <c r="M480" t="s">
        <v>16117</v>
      </c>
    </row>
    <row r="481" spans="1:13">
      <c r="A481" t="s">
        <v>14909</v>
      </c>
      <c r="B481" t="s">
        <v>14909</v>
      </c>
      <c r="C481" t="s">
        <v>14969</v>
      </c>
      <c r="D481" t="s">
        <v>4310</v>
      </c>
      <c r="F481" t="str">
        <f>Config!$B$7</f>
        <v>SCH/Connector.SchLib</v>
      </c>
      <c r="G481" t="s">
        <v>14827</v>
      </c>
      <c r="H481" t="s">
        <v>14979</v>
      </c>
      <c r="I481" t="s">
        <v>14847</v>
      </c>
      <c r="K481" s="47" t="s">
        <v>16099</v>
      </c>
      <c r="L481" t="s">
        <v>16105</v>
      </c>
      <c r="M481" t="s">
        <v>16117</v>
      </c>
    </row>
    <row r="482" spans="1:13">
      <c r="A482" t="s">
        <v>14910</v>
      </c>
      <c r="B482" t="s">
        <v>14910</v>
      </c>
      <c r="C482" t="s">
        <v>14970</v>
      </c>
      <c r="D482" t="s">
        <v>4310</v>
      </c>
      <c r="F482" t="str">
        <f>Config!$B$7</f>
        <v>SCH/Connector.SchLib</v>
      </c>
      <c r="G482" t="s">
        <v>14827</v>
      </c>
      <c r="H482" t="s">
        <v>14979</v>
      </c>
      <c r="I482" t="s">
        <v>14848</v>
      </c>
      <c r="K482" s="47" t="s">
        <v>16099</v>
      </c>
      <c r="L482" t="s">
        <v>16095</v>
      </c>
      <c r="M482" t="s">
        <v>16117</v>
      </c>
    </row>
    <row r="483" spans="1:13">
      <c r="A483" t="s">
        <v>14911</v>
      </c>
      <c r="B483" t="s">
        <v>14911</v>
      </c>
      <c r="C483" t="s">
        <v>14971</v>
      </c>
      <c r="D483" t="s">
        <v>4310</v>
      </c>
      <c r="F483" t="str">
        <f>Config!$B$7</f>
        <v>SCH/Connector.SchLib</v>
      </c>
      <c r="G483" t="s">
        <v>14827</v>
      </c>
      <c r="H483" t="s">
        <v>14979</v>
      </c>
      <c r="I483" t="s">
        <v>14849</v>
      </c>
      <c r="K483" s="47" t="s">
        <v>16099</v>
      </c>
      <c r="L483" t="s">
        <v>16097</v>
      </c>
      <c r="M483" t="s">
        <v>16117</v>
      </c>
    </row>
    <row r="484" spans="1:13">
      <c r="A484" t="s">
        <v>14912</v>
      </c>
      <c r="B484" t="s">
        <v>14912</v>
      </c>
      <c r="C484" t="s">
        <v>14972</v>
      </c>
      <c r="D484" t="s">
        <v>4310</v>
      </c>
      <c r="F484" t="str">
        <f>Config!$B$7</f>
        <v>SCH/Connector.SchLib</v>
      </c>
      <c r="G484" t="s">
        <v>14827</v>
      </c>
      <c r="H484" t="s">
        <v>14979</v>
      </c>
      <c r="I484" t="s">
        <v>14850</v>
      </c>
      <c r="K484" s="47" t="s">
        <v>16099</v>
      </c>
      <c r="L484" t="s">
        <v>16099</v>
      </c>
      <c r="M484" t="s">
        <v>16117</v>
      </c>
    </row>
    <row r="485" spans="1:13">
      <c r="A485" t="s">
        <v>14913</v>
      </c>
      <c r="B485" t="s">
        <v>14913</v>
      </c>
      <c r="C485" t="s">
        <v>14973</v>
      </c>
      <c r="D485" t="s">
        <v>4310</v>
      </c>
      <c r="F485" t="str">
        <f>Config!$B$7</f>
        <v>SCH/Connector.SchLib</v>
      </c>
      <c r="G485" t="s">
        <v>14827</v>
      </c>
      <c r="H485" t="s">
        <v>14979</v>
      </c>
      <c r="I485" t="s">
        <v>14851</v>
      </c>
      <c r="K485" s="47" t="s">
        <v>16099</v>
      </c>
      <c r="L485" t="s">
        <v>16102</v>
      </c>
      <c r="M485" t="s">
        <v>16117</v>
      </c>
    </row>
    <row r="486" spans="1:13">
      <c r="A486" t="s">
        <v>14914</v>
      </c>
      <c r="B486" t="s">
        <v>14914</v>
      </c>
      <c r="C486" t="s">
        <v>14974</v>
      </c>
      <c r="D486" t="s">
        <v>4310</v>
      </c>
      <c r="F486" t="str">
        <f>Config!$B$7</f>
        <v>SCH/Connector.SchLib</v>
      </c>
      <c r="G486" t="s">
        <v>14827</v>
      </c>
      <c r="H486" t="s">
        <v>14979</v>
      </c>
      <c r="I486" t="s">
        <v>14852</v>
      </c>
      <c r="K486" s="47" t="s">
        <v>16100</v>
      </c>
      <c r="L486" t="s">
        <v>16094</v>
      </c>
      <c r="M486" t="s">
        <v>16117</v>
      </c>
    </row>
    <row r="487" spans="1:13">
      <c r="A487" t="s">
        <v>15650</v>
      </c>
      <c r="B487" t="s">
        <v>15650</v>
      </c>
      <c r="C487" t="s">
        <v>15670</v>
      </c>
      <c r="D487" t="s">
        <v>4310</v>
      </c>
      <c r="F487" t="str">
        <f>Config!$B$7</f>
        <v>SCH/Connector.SchLib</v>
      </c>
      <c r="G487" t="s">
        <v>14827</v>
      </c>
      <c r="H487" t="s">
        <v>14979</v>
      </c>
      <c r="I487" t="s">
        <v>15590</v>
      </c>
      <c r="K487" s="47" t="s">
        <v>16100</v>
      </c>
      <c r="L487" t="s">
        <v>16095</v>
      </c>
      <c r="M487" t="s">
        <v>16117</v>
      </c>
    </row>
    <row r="488" spans="1:13">
      <c r="A488" t="s">
        <v>14915</v>
      </c>
      <c r="B488" t="s">
        <v>14915</v>
      </c>
      <c r="C488" t="s">
        <v>14975</v>
      </c>
      <c r="D488" t="s">
        <v>4310</v>
      </c>
      <c r="F488" t="str">
        <f>Config!$B$7</f>
        <v>SCH/Connector.SchLib</v>
      </c>
      <c r="G488" t="s">
        <v>14827</v>
      </c>
      <c r="H488" t="s">
        <v>14979</v>
      </c>
      <c r="I488" t="s">
        <v>14853</v>
      </c>
      <c r="K488" s="47" t="s">
        <v>16100</v>
      </c>
      <c r="L488" t="s">
        <v>16106</v>
      </c>
      <c r="M488" t="s">
        <v>16117</v>
      </c>
    </row>
    <row r="489" spans="1:13">
      <c r="A489" t="s">
        <v>14916</v>
      </c>
      <c r="B489" t="s">
        <v>14916</v>
      </c>
      <c r="C489" t="s">
        <v>14976</v>
      </c>
      <c r="D489" t="s">
        <v>4310</v>
      </c>
      <c r="F489" t="str">
        <f>Config!$B$7</f>
        <v>SCH/Connector.SchLib</v>
      </c>
      <c r="G489" t="s">
        <v>14827</v>
      </c>
      <c r="H489" t="s">
        <v>14979</v>
      </c>
      <c r="I489" t="s">
        <v>14854</v>
      </c>
      <c r="K489" s="47" t="s">
        <v>16100</v>
      </c>
      <c r="L489" t="s">
        <v>16107</v>
      </c>
      <c r="M489" t="s">
        <v>16117</v>
      </c>
    </row>
    <row r="490" spans="1:13">
      <c r="A490" t="s">
        <v>14917</v>
      </c>
      <c r="B490" t="s">
        <v>14917</v>
      </c>
      <c r="C490" t="s">
        <v>14977</v>
      </c>
      <c r="D490" t="s">
        <v>4310</v>
      </c>
      <c r="F490" t="str">
        <f>Config!$B$7</f>
        <v>SCH/Connector.SchLib</v>
      </c>
      <c r="G490" t="s">
        <v>14827</v>
      </c>
      <c r="H490" t="s">
        <v>14979</v>
      </c>
      <c r="I490" t="s">
        <v>14855</v>
      </c>
      <c r="K490" s="47" t="s">
        <v>16100</v>
      </c>
      <c r="L490" t="s">
        <v>16100</v>
      </c>
      <c r="M490" t="s">
        <v>16117</v>
      </c>
    </row>
    <row r="491" spans="1:13">
      <c r="A491" t="s">
        <v>14918</v>
      </c>
      <c r="B491" t="s">
        <v>14918</v>
      </c>
      <c r="C491" t="s">
        <v>14978</v>
      </c>
      <c r="D491" t="s">
        <v>4310</v>
      </c>
      <c r="F491" t="str">
        <f>Config!$B$7</f>
        <v>SCH/Connector.SchLib</v>
      </c>
      <c r="G491" t="s">
        <v>14827</v>
      </c>
      <c r="H491" t="s">
        <v>14979</v>
      </c>
      <c r="I491" t="s">
        <v>14856</v>
      </c>
      <c r="K491" s="47" t="s">
        <v>16100</v>
      </c>
      <c r="L491" t="s">
        <v>16108</v>
      </c>
      <c r="M491" t="s">
        <v>16117</v>
      </c>
    </row>
    <row r="492" spans="1:13">
      <c r="A492" t="s">
        <v>15651</v>
      </c>
      <c r="B492" t="s">
        <v>15651</v>
      </c>
      <c r="C492" t="s">
        <v>15671</v>
      </c>
      <c r="D492" t="s">
        <v>4310</v>
      </c>
      <c r="F492" t="str">
        <f>Config!$B$7</f>
        <v>SCH/Connector.SchLib</v>
      </c>
      <c r="G492" t="s">
        <v>14827</v>
      </c>
      <c r="H492" t="s">
        <v>14979</v>
      </c>
      <c r="I492" t="s">
        <v>15593</v>
      </c>
      <c r="K492" s="47" t="s">
        <v>16101</v>
      </c>
      <c r="L492" t="s">
        <v>16109</v>
      </c>
      <c r="M492" t="s">
        <v>16117</v>
      </c>
    </row>
    <row r="493" spans="1:13">
      <c r="A493" t="s">
        <v>15652</v>
      </c>
      <c r="B493" t="s">
        <v>15652</v>
      </c>
      <c r="C493" t="s">
        <v>15672</v>
      </c>
      <c r="D493" t="s">
        <v>4310</v>
      </c>
      <c r="F493" t="str">
        <f>Config!$B$7</f>
        <v>SCH/Connector.SchLib</v>
      </c>
      <c r="G493" t="s">
        <v>14827</v>
      </c>
      <c r="H493" t="s">
        <v>14979</v>
      </c>
      <c r="I493" t="s">
        <v>15594</v>
      </c>
      <c r="K493" s="47" t="s">
        <v>16101</v>
      </c>
      <c r="L493" t="s">
        <v>16095</v>
      </c>
      <c r="M493" t="s">
        <v>16117</v>
      </c>
    </row>
    <row r="494" spans="1:13">
      <c r="A494" t="s">
        <v>15653</v>
      </c>
      <c r="B494" t="s">
        <v>15653</v>
      </c>
      <c r="C494" t="s">
        <v>15673</v>
      </c>
      <c r="D494" t="s">
        <v>4310</v>
      </c>
      <c r="F494" t="str">
        <f>Config!$B$7</f>
        <v>SCH/Connector.SchLib</v>
      </c>
      <c r="G494" t="s">
        <v>14827</v>
      </c>
      <c r="H494" t="s">
        <v>14979</v>
      </c>
      <c r="I494" t="s">
        <v>15595</v>
      </c>
      <c r="K494" s="47" t="s">
        <v>16101</v>
      </c>
      <c r="L494" t="s">
        <v>16096</v>
      </c>
      <c r="M494" t="s">
        <v>16117</v>
      </c>
    </row>
    <row r="495" spans="1:13">
      <c r="A495" t="s">
        <v>15654</v>
      </c>
      <c r="B495" t="s">
        <v>15654</v>
      </c>
      <c r="C495" t="s">
        <v>15674</v>
      </c>
      <c r="D495" t="s">
        <v>4310</v>
      </c>
      <c r="F495" t="str">
        <f>Config!$B$7</f>
        <v>SCH/Connector.SchLib</v>
      </c>
      <c r="G495" t="s">
        <v>14827</v>
      </c>
      <c r="H495" t="s">
        <v>14979</v>
      </c>
      <c r="I495" t="s">
        <v>15596</v>
      </c>
      <c r="K495" s="47" t="s">
        <v>16101</v>
      </c>
      <c r="L495" t="s">
        <v>16098</v>
      </c>
      <c r="M495" t="s">
        <v>16117</v>
      </c>
    </row>
    <row r="496" spans="1:13">
      <c r="A496" t="s">
        <v>15655</v>
      </c>
      <c r="B496" t="s">
        <v>15655</v>
      </c>
      <c r="C496" t="s">
        <v>15675</v>
      </c>
      <c r="D496" t="s">
        <v>4310</v>
      </c>
      <c r="F496" t="str">
        <f>Config!$B$7</f>
        <v>SCH/Connector.SchLib</v>
      </c>
      <c r="G496" t="s">
        <v>14827</v>
      </c>
      <c r="H496" t="s">
        <v>14979</v>
      </c>
      <c r="I496" t="s">
        <v>15597</v>
      </c>
      <c r="K496" s="47" t="s">
        <v>16101</v>
      </c>
      <c r="L496" t="s">
        <v>16101</v>
      </c>
      <c r="M496" t="s">
        <v>16117</v>
      </c>
    </row>
    <row r="497" spans="1:13">
      <c r="A497" t="s">
        <v>15656</v>
      </c>
      <c r="B497" t="s">
        <v>15656</v>
      </c>
      <c r="C497" t="s">
        <v>15676</v>
      </c>
      <c r="D497" t="s">
        <v>4310</v>
      </c>
      <c r="F497" t="str">
        <f>Config!$B$7</f>
        <v>SCH/Connector.SchLib</v>
      </c>
      <c r="G497" t="s">
        <v>14827</v>
      </c>
      <c r="H497" t="s">
        <v>14979</v>
      </c>
      <c r="I497" t="s">
        <v>15598</v>
      </c>
      <c r="K497" s="47" t="s">
        <v>16101</v>
      </c>
      <c r="L497" t="s">
        <v>16110</v>
      </c>
      <c r="M497" t="s">
        <v>16117</v>
      </c>
    </row>
    <row r="498" spans="1:13">
      <c r="A498" t="s">
        <v>15657</v>
      </c>
      <c r="B498" t="s">
        <v>15657</v>
      </c>
      <c r="C498" t="s">
        <v>15677</v>
      </c>
      <c r="D498" t="s">
        <v>4310</v>
      </c>
      <c r="F498" t="str">
        <f>Config!$B$7</f>
        <v>SCH/Connector.SchLib</v>
      </c>
      <c r="G498" t="s">
        <v>14827</v>
      </c>
      <c r="H498" t="s">
        <v>14979</v>
      </c>
      <c r="I498" t="s">
        <v>15599</v>
      </c>
      <c r="K498" s="47" t="s">
        <v>16102</v>
      </c>
      <c r="L498" t="s">
        <v>16094</v>
      </c>
      <c r="M498" t="s">
        <v>16117</v>
      </c>
    </row>
    <row r="499" spans="1:13">
      <c r="A499" t="s">
        <v>15658</v>
      </c>
      <c r="B499" t="s">
        <v>15658</v>
      </c>
      <c r="C499" t="s">
        <v>15678</v>
      </c>
      <c r="D499" t="s">
        <v>4310</v>
      </c>
      <c r="F499" t="str">
        <f>Config!$B$7</f>
        <v>SCH/Connector.SchLib</v>
      </c>
      <c r="G499" t="s">
        <v>14827</v>
      </c>
      <c r="H499" t="s">
        <v>14979</v>
      </c>
      <c r="I499" t="s">
        <v>15600</v>
      </c>
      <c r="K499" s="47" t="s">
        <v>16102</v>
      </c>
      <c r="L499" t="s">
        <v>16111</v>
      </c>
      <c r="M499" t="s">
        <v>16117</v>
      </c>
    </row>
    <row r="500" spans="1:13">
      <c r="A500" t="s">
        <v>15659</v>
      </c>
      <c r="B500" t="s">
        <v>15659</v>
      </c>
      <c r="C500" t="s">
        <v>15679</v>
      </c>
      <c r="D500" t="s">
        <v>4310</v>
      </c>
      <c r="F500" t="str">
        <f>Config!$B$7</f>
        <v>SCH/Connector.SchLib</v>
      </c>
      <c r="G500" t="s">
        <v>14827</v>
      </c>
      <c r="H500" t="s">
        <v>14979</v>
      </c>
      <c r="I500" t="s">
        <v>15601</v>
      </c>
      <c r="K500" s="47" t="s">
        <v>16102</v>
      </c>
      <c r="L500" t="s">
        <v>16095</v>
      </c>
      <c r="M500" t="s">
        <v>16117</v>
      </c>
    </row>
    <row r="501" spans="1:13">
      <c r="A501" t="s">
        <v>15660</v>
      </c>
      <c r="B501" t="s">
        <v>15660</v>
      </c>
      <c r="C501" t="s">
        <v>15680</v>
      </c>
      <c r="D501" t="s">
        <v>4310</v>
      </c>
      <c r="F501" t="str">
        <f>Config!$B$7</f>
        <v>SCH/Connector.SchLib</v>
      </c>
      <c r="G501" t="s">
        <v>14827</v>
      </c>
      <c r="H501" t="s">
        <v>14979</v>
      </c>
      <c r="I501" t="s">
        <v>15602</v>
      </c>
      <c r="K501" s="47" t="s">
        <v>16102</v>
      </c>
      <c r="L501" t="s">
        <v>16097</v>
      </c>
      <c r="M501" t="s">
        <v>16117</v>
      </c>
    </row>
    <row r="502" spans="1:13">
      <c r="A502" t="s">
        <v>15661</v>
      </c>
      <c r="B502" t="s">
        <v>15661</v>
      </c>
      <c r="C502" t="s">
        <v>15681</v>
      </c>
      <c r="D502" t="s">
        <v>4310</v>
      </c>
      <c r="F502" t="str">
        <f>Config!$B$7</f>
        <v>SCH/Connector.SchLib</v>
      </c>
      <c r="G502" t="s">
        <v>14827</v>
      </c>
      <c r="H502" t="s">
        <v>14979</v>
      </c>
      <c r="I502" t="s">
        <v>15603</v>
      </c>
      <c r="K502" s="47" t="s">
        <v>16102</v>
      </c>
      <c r="L502" t="s">
        <v>16099</v>
      </c>
      <c r="M502" t="s">
        <v>16117</v>
      </c>
    </row>
    <row r="503" spans="1:13">
      <c r="A503" t="s">
        <v>15662</v>
      </c>
      <c r="B503" t="s">
        <v>15662</v>
      </c>
      <c r="C503" t="s">
        <v>15682</v>
      </c>
      <c r="D503" t="s">
        <v>4310</v>
      </c>
      <c r="F503" t="str">
        <f>Config!$B$7</f>
        <v>SCH/Connector.SchLib</v>
      </c>
      <c r="G503" t="s">
        <v>14827</v>
      </c>
      <c r="H503" t="s">
        <v>14979</v>
      </c>
      <c r="I503" t="s">
        <v>15604</v>
      </c>
      <c r="K503" s="47" t="s">
        <v>16102</v>
      </c>
      <c r="L503" t="s">
        <v>16102</v>
      </c>
      <c r="M503" t="s">
        <v>16117</v>
      </c>
    </row>
    <row r="504" spans="1:13">
      <c r="A504" t="s">
        <v>15663</v>
      </c>
      <c r="B504" t="s">
        <v>15663</v>
      </c>
      <c r="C504" t="s">
        <v>15683</v>
      </c>
      <c r="D504" t="s">
        <v>4310</v>
      </c>
      <c r="F504" t="str">
        <f>Config!$B$7</f>
        <v>SCH/Connector.SchLib</v>
      </c>
      <c r="G504" t="s">
        <v>14827</v>
      </c>
      <c r="H504" t="s">
        <v>14979</v>
      </c>
      <c r="I504" t="s">
        <v>15605</v>
      </c>
      <c r="K504" s="47" t="s">
        <v>16102</v>
      </c>
      <c r="L504" t="s">
        <v>16112</v>
      </c>
      <c r="M504" t="s">
        <v>16117</v>
      </c>
    </row>
    <row r="505" spans="1:13">
      <c r="A505" t="s">
        <v>15664</v>
      </c>
      <c r="B505" t="s">
        <v>15664</v>
      </c>
      <c r="C505" t="s">
        <v>15684</v>
      </c>
      <c r="D505" t="s">
        <v>4310</v>
      </c>
      <c r="F505" t="str">
        <f>Config!$B$7</f>
        <v>SCH/Connector.SchLib</v>
      </c>
      <c r="G505" t="s">
        <v>14827</v>
      </c>
      <c r="H505" t="s">
        <v>14979</v>
      </c>
      <c r="I505" t="s">
        <v>15606</v>
      </c>
      <c r="K505" s="47" t="s">
        <v>16103</v>
      </c>
      <c r="L505" t="s">
        <v>16094</v>
      </c>
      <c r="M505" t="s">
        <v>16117</v>
      </c>
    </row>
    <row r="506" spans="1:13">
      <c r="A506" t="s">
        <v>15665</v>
      </c>
      <c r="B506" t="s">
        <v>15665</v>
      </c>
      <c r="C506" t="s">
        <v>15685</v>
      </c>
      <c r="D506" t="s">
        <v>4310</v>
      </c>
      <c r="F506" t="str">
        <f>Config!$B$7</f>
        <v>SCH/Connector.SchLib</v>
      </c>
      <c r="G506" t="s">
        <v>14827</v>
      </c>
      <c r="H506" t="s">
        <v>14979</v>
      </c>
      <c r="I506" t="s">
        <v>15607</v>
      </c>
      <c r="K506" s="47" t="s">
        <v>16103</v>
      </c>
      <c r="L506" t="s">
        <v>16095</v>
      </c>
      <c r="M506" t="s">
        <v>16117</v>
      </c>
    </row>
    <row r="507" spans="1:13">
      <c r="A507" t="s">
        <v>15666</v>
      </c>
      <c r="B507" t="s">
        <v>15666</v>
      </c>
      <c r="C507" t="s">
        <v>15686</v>
      </c>
      <c r="D507" t="s">
        <v>4310</v>
      </c>
      <c r="F507" t="str">
        <f>Config!$B$7</f>
        <v>SCH/Connector.SchLib</v>
      </c>
      <c r="G507" t="s">
        <v>14827</v>
      </c>
      <c r="H507" t="s">
        <v>14979</v>
      </c>
      <c r="I507" t="s">
        <v>15608</v>
      </c>
      <c r="K507" s="47" t="s">
        <v>16103</v>
      </c>
      <c r="L507" t="s">
        <v>16107</v>
      </c>
      <c r="M507" t="s">
        <v>16117</v>
      </c>
    </row>
    <row r="508" spans="1:13">
      <c r="A508" t="s">
        <v>15667</v>
      </c>
      <c r="B508" t="s">
        <v>15667</v>
      </c>
      <c r="C508" t="s">
        <v>15687</v>
      </c>
      <c r="D508" t="s">
        <v>4310</v>
      </c>
      <c r="F508" t="str">
        <f>Config!$B$7</f>
        <v>SCH/Connector.SchLib</v>
      </c>
      <c r="G508" t="s">
        <v>14827</v>
      </c>
      <c r="H508" t="s">
        <v>14979</v>
      </c>
      <c r="I508" t="s">
        <v>15609</v>
      </c>
      <c r="K508" s="47" t="s">
        <v>16103</v>
      </c>
      <c r="L508" t="s">
        <v>16100</v>
      </c>
      <c r="M508" t="s">
        <v>16117</v>
      </c>
    </row>
    <row r="509" spans="1:13">
      <c r="A509" t="s">
        <v>15668</v>
      </c>
      <c r="B509" t="s">
        <v>15668</v>
      </c>
      <c r="C509" t="s">
        <v>15688</v>
      </c>
      <c r="D509" t="s">
        <v>4310</v>
      </c>
      <c r="F509" t="str">
        <f>Config!$B$7</f>
        <v>SCH/Connector.SchLib</v>
      </c>
      <c r="G509" t="s">
        <v>14827</v>
      </c>
      <c r="H509" t="s">
        <v>14979</v>
      </c>
      <c r="I509" t="s">
        <v>15610</v>
      </c>
      <c r="K509" s="47" t="s">
        <v>16103</v>
      </c>
      <c r="L509" t="s">
        <v>16108</v>
      </c>
      <c r="M509" t="s">
        <v>16117</v>
      </c>
    </row>
    <row r="510" spans="1:13">
      <c r="A510" t="s">
        <v>15669</v>
      </c>
      <c r="B510" t="s">
        <v>15669</v>
      </c>
      <c r="C510" t="s">
        <v>15689</v>
      </c>
      <c r="D510" t="s">
        <v>4310</v>
      </c>
      <c r="F510" t="str">
        <f>Config!$B$7</f>
        <v>SCH/Connector.SchLib</v>
      </c>
      <c r="G510" t="s">
        <v>14827</v>
      </c>
      <c r="H510" t="s">
        <v>14979</v>
      </c>
      <c r="I510" t="s">
        <v>15611</v>
      </c>
      <c r="K510" s="47" t="s">
        <v>16103</v>
      </c>
      <c r="L510" t="s">
        <v>16113</v>
      </c>
      <c r="M510" t="s">
        <v>16117</v>
      </c>
    </row>
    <row r="512" spans="1:13">
      <c r="A512" t="s">
        <v>15041</v>
      </c>
      <c r="B512" t="s">
        <v>15041</v>
      </c>
      <c r="C512" t="s">
        <v>15042</v>
      </c>
      <c r="D512" t="s">
        <v>4310</v>
      </c>
      <c r="F512" t="str">
        <f>Config!$B$7</f>
        <v>SCH/Connector.SchLib</v>
      </c>
      <c r="G512" t="s">
        <v>14827</v>
      </c>
      <c r="H512" t="s">
        <v>15043</v>
      </c>
      <c r="I512" t="s">
        <v>14857</v>
      </c>
      <c r="K512" s="47" t="s">
        <v>16093</v>
      </c>
      <c r="L512" t="s">
        <v>16093</v>
      </c>
      <c r="M512" t="s">
        <v>16116</v>
      </c>
    </row>
    <row r="513" spans="1:13">
      <c r="A513" t="s">
        <v>15044</v>
      </c>
      <c r="B513" t="s">
        <v>15044</v>
      </c>
      <c r="C513" t="s">
        <v>15045</v>
      </c>
      <c r="D513" t="s">
        <v>4310</v>
      </c>
      <c r="F513" t="str">
        <f>Config!$B$7</f>
        <v>SCH/Connector.SchLib</v>
      </c>
      <c r="G513" t="s">
        <v>14827</v>
      </c>
      <c r="H513" t="s">
        <v>15043</v>
      </c>
      <c r="I513" t="s">
        <v>14858</v>
      </c>
      <c r="K513" s="47" t="s">
        <v>16093</v>
      </c>
      <c r="L513" t="s">
        <v>16094</v>
      </c>
      <c r="M513" t="s">
        <v>16116</v>
      </c>
    </row>
    <row r="514" spans="1:13">
      <c r="A514" t="s">
        <v>15046</v>
      </c>
      <c r="B514" t="s">
        <v>15046</v>
      </c>
      <c r="C514" t="s">
        <v>15047</v>
      </c>
      <c r="D514" t="s">
        <v>4310</v>
      </c>
      <c r="F514" t="str">
        <f>Config!$B$7</f>
        <v>SCH/Connector.SchLib</v>
      </c>
      <c r="G514" t="s">
        <v>14827</v>
      </c>
      <c r="H514" t="s">
        <v>15043</v>
      </c>
      <c r="I514" t="s">
        <v>14829</v>
      </c>
      <c r="K514" s="47" t="s">
        <v>16094</v>
      </c>
      <c r="L514" t="s">
        <v>16093</v>
      </c>
      <c r="M514" t="s">
        <v>16116</v>
      </c>
    </row>
    <row r="515" spans="1:13">
      <c r="A515" t="s">
        <v>15048</v>
      </c>
      <c r="B515" t="s">
        <v>15048</v>
      </c>
      <c r="C515" t="s">
        <v>15049</v>
      </c>
      <c r="D515" t="s">
        <v>4310</v>
      </c>
      <c r="F515" t="str">
        <f>Config!$B$7</f>
        <v>SCH/Connector.SchLib</v>
      </c>
      <c r="G515" t="s">
        <v>14827</v>
      </c>
      <c r="H515" t="s">
        <v>15043</v>
      </c>
      <c r="I515" t="s">
        <v>14830</v>
      </c>
      <c r="K515" s="47" t="s">
        <v>16094</v>
      </c>
      <c r="L515" t="s">
        <v>16094</v>
      </c>
      <c r="M515" t="s">
        <v>16116</v>
      </c>
    </row>
    <row r="516" spans="1:13">
      <c r="A516" t="s">
        <v>15050</v>
      </c>
      <c r="B516" t="s">
        <v>15050</v>
      </c>
      <c r="C516" t="s">
        <v>15051</v>
      </c>
      <c r="D516" t="s">
        <v>4310</v>
      </c>
      <c r="F516" t="str">
        <f>Config!$B$7</f>
        <v>SCH/Connector.SchLib</v>
      </c>
      <c r="G516" t="s">
        <v>14827</v>
      </c>
      <c r="H516" t="s">
        <v>15043</v>
      </c>
      <c r="I516" t="s">
        <v>14831</v>
      </c>
      <c r="K516" s="47" t="s">
        <v>16094</v>
      </c>
      <c r="L516" t="s">
        <v>16095</v>
      </c>
      <c r="M516" t="s">
        <v>16116</v>
      </c>
    </row>
    <row r="517" spans="1:13">
      <c r="A517" t="s">
        <v>15052</v>
      </c>
      <c r="B517" t="s">
        <v>15052</v>
      </c>
      <c r="C517" t="s">
        <v>15053</v>
      </c>
      <c r="D517" t="s">
        <v>4310</v>
      </c>
      <c r="F517" t="str">
        <f>Config!$B$7</f>
        <v>SCH/Connector.SchLib</v>
      </c>
      <c r="G517" t="s">
        <v>14827</v>
      </c>
      <c r="H517" t="s">
        <v>15043</v>
      </c>
      <c r="I517" t="s">
        <v>14832</v>
      </c>
      <c r="K517" s="47" t="s">
        <v>16095</v>
      </c>
      <c r="L517" t="s">
        <v>16093</v>
      </c>
      <c r="M517" t="s">
        <v>16116</v>
      </c>
    </row>
    <row r="518" spans="1:13">
      <c r="A518" t="s">
        <v>15054</v>
      </c>
      <c r="B518" t="s">
        <v>15054</v>
      </c>
      <c r="C518" t="s">
        <v>15055</v>
      </c>
      <c r="D518" t="s">
        <v>4310</v>
      </c>
      <c r="F518" t="str">
        <f>Config!$B$7</f>
        <v>SCH/Connector.SchLib</v>
      </c>
      <c r="G518" t="s">
        <v>14827</v>
      </c>
      <c r="H518" t="s">
        <v>15043</v>
      </c>
      <c r="I518" t="s">
        <v>14833</v>
      </c>
      <c r="K518" s="47" t="s">
        <v>16095</v>
      </c>
      <c r="L518" t="s">
        <v>16094</v>
      </c>
      <c r="M518" t="s">
        <v>16116</v>
      </c>
    </row>
    <row r="519" spans="1:13">
      <c r="A519" t="s">
        <v>15056</v>
      </c>
      <c r="B519" t="s">
        <v>15056</v>
      </c>
      <c r="C519" t="s">
        <v>15057</v>
      </c>
      <c r="D519" t="s">
        <v>4310</v>
      </c>
      <c r="F519" t="str">
        <f>Config!$B$7</f>
        <v>SCH/Connector.SchLib</v>
      </c>
      <c r="G519" t="s">
        <v>14827</v>
      </c>
      <c r="H519" t="s">
        <v>15043</v>
      </c>
      <c r="I519" t="s">
        <v>14834</v>
      </c>
      <c r="K519" s="47" t="s">
        <v>16095</v>
      </c>
      <c r="L519" t="s">
        <v>16095</v>
      </c>
      <c r="M519" t="s">
        <v>16116</v>
      </c>
    </row>
    <row r="520" spans="1:13">
      <c r="A520" t="s">
        <v>15058</v>
      </c>
      <c r="B520" t="s">
        <v>15058</v>
      </c>
      <c r="C520" t="s">
        <v>15059</v>
      </c>
      <c r="D520" t="s">
        <v>4310</v>
      </c>
      <c r="F520" t="str">
        <f>Config!$B$7</f>
        <v>SCH/Connector.SchLib</v>
      </c>
      <c r="G520" t="s">
        <v>14827</v>
      </c>
      <c r="H520" t="s">
        <v>15043</v>
      </c>
      <c r="I520" t="s">
        <v>14835</v>
      </c>
      <c r="K520" s="47" t="s">
        <v>16095</v>
      </c>
      <c r="L520" t="s">
        <v>16097</v>
      </c>
      <c r="M520" t="s">
        <v>16116</v>
      </c>
    </row>
    <row r="521" spans="1:13">
      <c r="A521" t="s">
        <v>15060</v>
      </c>
      <c r="B521" t="s">
        <v>15060</v>
      </c>
      <c r="C521" t="s">
        <v>15061</v>
      </c>
      <c r="D521" t="s">
        <v>4310</v>
      </c>
      <c r="F521" t="str">
        <f>Config!$B$7</f>
        <v>SCH/Connector.SchLib</v>
      </c>
      <c r="G521" t="s">
        <v>14827</v>
      </c>
      <c r="H521" t="s">
        <v>15043</v>
      </c>
      <c r="I521" t="s">
        <v>14836</v>
      </c>
      <c r="K521" s="47" t="s">
        <v>16096</v>
      </c>
      <c r="L521" t="s">
        <v>16104</v>
      </c>
      <c r="M521" t="s">
        <v>16116</v>
      </c>
    </row>
    <row r="522" spans="1:13">
      <c r="A522" t="s">
        <v>15062</v>
      </c>
      <c r="B522" t="s">
        <v>15062</v>
      </c>
      <c r="C522" t="s">
        <v>15063</v>
      </c>
      <c r="D522" t="s">
        <v>4310</v>
      </c>
      <c r="F522" t="str">
        <f>Config!$B$7</f>
        <v>SCH/Connector.SchLib</v>
      </c>
      <c r="G522" t="s">
        <v>14827</v>
      </c>
      <c r="H522" t="s">
        <v>15043</v>
      </c>
      <c r="I522" t="s">
        <v>14837</v>
      </c>
      <c r="K522" s="47" t="s">
        <v>16096</v>
      </c>
      <c r="L522" t="s">
        <v>16096</v>
      </c>
      <c r="M522" t="s">
        <v>16116</v>
      </c>
    </row>
    <row r="523" spans="1:13">
      <c r="A523" t="s">
        <v>15064</v>
      </c>
      <c r="B523" t="s">
        <v>15064</v>
      </c>
      <c r="C523" t="s">
        <v>15065</v>
      </c>
      <c r="D523" t="s">
        <v>4310</v>
      </c>
      <c r="F523" t="str">
        <f>Config!$B$7</f>
        <v>SCH/Connector.SchLib</v>
      </c>
      <c r="G523" t="s">
        <v>14827</v>
      </c>
      <c r="H523" t="s">
        <v>15043</v>
      </c>
      <c r="I523" t="s">
        <v>14838</v>
      </c>
      <c r="K523" s="47" t="s">
        <v>16096</v>
      </c>
      <c r="L523" t="s">
        <v>16098</v>
      </c>
      <c r="M523" t="s">
        <v>16116</v>
      </c>
    </row>
    <row r="524" spans="1:13">
      <c r="A524" t="s">
        <v>15066</v>
      </c>
      <c r="B524" t="s">
        <v>15066</v>
      </c>
      <c r="C524" t="s">
        <v>15067</v>
      </c>
      <c r="D524" t="s">
        <v>4310</v>
      </c>
      <c r="F524" t="str">
        <f>Config!$B$7</f>
        <v>SCH/Connector.SchLib</v>
      </c>
      <c r="G524" t="s">
        <v>14827</v>
      </c>
      <c r="H524" t="s">
        <v>15043</v>
      </c>
      <c r="I524" t="s">
        <v>14839</v>
      </c>
      <c r="K524" s="47" t="s">
        <v>16097</v>
      </c>
      <c r="L524" t="s">
        <v>16094</v>
      </c>
      <c r="M524" t="s">
        <v>16116</v>
      </c>
    </row>
    <row r="525" spans="1:13">
      <c r="A525" t="s">
        <v>15068</v>
      </c>
      <c r="B525" t="s">
        <v>15068</v>
      </c>
      <c r="C525" t="s">
        <v>15069</v>
      </c>
      <c r="D525" t="s">
        <v>4310</v>
      </c>
      <c r="F525" t="str">
        <f>Config!$B$7</f>
        <v>SCH/Connector.SchLib</v>
      </c>
      <c r="G525" t="s">
        <v>14827</v>
      </c>
      <c r="H525" t="s">
        <v>15043</v>
      </c>
      <c r="I525" t="s">
        <v>14840</v>
      </c>
      <c r="K525" s="47" t="s">
        <v>16097</v>
      </c>
      <c r="L525" t="s">
        <v>16095</v>
      </c>
      <c r="M525" t="s">
        <v>16116</v>
      </c>
    </row>
    <row r="526" spans="1:13">
      <c r="A526" t="s">
        <v>15070</v>
      </c>
      <c r="B526" t="s">
        <v>15070</v>
      </c>
      <c r="C526" t="s">
        <v>15071</v>
      </c>
      <c r="D526" t="s">
        <v>4310</v>
      </c>
      <c r="F526" t="str">
        <f>Config!$B$7</f>
        <v>SCH/Connector.SchLib</v>
      </c>
      <c r="G526" t="s">
        <v>14827</v>
      </c>
      <c r="H526" t="s">
        <v>15043</v>
      </c>
      <c r="I526" t="s">
        <v>14841</v>
      </c>
      <c r="K526" s="47" t="s">
        <v>16097</v>
      </c>
      <c r="L526" t="s">
        <v>16097</v>
      </c>
      <c r="M526" t="s">
        <v>16116</v>
      </c>
    </row>
    <row r="527" spans="1:13">
      <c r="A527" t="s">
        <v>15072</v>
      </c>
      <c r="B527" t="s">
        <v>15072</v>
      </c>
      <c r="C527" t="s">
        <v>15073</v>
      </c>
      <c r="D527" t="s">
        <v>4310</v>
      </c>
      <c r="F527" t="str">
        <f>Config!$B$7</f>
        <v>SCH/Connector.SchLib</v>
      </c>
      <c r="G527" t="s">
        <v>14827</v>
      </c>
      <c r="H527" t="s">
        <v>15043</v>
      </c>
      <c r="I527" t="s">
        <v>14842</v>
      </c>
      <c r="K527" s="47" t="s">
        <v>16097</v>
      </c>
      <c r="L527" t="s">
        <v>16099</v>
      </c>
      <c r="M527" t="s">
        <v>16116</v>
      </c>
    </row>
    <row r="528" spans="1:13">
      <c r="A528" t="s">
        <v>15074</v>
      </c>
      <c r="B528" t="s">
        <v>15074</v>
      </c>
      <c r="C528" t="s">
        <v>15075</v>
      </c>
      <c r="D528" t="s">
        <v>4310</v>
      </c>
      <c r="F528" t="str">
        <f>Config!$B$7</f>
        <v>SCH/Connector.SchLib</v>
      </c>
      <c r="G528" t="s">
        <v>14827</v>
      </c>
      <c r="H528" t="s">
        <v>15043</v>
      </c>
      <c r="I528" t="s">
        <v>14843</v>
      </c>
      <c r="K528" s="47" t="s">
        <v>16098</v>
      </c>
      <c r="L528" t="s">
        <v>16104</v>
      </c>
      <c r="M528" t="s">
        <v>16116</v>
      </c>
    </row>
    <row r="529" spans="1:13">
      <c r="A529" t="s">
        <v>15076</v>
      </c>
      <c r="B529" t="s">
        <v>15076</v>
      </c>
      <c r="C529" t="s">
        <v>15077</v>
      </c>
      <c r="D529" t="s">
        <v>4310</v>
      </c>
      <c r="F529" t="str">
        <f>Config!$B$7</f>
        <v>SCH/Connector.SchLib</v>
      </c>
      <c r="G529" t="s">
        <v>14827</v>
      </c>
      <c r="H529" t="s">
        <v>15043</v>
      </c>
      <c r="I529" t="s">
        <v>14844</v>
      </c>
      <c r="K529" s="47" t="s">
        <v>16098</v>
      </c>
      <c r="L529" t="s">
        <v>16096</v>
      </c>
      <c r="M529" t="s">
        <v>16116</v>
      </c>
    </row>
    <row r="530" spans="1:13">
      <c r="A530" t="s">
        <v>15078</v>
      </c>
      <c r="B530" t="s">
        <v>15078</v>
      </c>
      <c r="C530" t="s">
        <v>15079</v>
      </c>
      <c r="D530" t="s">
        <v>4310</v>
      </c>
      <c r="F530" t="str">
        <f>Config!$B$7</f>
        <v>SCH/Connector.SchLib</v>
      </c>
      <c r="G530" t="s">
        <v>14827</v>
      </c>
      <c r="H530" t="s">
        <v>15043</v>
      </c>
      <c r="I530" t="s">
        <v>14845</v>
      </c>
      <c r="K530" s="47" t="s">
        <v>16098</v>
      </c>
      <c r="L530" t="s">
        <v>16098</v>
      </c>
      <c r="M530" t="s">
        <v>16116</v>
      </c>
    </row>
    <row r="531" spans="1:13">
      <c r="A531" t="s">
        <v>15080</v>
      </c>
      <c r="B531" t="s">
        <v>15080</v>
      </c>
      <c r="C531" t="s">
        <v>15081</v>
      </c>
      <c r="D531" t="s">
        <v>4310</v>
      </c>
      <c r="F531" t="str">
        <f>Config!$B$7</f>
        <v>SCH/Connector.SchLib</v>
      </c>
      <c r="G531" t="s">
        <v>14827</v>
      </c>
      <c r="H531" t="s">
        <v>15043</v>
      </c>
      <c r="I531" t="s">
        <v>14846</v>
      </c>
      <c r="K531" s="47" t="s">
        <v>16098</v>
      </c>
      <c r="L531" t="s">
        <v>16101</v>
      </c>
      <c r="M531" t="s">
        <v>16116</v>
      </c>
    </row>
    <row r="532" spans="1:13">
      <c r="A532" t="s">
        <v>15082</v>
      </c>
      <c r="B532" t="s">
        <v>15082</v>
      </c>
      <c r="C532" t="s">
        <v>15083</v>
      </c>
      <c r="D532" t="s">
        <v>4310</v>
      </c>
      <c r="F532" t="str">
        <f>Config!$B$7</f>
        <v>SCH/Connector.SchLib</v>
      </c>
      <c r="G532" t="s">
        <v>14827</v>
      </c>
      <c r="H532" t="s">
        <v>15043</v>
      </c>
      <c r="I532" t="s">
        <v>14847</v>
      </c>
      <c r="K532" s="47" t="s">
        <v>16099</v>
      </c>
      <c r="L532" t="s">
        <v>16105</v>
      </c>
      <c r="M532" t="s">
        <v>16116</v>
      </c>
    </row>
    <row r="533" spans="1:13">
      <c r="A533" t="s">
        <v>15084</v>
      </c>
      <c r="B533" t="s">
        <v>15084</v>
      </c>
      <c r="C533" t="s">
        <v>15085</v>
      </c>
      <c r="D533" t="s">
        <v>4310</v>
      </c>
      <c r="F533" t="str">
        <f>Config!$B$7</f>
        <v>SCH/Connector.SchLib</v>
      </c>
      <c r="G533" t="s">
        <v>14827</v>
      </c>
      <c r="H533" t="s">
        <v>15043</v>
      </c>
      <c r="I533" t="s">
        <v>14848</v>
      </c>
      <c r="K533" s="47" t="s">
        <v>16099</v>
      </c>
      <c r="L533" t="s">
        <v>16095</v>
      </c>
      <c r="M533" t="s">
        <v>16116</v>
      </c>
    </row>
    <row r="534" spans="1:13">
      <c r="A534" t="s">
        <v>15086</v>
      </c>
      <c r="B534" t="s">
        <v>15086</v>
      </c>
      <c r="C534" t="s">
        <v>15087</v>
      </c>
      <c r="D534" t="s">
        <v>4310</v>
      </c>
      <c r="F534" t="str">
        <f>Config!$B$7</f>
        <v>SCH/Connector.SchLib</v>
      </c>
      <c r="G534" t="s">
        <v>14827</v>
      </c>
      <c r="H534" t="s">
        <v>15043</v>
      </c>
      <c r="I534" t="s">
        <v>14849</v>
      </c>
      <c r="K534" s="47" t="s">
        <v>16099</v>
      </c>
      <c r="L534" t="s">
        <v>16097</v>
      </c>
      <c r="M534" t="s">
        <v>16116</v>
      </c>
    </row>
    <row r="535" spans="1:13">
      <c r="A535" t="s">
        <v>15088</v>
      </c>
      <c r="B535" t="s">
        <v>15088</v>
      </c>
      <c r="C535" t="s">
        <v>15089</v>
      </c>
      <c r="D535" t="s">
        <v>4310</v>
      </c>
      <c r="F535" t="str">
        <f>Config!$B$7</f>
        <v>SCH/Connector.SchLib</v>
      </c>
      <c r="G535" t="s">
        <v>14827</v>
      </c>
      <c r="H535" t="s">
        <v>15043</v>
      </c>
      <c r="I535" t="s">
        <v>14850</v>
      </c>
      <c r="K535" s="47" t="s">
        <v>16099</v>
      </c>
      <c r="L535" t="s">
        <v>16099</v>
      </c>
      <c r="M535" t="s">
        <v>16116</v>
      </c>
    </row>
    <row r="536" spans="1:13">
      <c r="A536" t="s">
        <v>15090</v>
      </c>
      <c r="B536" t="s">
        <v>15090</v>
      </c>
      <c r="C536" t="s">
        <v>15091</v>
      </c>
      <c r="D536" t="s">
        <v>4310</v>
      </c>
      <c r="F536" t="str">
        <f>Config!$B$7</f>
        <v>SCH/Connector.SchLib</v>
      </c>
      <c r="G536" t="s">
        <v>14827</v>
      </c>
      <c r="H536" t="s">
        <v>15043</v>
      </c>
      <c r="I536" t="s">
        <v>14851</v>
      </c>
      <c r="K536" s="47" t="s">
        <v>16099</v>
      </c>
      <c r="L536" t="s">
        <v>16102</v>
      </c>
      <c r="M536" t="s">
        <v>16116</v>
      </c>
    </row>
    <row r="537" spans="1:13">
      <c r="A537" t="s">
        <v>15092</v>
      </c>
      <c r="B537" t="s">
        <v>15092</v>
      </c>
      <c r="C537" t="s">
        <v>15093</v>
      </c>
      <c r="D537" t="s">
        <v>4310</v>
      </c>
      <c r="F537" t="str">
        <f>Config!$B$7</f>
        <v>SCH/Connector.SchLib</v>
      </c>
      <c r="G537" t="s">
        <v>14827</v>
      </c>
      <c r="H537" t="s">
        <v>15043</v>
      </c>
      <c r="I537" t="s">
        <v>14852</v>
      </c>
      <c r="K537" s="47" t="s">
        <v>16100</v>
      </c>
      <c r="L537" t="s">
        <v>16094</v>
      </c>
      <c r="M537" t="s">
        <v>16116</v>
      </c>
    </row>
    <row r="538" spans="1:13">
      <c r="A538" t="s">
        <v>15730</v>
      </c>
      <c r="B538" t="s">
        <v>15730</v>
      </c>
      <c r="C538" t="s">
        <v>15731</v>
      </c>
      <c r="D538" t="s">
        <v>4310</v>
      </c>
      <c r="F538" t="str">
        <f>Config!$B$7</f>
        <v>SCH/Connector.SchLib</v>
      </c>
      <c r="G538" t="s">
        <v>14827</v>
      </c>
      <c r="H538" t="s">
        <v>15043</v>
      </c>
      <c r="I538" t="s">
        <v>15590</v>
      </c>
      <c r="K538" s="47" t="s">
        <v>16100</v>
      </c>
      <c r="L538" t="s">
        <v>16095</v>
      </c>
      <c r="M538" t="s">
        <v>16116</v>
      </c>
    </row>
    <row r="539" spans="1:13">
      <c r="A539" t="s">
        <v>15094</v>
      </c>
      <c r="B539" t="s">
        <v>15094</v>
      </c>
      <c r="C539" t="s">
        <v>15095</v>
      </c>
      <c r="D539" t="s">
        <v>4310</v>
      </c>
      <c r="F539" t="str">
        <f>Config!$B$7</f>
        <v>SCH/Connector.SchLib</v>
      </c>
      <c r="G539" t="s">
        <v>14827</v>
      </c>
      <c r="H539" t="s">
        <v>15043</v>
      </c>
      <c r="I539" t="s">
        <v>14853</v>
      </c>
      <c r="K539" s="47" t="s">
        <v>16100</v>
      </c>
      <c r="L539" t="s">
        <v>16106</v>
      </c>
      <c r="M539" t="s">
        <v>16116</v>
      </c>
    </row>
    <row r="540" spans="1:13">
      <c r="A540" t="s">
        <v>15096</v>
      </c>
      <c r="B540" t="s">
        <v>15096</v>
      </c>
      <c r="C540" t="s">
        <v>15097</v>
      </c>
      <c r="D540" t="s">
        <v>4310</v>
      </c>
      <c r="F540" t="str">
        <f>Config!$B$7</f>
        <v>SCH/Connector.SchLib</v>
      </c>
      <c r="G540" t="s">
        <v>14827</v>
      </c>
      <c r="H540" t="s">
        <v>15043</v>
      </c>
      <c r="I540" t="s">
        <v>14854</v>
      </c>
      <c r="K540" s="47" t="s">
        <v>16100</v>
      </c>
      <c r="L540" t="s">
        <v>16107</v>
      </c>
      <c r="M540" t="s">
        <v>16116</v>
      </c>
    </row>
    <row r="541" spans="1:13">
      <c r="A541" t="s">
        <v>15098</v>
      </c>
      <c r="B541" t="s">
        <v>15098</v>
      </c>
      <c r="C541" t="s">
        <v>15099</v>
      </c>
      <c r="D541" t="s">
        <v>4310</v>
      </c>
      <c r="F541" t="str">
        <f>Config!$B$7</f>
        <v>SCH/Connector.SchLib</v>
      </c>
      <c r="G541" t="s">
        <v>14827</v>
      </c>
      <c r="H541" t="s">
        <v>15043</v>
      </c>
      <c r="I541" t="s">
        <v>14855</v>
      </c>
      <c r="K541" s="47" t="s">
        <v>16100</v>
      </c>
      <c r="L541" t="s">
        <v>16100</v>
      </c>
      <c r="M541" t="s">
        <v>16116</v>
      </c>
    </row>
    <row r="542" spans="1:13">
      <c r="A542" t="s">
        <v>15100</v>
      </c>
      <c r="B542" t="s">
        <v>15100</v>
      </c>
      <c r="C542" t="s">
        <v>15101</v>
      </c>
      <c r="D542" t="s">
        <v>4310</v>
      </c>
      <c r="F542" t="str">
        <f>Config!$B$7</f>
        <v>SCH/Connector.SchLib</v>
      </c>
      <c r="G542" t="s">
        <v>14827</v>
      </c>
      <c r="H542" t="s">
        <v>15043</v>
      </c>
      <c r="I542" t="s">
        <v>14856</v>
      </c>
      <c r="K542" s="47" t="s">
        <v>16100</v>
      </c>
      <c r="L542" t="s">
        <v>16108</v>
      </c>
      <c r="M542" t="s">
        <v>16116</v>
      </c>
    </row>
    <row r="543" spans="1:13">
      <c r="A543" t="s">
        <v>15732</v>
      </c>
      <c r="B543" t="s">
        <v>15732</v>
      </c>
      <c r="C543" t="s">
        <v>15733</v>
      </c>
      <c r="D543" t="s">
        <v>4310</v>
      </c>
      <c r="F543" t="str">
        <f>Config!$B$7</f>
        <v>SCH/Connector.SchLib</v>
      </c>
      <c r="G543" t="s">
        <v>14827</v>
      </c>
      <c r="H543" t="s">
        <v>15043</v>
      </c>
      <c r="I543" t="s">
        <v>15593</v>
      </c>
      <c r="K543" s="47" t="s">
        <v>16101</v>
      </c>
      <c r="L543" t="s">
        <v>16109</v>
      </c>
      <c r="M543" t="s">
        <v>16116</v>
      </c>
    </row>
    <row r="544" spans="1:13">
      <c r="A544" t="s">
        <v>15734</v>
      </c>
      <c r="B544" t="s">
        <v>15734</v>
      </c>
      <c r="C544" t="s">
        <v>15735</v>
      </c>
      <c r="D544" t="s">
        <v>4310</v>
      </c>
      <c r="F544" t="str">
        <f>Config!$B$7</f>
        <v>SCH/Connector.SchLib</v>
      </c>
      <c r="G544" t="s">
        <v>14827</v>
      </c>
      <c r="H544" t="s">
        <v>15043</v>
      </c>
      <c r="I544" t="s">
        <v>15594</v>
      </c>
      <c r="K544" s="47" t="s">
        <v>16101</v>
      </c>
      <c r="L544" t="s">
        <v>16095</v>
      </c>
      <c r="M544" t="s">
        <v>16116</v>
      </c>
    </row>
    <row r="545" spans="1:13">
      <c r="A545" t="s">
        <v>15736</v>
      </c>
      <c r="B545" t="s">
        <v>15736</v>
      </c>
      <c r="C545" t="s">
        <v>15737</v>
      </c>
      <c r="D545" t="s">
        <v>4310</v>
      </c>
      <c r="F545" t="str">
        <f>Config!$B$7</f>
        <v>SCH/Connector.SchLib</v>
      </c>
      <c r="G545" t="s">
        <v>14827</v>
      </c>
      <c r="H545" t="s">
        <v>15043</v>
      </c>
      <c r="I545" t="s">
        <v>15595</v>
      </c>
      <c r="K545" s="47" t="s">
        <v>16101</v>
      </c>
      <c r="L545" t="s">
        <v>16096</v>
      </c>
      <c r="M545" t="s">
        <v>16116</v>
      </c>
    </row>
    <row r="546" spans="1:13">
      <c r="A546" t="s">
        <v>15738</v>
      </c>
      <c r="B546" t="s">
        <v>15738</v>
      </c>
      <c r="C546" t="s">
        <v>15739</v>
      </c>
      <c r="D546" t="s">
        <v>4310</v>
      </c>
      <c r="F546" t="str">
        <f>Config!$B$7</f>
        <v>SCH/Connector.SchLib</v>
      </c>
      <c r="G546" t="s">
        <v>14827</v>
      </c>
      <c r="H546" t="s">
        <v>15043</v>
      </c>
      <c r="I546" t="s">
        <v>15596</v>
      </c>
      <c r="K546" s="47" t="s">
        <v>16101</v>
      </c>
      <c r="L546" t="s">
        <v>16098</v>
      </c>
      <c r="M546" t="s">
        <v>16116</v>
      </c>
    </row>
    <row r="547" spans="1:13">
      <c r="A547" t="s">
        <v>15740</v>
      </c>
      <c r="B547" t="s">
        <v>15740</v>
      </c>
      <c r="C547" t="s">
        <v>15741</v>
      </c>
      <c r="D547" t="s">
        <v>4310</v>
      </c>
      <c r="F547" t="str">
        <f>Config!$B$7</f>
        <v>SCH/Connector.SchLib</v>
      </c>
      <c r="G547" t="s">
        <v>14827</v>
      </c>
      <c r="H547" t="s">
        <v>15043</v>
      </c>
      <c r="I547" t="s">
        <v>15597</v>
      </c>
      <c r="K547" s="47" t="s">
        <v>16101</v>
      </c>
      <c r="L547" t="s">
        <v>16101</v>
      </c>
      <c r="M547" t="s">
        <v>16116</v>
      </c>
    </row>
    <row r="548" spans="1:13">
      <c r="A548" t="s">
        <v>15742</v>
      </c>
      <c r="B548" t="s">
        <v>15742</v>
      </c>
      <c r="C548" t="s">
        <v>15743</v>
      </c>
      <c r="D548" t="s">
        <v>4310</v>
      </c>
      <c r="F548" t="str">
        <f>Config!$B$7</f>
        <v>SCH/Connector.SchLib</v>
      </c>
      <c r="G548" t="s">
        <v>14827</v>
      </c>
      <c r="H548" t="s">
        <v>15043</v>
      </c>
      <c r="I548" t="s">
        <v>15598</v>
      </c>
      <c r="K548" s="47" t="s">
        <v>16101</v>
      </c>
      <c r="L548" t="s">
        <v>16110</v>
      </c>
      <c r="M548" t="s">
        <v>16116</v>
      </c>
    </row>
    <row r="549" spans="1:13">
      <c r="A549" t="s">
        <v>15744</v>
      </c>
      <c r="B549" t="s">
        <v>15744</v>
      </c>
      <c r="C549" t="s">
        <v>15745</v>
      </c>
      <c r="D549" t="s">
        <v>4310</v>
      </c>
      <c r="F549" t="str">
        <f>Config!$B$7</f>
        <v>SCH/Connector.SchLib</v>
      </c>
      <c r="G549" t="s">
        <v>14827</v>
      </c>
      <c r="H549" t="s">
        <v>15043</v>
      </c>
      <c r="I549" t="s">
        <v>15599</v>
      </c>
      <c r="K549" s="47" t="s">
        <v>16102</v>
      </c>
      <c r="L549" t="s">
        <v>16094</v>
      </c>
      <c r="M549" t="s">
        <v>16116</v>
      </c>
    </row>
    <row r="550" spans="1:13">
      <c r="A550" t="s">
        <v>15746</v>
      </c>
      <c r="B550" t="s">
        <v>15746</v>
      </c>
      <c r="C550" t="s">
        <v>15747</v>
      </c>
      <c r="D550" t="s">
        <v>4310</v>
      </c>
      <c r="F550" t="str">
        <f>Config!$B$7</f>
        <v>SCH/Connector.SchLib</v>
      </c>
      <c r="G550" t="s">
        <v>14827</v>
      </c>
      <c r="H550" t="s">
        <v>15043</v>
      </c>
      <c r="I550" t="s">
        <v>15600</v>
      </c>
      <c r="K550" s="47" t="s">
        <v>16102</v>
      </c>
      <c r="L550" t="s">
        <v>16111</v>
      </c>
      <c r="M550" t="s">
        <v>16116</v>
      </c>
    </row>
    <row r="551" spans="1:13">
      <c r="A551" t="s">
        <v>15748</v>
      </c>
      <c r="B551" t="s">
        <v>15748</v>
      </c>
      <c r="C551" t="s">
        <v>15749</v>
      </c>
      <c r="D551" t="s">
        <v>4310</v>
      </c>
      <c r="F551" t="str">
        <f>Config!$B$7</f>
        <v>SCH/Connector.SchLib</v>
      </c>
      <c r="G551" t="s">
        <v>14827</v>
      </c>
      <c r="H551" t="s">
        <v>15043</v>
      </c>
      <c r="I551" t="s">
        <v>15601</v>
      </c>
      <c r="K551" s="47" t="s">
        <v>16102</v>
      </c>
      <c r="L551" t="s">
        <v>16095</v>
      </c>
      <c r="M551" t="s">
        <v>16116</v>
      </c>
    </row>
    <row r="552" spans="1:13">
      <c r="A552" t="s">
        <v>15750</v>
      </c>
      <c r="B552" t="s">
        <v>15750</v>
      </c>
      <c r="C552" t="s">
        <v>15751</v>
      </c>
      <c r="D552" t="s">
        <v>4310</v>
      </c>
      <c r="F552" t="str">
        <f>Config!$B$7</f>
        <v>SCH/Connector.SchLib</v>
      </c>
      <c r="G552" t="s">
        <v>14827</v>
      </c>
      <c r="H552" t="s">
        <v>15043</v>
      </c>
      <c r="I552" t="s">
        <v>15602</v>
      </c>
      <c r="K552" s="47" t="s">
        <v>16102</v>
      </c>
      <c r="L552" t="s">
        <v>16097</v>
      </c>
      <c r="M552" t="s">
        <v>16116</v>
      </c>
    </row>
    <row r="553" spans="1:13">
      <c r="A553" t="s">
        <v>15752</v>
      </c>
      <c r="B553" t="s">
        <v>15752</v>
      </c>
      <c r="C553" t="s">
        <v>15753</v>
      </c>
      <c r="D553" t="s">
        <v>4310</v>
      </c>
      <c r="F553" t="str">
        <f>Config!$B$7</f>
        <v>SCH/Connector.SchLib</v>
      </c>
      <c r="G553" t="s">
        <v>14827</v>
      </c>
      <c r="H553" t="s">
        <v>15043</v>
      </c>
      <c r="I553" t="s">
        <v>15603</v>
      </c>
      <c r="K553" s="47" t="s">
        <v>16102</v>
      </c>
      <c r="L553" t="s">
        <v>16099</v>
      </c>
      <c r="M553" t="s">
        <v>16116</v>
      </c>
    </row>
    <row r="554" spans="1:13">
      <c r="A554" t="s">
        <v>15754</v>
      </c>
      <c r="B554" t="s">
        <v>15754</v>
      </c>
      <c r="C554" t="s">
        <v>15755</v>
      </c>
      <c r="D554" t="s">
        <v>4310</v>
      </c>
      <c r="F554" t="str">
        <f>Config!$B$7</f>
        <v>SCH/Connector.SchLib</v>
      </c>
      <c r="G554" t="s">
        <v>14827</v>
      </c>
      <c r="H554" t="s">
        <v>15043</v>
      </c>
      <c r="I554" t="s">
        <v>15604</v>
      </c>
      <c r="K554" s="47" t="s">
        <v>16102</v>
      </c>
      <c r="L554" t="s">
        <v>16102</v>
      </c>
      <c r="M554" t="s">
        <v>16116</v>
      </c>
    </row>
    <row r="555" spans="1:13">
      <c r="A555" t="s">
        <v>15756</v>
      </c>
      <c r="B555" t="s">
        <v>15756</v>
      </c>
      <c r="C555" t="s">
        <v>15757</v>
      </c>
      <c r="D555" t="s">
        <v>4310</v>
      </c>
      <c r="F555" t="str">
        <f>Config!$B$7</f>
        <v>SCH/Connector.SchLib</v>
      </c>
      <c r="G555" t="s">
        <v>14827</v>
      </c>
      <c r="H555" t="s">
        <v>15043</v>
      </c>
      <c r="I555" t="s">
        <v>15605</v>
      </c>
      <c r="K555" s="47" t="s">
        <v>16102</v>
      </c>
      <c r="L555" t="s">
        <v>16112</v>
      </c>
      <c r="M555" t="s">
        <v>16116</v>
      </c>
    </row>
    <row r="556" spans="1:13">
      <c r="A556" t="s">
        <v>15758</v>
      </c>
      <c r="B556" t="s">
        <v>15758</v>
      </c>
      <c r="C556" t="s">
        <v>15759</v>
      </c>
      <c r="D556" t="s">
        <v>4310</v>
      </c>
      <c r="F556" t="str">
        <f>Config!$B$7</f>
        <v>SCH/Connector.SchLib</v>
      </c>
      <c r="G556" t="s">
        <v>14827</v>
      </c>
      <c r="H556" t="s">
        <v>15043</v>
      </c>
      <c r="I556" t="s">
        <v>15606</v>
      </c>
      <c r="K556" s="47" t="s">
        <v>16103</v>
      </c>
      <c r="L556" t="s">
        <v>16094</v>
      </c>
      <c r="M556" t="s">
        <v>16116</v>
      </c>
    </row>
    <row r="557" spans="1:13">
      <c r="A557" t="s">
        <v>15760</v>
      </c>
      <c r="B557" t="s">
        <v>15760</v>
      </c>
      <c r="C557" t="s">
        <v>15761</v>
      </c>
      <c r="D557" t="s">
        <v>4310</v>
      </c>
      <c r="F557" t="str">
        <f>Config!$B$7</f>
        <v>SCH/Connector.SchLib</v>
      </c>
      <c r="G557" t="s">
        <v>14827</v>
      </c>
      <c r="H557" t="s">
        <v>15043</v>
      </c>
      <c r="I557" t="s">
        <v>15607</v>
      </c>
      <c r="K557" s="47" t="s">
        <v>16103</v>
      </c>
      <c r="L557" t="s">
        <v>16095</v>
      </c>
      <c r="M557" t="s">
        <v>16116</v>
      </c>
    </row>
    <row r="558" spans="1:13">
      <c r="A558" t="s">
        <v>15762</v>
      </c>
      <c r="B558" t="s">
        <v>15762</v>
      </c>
      <c r="C558" t="s">
        <v>15763</v>
      </c>
      <c r="D558" t="s">
        <v>4310</v>
      </c>
      <c r="F558" t="str">
        <f>Config!$B$7</f>
        <v>SCH/Connector.SchLib</v>
      </c>
      <c r="G558" t="s">
        <v>14827</v>
      </c>
      <c r="H558" t="s">
        <v>15043</v>
      </c>
      <c r="I558" t="s">
        <v>15608</v>
      </c>
      <c r="K558" s="47" t="s">
        <v>16103</v>
      </c>
      <c r="L558" t="s">
        <v>16107</v>
      </c>
      <c r="M558" t="s">
        <v>16116</v>
      </c>
    </row>
    <row r="559" spans="1:13">
      <c r="A559" t="s">
        <v>15764</v>
      </c>
      <c r="B559" t="s">
        <v>15764</v>
      </c>
      <c r="C559" t="s">
        <v>15765</v>
      </c>
      <c r="D559" t="s">
        <v>4310</v>
      </c>
      <c r="F559" t="str">
        <f>Config!$B$7</f>
        <v>SCH/Connector.SchLib</v>
      </c>
      <c r="G559" t="s">
        <v>14827</v>
      </c>
      <c r="H559" t="s">
        <v>15043</v>
      </c>
      <c r="I559" t="s">
        <v>15609</v>
      </c>
      <c r="K559" s="47" t="s">
        <v>16103</v>
      </c>
      <c r="L559" t="s">
        <v>16100</v>
      </c>
      <c r="M559" t="s">
        <v>16116</v>
      </c>
    </row>
    <row r="560" spans="1:13">
      <c r="A560" t="s">
        <v>15766</v>
      </c>
      <c r="B560" t="s">
        <v>15766</v>
      </c>
      <c r="C560" t="s">
        <v>15767</v>
      </c>
      <c r="D560" t="s">
        <v>4310</v>
      </c>
      <c r="F560" t="str">
        <f>Config!$B$7</f>
        <v>SCH/Connector.SchLib</v>
      </c>
      <c r="G560" t="s">
        <v>14827</v>
      </c>
      <c r="H560" t="s">
        <v>15043</v>
      </c>
      <c r="I560" t="s">
        <v>15610</v>
      </c>
      <c r="K560" s="47" t="s">
        <v>16103</v>
      </c>
      <c r="L560" t="s">
        <v>16108</v>
      </c>
      <c r="M560" t="s">
        <v>16116</v>
      </c>
    </row>
    <row r="561" spans="1:13">
      <c r="A561" t="s">
        <v>15768</v>
      </c>
      <c r="B561" t="s">
        <v>15768</v>
      </c>
      <c r="C561" t="s">
        <v>15769</v>
      </c>
      <c r="D561" t="s">
        <v>4310</v>
      </c>
      <c r="F561" t="str">
        <f>Config!$B$7</f>
        <v>SCH/Connector.SchLib</v>
      </c>
      <c r="G561" t="s">
        <v>14827</v>
      </c>
      <c r="H561" t="s">
        <v>15043</v>
      </c>
      <c r="I561" t="s">
        <v>15611</v>
      </c>
      <c r="K561" s="47" t="s">
        <v>16103</v>
      </c>
      <c r="L561" t="s">
        <v>16113</v>
      </c>
      <c r="M561" t="s">
        <v>16116</v>
      </c>
    </row>
    <row r="563" spans="1:13">
      <c r="A563" t="s">
        <v>14980</v>
      </c>
      <c r="B563" t="s">
        <v>14980</v>
      </c>
      <c r="C563" t="s">
        <v>15010</v>
      </c>
      <c r="D563" t="s">
        <v>4310</v>
      </c>
      <c r="F563" t="str">
        <f>Config!$B$7</f>
        <v>SCH/Connector.SchLib</v>
      </c>
      <c r="G563" t="s">
        <v>14827</v>
      </c>
      <c r="H563" t="s">
        <v>15040</v>
      </c>
      <c r="I563" t="s">
        <v>14857</v>
      </c>
      <c r="K563" s="47" t="s">
        <v>16093</v>
      </c>
      <c r="L563" t="s">
        <v>16093</v>
      </c>
      <c r="M563" t="s">
        <v>16115</v>
      </c>
    </row>
    <row r="564" spans="1:13">
      <c r="A564" t="s">
        <v>14981</v>
      </c>
      <c r="B564" t="s">
        <v>14981</v>
      </c>
      <c r="C564" t="s">
        <v>15011</v>
      </c>
      <c r="D564" t="s">
        <v>4310</v>
      </c>
      <c r="F564" t="str">
        <f>Config!$B$7</f>
        <v>SCH/Connector.SchLib</v>
      </c>
      <c r="G564" t="s">
        <v>14827</v>
      </c>
      <c r="H564" t="s">
        <v>15040</v>
      </c>
      <c r="I564" t="s">
        <v>14858</v>
      </c>
      <c r="K564" s="47" t="s">
        <v>16093</v>
      </c>
      <c r="L564" t="s">
        <v>16094</v>
      </c>
      <c r="M564" t="s">
        <v>16115</v>
      </c>
    </row>
    <row r="565" spans="1:13">
      <c r="A565" t="s">
        <v>14982</v>
      </c>
      <c r="B565" t="s">
        <v>14982</v>
      </c>
      <c r="C565" t="s">
        <v>15012</v>
      </c>
      <c r="D565" t="s">
        <v>4310</v>
      </c>
      <c r="F565" t="str">
        <f>Config!$B$7</f>
        <v>SCH/Connector.SchLib</v>
      </c>
      <c r="G565" t="s">
        <v>14827</v>
      </c>
      <c r="H565" t="s">
        <v>15040</v>
      </c>
      <c r="I565" t="s">
        <v>14829</v>
      </c>
      <c r="K565" s="47" t="s">
        <v>16094</v>
      </c>
      <c r="L565" t="s">
        <v>16093</v>
      </c>
      <c r="M565" t="s">
        <v>16115</v>
      </c>
    </row>
    <row r="566" spans="1:13">
      <c r="A566" t="s">
        <v>14983</v>
      </c>
      <c r="B566" t="s">
        <v>14983</v>
      </c>
      <c r="C566" t="s">
        <v>15013</v>
      </c>
      <c r="D566" t="s">
        <v>4310</v>
      </c>
      <c r="F566" t="str">
        <f>Config!$B$7</f>
        <v>SCH/Connector.SchLib</v>
      </c>
      <c r="G566" t="s">
        <v>14827</v>
      </c>
      <c r="H566" t="s">
        <v>15040</v>
      </c>
      <c r="I566" t="s">
        <v>14830</v>
      </c>
      <c r="K566" s="47" t="s">
        <v>16094</v>
      </c>
      <c r="L566" t="s">
        <v>16094</v>
      </c>
      <c r="M566" t="s">
        <v>16115</v>
      </c>
    </row>
    <row r="567" spans="1:13">
      <c r="A567" t="s">
        <v>14984</v>
      </c>
      <c r="B567" t="s">
        <v>14984</v>
      </c>
      <c r="C567" t="s">
        <v>15014</v>
      </c>
      <c r="D567" t="s">
        <v>4310</v>
      </c>
      <c r="F567" t="str">
        <f>Config!$B$7</f>
        <v>SCH/Connector.SchLib</v>
      </c>
      <c r="G567" t="s">
        <v>14827</v>
      </c>
      <c r="H567" t="s">
        <v>15040</v>
      </c>
      <c r="I567" t="s">
        <v>14831</v>
      </c>
      <c r="K567" s="47" t="s">
        <v>16094</v>
      </c>
      <c r="L567" t="s">
        <v>16095</v>
      </c>
      <c r="M567" t="s">
        <v>16115</v>
      </c>
    </row>
    <row r="568" spans="1:13">
      <c r="A568" t="s">
        <v>14985</v>
      </c>
      <c r="B568" t="s">
        <v>14985</v>
      </c>
      <c r="C568" t="s">
        <v>15015</v>
      </c>
      <c r="D568" t="s">
        <v>4310</v>
      </c>
      <c r="F568" t="str">
        <f>Config!$B$7</f>
        <v>SCH/Connector.SchLib</v>
      </c>
      <c r="G568" t="s">
        <v>14827</v>
      </c>
      <c r="H568" t="s">
        <v>15040</v>
      </c>
      <c r="I568" t="s">
        <v>14832</v>
      </c>
      <c r="K568" s="47" t="s">
        <v>16095</v>
      </c>
      <c r="L568" t="s">
        <v>16093</v>
      </c>
      <c r="M568" t="s">
        <v>16115</v>
      </c>
    </row>
    <row r="569" spans="1:13">
      <c r="A569" t="s">
        <v>14986</v>
      </c>
      <c r="B569" t="s">
        <v>14986</v>
      </c>
      <c r="C569" t="s">
        <v>15016</v>
      </c>
      <c r="D569" t="s">
        <v>4310</v>
      </c>
      <c r="F569" t="str">
        <f>Config!$B$7</f>
        <v>SCH/Connector.SchLib</v>
      </c>
      <c r="G569" t="s">
        <v>14827</v>
      </c>
      <c r="H569" t="s">
        <v>15040</v>
      </c>
      <c r="I569" t="s">
        <v>14833</v>
      </c>
      <c r="K569" s="47" t="s">
        <v>16095</v>
      </c>
      <c r="L569" t="s">
        <v>16094</v>
      </c>
      <c r="M569" t="s">
        <v>16115</v>
      </c>
    </row>
    <row r="570" spans="1:13">
      <c r="A570" t="s">
        <v>14987</v>
      </c>
      <c r="B570" t="s">
        <v>14987</v>
      </c>
      <c r="C570" t="s">
        <v>15017</v>
      </c>
      <c r="D570" t="s">
        <v>4310</v>
      </c>
      <c r="F570" t="str">
        <f>Config!$B$7</f>
        <v>SCH/Connector.SchLib</v>
      </c>
      <c r="G570" t="s">
        <v>14827</v>
      </c>
      <c r="H570" t="s">
        <v>15040</v>
      </c>
      <c r="I570" t="s">
        <v>14834</v>
      </c>
      <c r="K570" s="47" t="s">
        <v>16095</v>
      </c>
      <c r="L570" t="s">
        <v>16095</v>
      </c>
      <c r="M570" t="s">
        <v>16115</v>
      </c>
    </row>
    <row r="571" spans="1:13">
      <c r="A571" t="s">
        <v>14988</v>
      </c>
      <c r="B571" t="s">
        <v>14988</v>
      </c>
      <c r="C571" t="s">
        <v>15018</v>
      </c>
      <c r="D571" t="s">
        <v>4310</v>
      </c>
      <c r="F571" t="str">
        <f>Config!$B$7</f>
        <v>SCH/Connector.SchLib</v>
      </c>
      <c r="G571" t="s">
        <v>14827</v>
      </c>
      <c r="H571" t="s">
        <v>15040</v>
      </c>
      <c r="I571" t="s">
        <v>14835</v>
      </c>
      <c r="K571" s="47" t="s">
        <v>16095</v>
      </c>
      <c r="L571" t="s">
        <v>16097</v>
      </c>
      <c r="M571" t="s">
        <v>16115</v>
      </c>
    </row>
    <row r="572" spans="1:13">
      <c r="A572" t="s">
        <v>14989</v>
      </c>
      <c r="B572" t="s">
        <v>14989</v>
      </c>
      <c r="C572" t="s">
        <v>15019</v>
      </c>
      <c r="D572" t="s">
        <v>4310</v>
      </c>
      <c r="F572" t="str">
        <f>Config!$B$7</f>
        <v>SCH/Connector.SchLib</v>
      </c>
      <c r="G572" t="s">
        <v>14827</v>
      </c>
      <c r="H572" t="s">
        <v>15040</v>
      </c>
      <c r="I572" t="s">
        <v>14836</v>
      </c>
      <c r="K572" s="47" t="s">
        <v>16096</v>
      </c>
      <c r="L572" t="s">
        <v>16104</v>
      </c>
      <c r="M572" t="s">
        <v>16115</v>
      </c>
    </row>
    <row r="573" spans="1:13">
      <c r="A573" t="s">
        <v>14990</v>
      </c>
      <c r="B573" t="s">
        <v>14990</v>
      </c>
      <c r="C573" t="s">
        <v>15020</v>
      </c>
      <c r="D573" t="s">
        <v>4310</v>
      </c>
      <c r="F573" t="str">
        <f>Config!$B$7</f>
        <v>SCH/Connector.SchLib</v>
      </c>
      <c r="G573" t="s">
        <v>14827</v>
      </c>
      <c r="H573" t="s">
        <v>15040</v>
      </c>
      <c r="I573" t="s">
        <v>14837</v>
      </c>
      <c r="K573" s="47" t="s">
        <v>16096</v>
      </c>
      <c r="L573" t="s">
        <v>16096</v>
      </c>
      <c r="M573" t="s">
        <v>16115</v>
      </c>
    </row>
    <row r="574" spans="1:13">
      <c r="A574" t="s">
        <v>14991</v>
      </c>
      <c r="B574" t="s">
        <v>14991</v>
      </c>
      <c r="C574" t="s">
        <v>15021</v>
      </c>
      <c r="D574" t="s">
        <v>4310</v>
      </c>
      <c r="F574" t="str">
        <f>Config!$B$7</f>
        <v>SCH/Connector.SchLib</v>
      </c>
      <c r="G574" t="s">
        <v>14827</v>
      </c>
      <c r="H574" t="s">
        <v>15040</v>
      </c>
      <c r="I574" t="s">
        <v>14838</v>
      </c>
      <c r="K574" s="47" t="s">
        <v>16096</v>
      </c>
      <c r="L574" t="s">
        <v>16098</v>
      </c>
      <c r="M574" t="s">
        <v>16115</v>
      </c>
    </row>
    <row r="575" spans="1:13">
      <c r="A575" t="s">
        <v>14992</v>
      </c>
      <c r="B575" t="s">
        <v>14992</v>
      </c>
      <c r="C575" t="s">
        <v>15022</v>
      </c>
      <c r="D575" t="s">
        <v>4310</v>
      </c>
      <c r="F575" t="str">
        <f>Config!$B$7</f>
        <v>SCH/Connector.SchLib</v>
      </c>
      <c r="G575" t="s">
        <v>14827</v>
      </c>
      <c r="H575" t="s">
        <v>15040</v>
      </c>
      <c r="I575" t="s">
        <v>14839</v>
      </c>
      <c r="K575" s="47" t="s">
        <v>16097</v>
      </c>
      <c r="L575" t="s">
        <v>16094</v>
      </c>
      <c r="M575" t="s">
        <v>16115</v>
      </c>
    </row>
    <row r="576" spans="1:13">
      <c r="A576" t="s">
        <v>14993</v>
      </c>
      <c r="B576" t="s">
        <v>14993</v>
      </c>
      <c r="C576" t="s">
        <v>15023</v>
      </c>
      <c r="D576" t="s">
        <v>4310</v>
      </c>
      <c r="F576" t="str">
        <f>Config!$B$7</f>
        <v>SCH/Connector.SchLib</v>
      </c>
      <c r="G576" t="s">
        <v>14827</v>
      </c>
      <c r="H576" t="s">
        <v>15040</v>
      </c>
      <c r="I576" t="s">
        <v>14840</v>
      </c>
      <c r="K576" s="47" t="s">
        <v>16097</v>
      </c>
      <c r="L576" t="s">
        <v>16095</v>
      </c>
      <c r="M576" t="s">
        <v>16115</v>
      </c>
    </row>
    <row r="577" spans="1:13">
      <c r="A577" t="s">
        <v>14994</v>
      </c>
      <c r="B577" t="s">
        <v>14994</v>
      </c>
      <c r="C577" t="s">
        <v>15024</v>
      </c>
      <c r="D577" t="s">
        <v>4310</v>
      </c>
      <c r="F577" t="str">
        <f>Config!$B$7</f>
        <v>SCH/Connector.SchLib</v>
      </c>
      <c r="G577" t="s">
        <v>14827</v>
      </c>
      <c r="H577" t="s">
        <v>15040</v>
      </c>
      <c r="I577" t="s">
        <v>14841</v>
      </c>
      <c r="K577" s="47" t="s">
        <v>16097</v>
      </c>
      <c r="L577" t="s">
        <v>16097</v>
      </c>
      <c r="M577" t="s">
        <v>16115</v>
      </c>
    </row>
    <row r="578" spans="1:13">
      <c r="A578" t="s">
        <v>14995</v>
      </c>
      <c r="B578" t="s">
        <v>14995</v>
      </c>
      <c r="C578" t="s">
        <v>15025</v>
      </c>
      <c r="D578" t="s">
        <v>4310</v>
      </c>
      <c r="F578" t="str">
        <f>Config!$B$7</f>
        <v>SCH/Connector.SchLib</v>
      </c>
      <c r="G578" t="s">
        <v>14827</v>
      </c>
      <c r="H578" t="s">
        <v>15040</v>
      </c>
      <c r="I578" t="s">
        <v>14842</v>
      </c>
      <c r="K578" s="47" t="s">
        <v>16097</v>
      </c>
      <c r="L578" t="s">
        <v>16099</v>
      </c>
      <c r="M578" t="s">
        <v>16115</v>
      </c>
    </row>
    <row r="579" spans="1:13">
      <c r="A579" t="s">
        <v>14996</v>
      </c>
      <c r="B579" t="s">
        <v>14996</v>
      </c>
      <c r="C579" t="s">
        <v>15026</v>
      </c>
      <c r="D579" t="s">
        <v>4310</v>
      </c>
      <c r="F579" t="str">
        <f>Config!$B$7</f>
        <v>SCH/Connector.SchLib</v>
      </c>
      <c r="G579" t="s">
        <v>14827</v>
      </c>
      <c r="H579" t="s">
        <v>15040</v>
      </c>
      <c r="I579" t="s">
        <v>14843</v>
      </c>
      <c r="K579" s="47" t="s">
        <v>16098</v>
      </c>
      <c r="L579" t="s">
        <v>16104</v>
      </c>
      <c r="M579" t="s">
        <v>16115</v>
      </c>
    </row>
    <row r="580" spans="1:13">
      <c r="A580" t="s">
        <v>14997</v>
      </c>
      <c r="B580" t="s">
        <v>14997</v>
      </c>
      <c r="C580" t="s">
        <v>15027</v>
      </c>
      <c r="D580" t="s">
        <v>4310</v>
      </c>
      <c r="F580" t="str">
        <f>Config!$B$7</f>
        <v>SCH/Connector.SchLib</v>
      </c>
      <c r="G580" t="s">
        <v>14827</v>
      </c>
      <c r="H580" t="s">
        <v>15040</v>
      </c>
      <c r="I580" t="s">
        <v>14844</v>
      </c>
      <c r="K580" s="47" t="s">
        <v>16098</v>
      </c>
      <c r="L580" t="s">
        <v>16096</v>
      </c>
      <c r="M580" t="s">
        <v>16115</v>
      </c>
    </row>
    <row r="581" spans="1:13">
      <c r="A581" t="s">
        <v>14998</v>
      </c>
      <c r="B581" t="s">
        <v>14998</v>
      </c>
      <c r="C581" t="s">
        <v>15028</v>
      </c>
      <c r="D581" t="s">
        <v>4310</v>
      </c>
      <c r="F581" t="str">
        <f>Config!$B$7</f>
        <v>SCH/Connector.SchLib</v>
      </c>
      <c r="G581" t="s">
        <v>14827</v>
      </c>
      <c r="H581" t="s">
        <v>15040</v>
      </c>
      <c r="I581" t="s">
        <v>14845</v>
      </c>
      <c r="K581" s="47" t="s">
        <v>16098</v>
      </c>
      <c r="L581" t="s">
        <v>16098</v>
      </c>
      <c r="M581" t="s">
        <v>16115</v>
      </c>
    </row>
    <row r="582" spans="1:13">
      <c r="A582" t="s">
        <v>14999</v>
      </c>
      <c r="B582" t="s">
        <v>14999</v>
      </c>
      <c r="C582" t="s">
        <v>15029</v>
      </c>
      <c r="D582" t="s">
        <v>4310</v>
      </c>
      <c r="F582" t="str">
        <f>Config!$B$7</f>
        <v>SCH/Connector.SchLib</v>
      </c>
      <c r="G582" t="s">
        <v>14827</v>
      </c>
      <c r="H582" t="s">
        <v>15040</v>
      </c>
      <c r="I582" t="s">
        <v>14846</v>
      </c>
      <c r="K582" s="47" t="s">
        <v>16098</v>
      </c>
      <c r="L582" t="s">
        <v>16101</v>
      </c>
      <c r="M582" t="s">
        <v>16115</v>
      </c>
    </row>
    <row r="583" spans="1:13">
      <c r="A583" t="s">
        <v>15000</v>
      </c>
      <c r="B583" t="s">
        <v>15000</v>
      </c>
      <c r="C583" t="s">
        <v>15030</v>
      </c>
      <c r="D583" t="s">
        <v>4310</v>
      </c>
      <c r="F583" t="str">
        <f>Config!$B$7</f>
        <v>SCH/Connector.SchLib</v>
      </c>
      <c r="G583" t="s">
        <v>14827</v>
      </c>
      <c r="H583" t="s">
        <v>15040</v>
      </c>
      <c r="I583" t="s">
        <v>14847</v>
      </c>
      <c r="K583" s="47" t="s">
        <v>16099</v>
      </c>
      <c r="L583" t="s">
        <v>16105</v>
      </c>
      <c r="M583" t="s">
        <v>16115</v>
      </c>
    </row>
    <row r="584" spans="1:13">
      <c r="A584" t="s">
        <v>15001</v>
      </c>
      <c r="B584" t="s">
        <v>15001</v>
      </c>
      <c r="C584" t="s">
        <v>15031</v>
      </c>
      <c r="D584" t="s">
        <v>4310</v>
      </c>
      <c r="F584" t="str">
        <f>Config!$B$7</f>
        <v>SCH/Connector.SchLib</v>
      </c>
      <c r="G584" t="s">
        <v>14827</v>
      </c>
      <c r="H584" t="s">
        <v>15040</v>
      </c>
      <c r="I584" t="s">
        <v>14848</v>
      </c>
      <c r="K584" s="47" t="s">
        <v>16099</v>
      </c>
      <c r="L584" t="s">
        <v>16095</v>
      </c>
      <c r="M584" t="s">
        <v>16115</v>
      </c>
    </row>
    <row r="585" spans="1:13">
      <c r="A585" t="s">
        <v>15002</v>
      </c>
      <c r="B585" t="s">
        <v>15002</v>
      </c>
      <c r="C585" t="s">
        <v>15032</v>
      </c>
      <c r="D585" t="s">
        <v>4310</v>
      </c>
      <c r="F585" t="str">
        <f>Config!$B$7</f>
        <v>SCH/Connector.SchLib</v>
      </c>
      <c r="G585" t="s">
        <v>14827</v>
      </c>
      <c r="H585" t="s">
        <v>15040</v>
      </c>
      <c r="I585" t="s">
        <v>14849</v>
      </c>
      <c r="K585" s="47" t="s">
        <v>16099</v>
      </c>
      <c r="L585" t="s">
        <v>16097</v>
      </c>
      <c r="M585" t="s">
        <v>16115</v>
      </c>
    </row>
    <row r="586" spans="1:13">
      <c r="A586" t="s">
        <v>15003</v>
      </c>
      <c r="B586" t="s">
        <v>15003</v>
      </c>
      <c r="C586" t="s">
        <v>15033</v>
      </c>
      <c r="D586" t="s">
        <v>4310</v>
      </c>
      <c r="F586" t="str">
        <f>Config!$B$7</f>
        <v>SCH/Connector.SchLib</v>
      </c>
      <c r="G586" t="s">
        <v>14827</v>
      </c>
      <c r="H586" t="s">
        <v>15040</v>
      </c>
      <c r="I586" t="s">
        <v>14850</v>
      </c>
      <c r="K586" s="47" t="s">
        <v>16099</v>
      </c>
      <c r="L586" t="s">
        <v>16099</v>
      </c>
      <c r="M586" t="s">
        <v>16115</v>
      </c>
    </row>
    <row r="587" spans="1:13">
      <c r="A587" t="s">
        <v>15004</v>
      </c>
      <c r="B587" t="s">
        <v>15004</v>
      </c>
      <c r="C587" t="s">
        <v>15034</v>
      </c>
      <c r="D587" t="s">
        <v>4310</v>
      </c>
      <c r="F587" t="str">
        <f>Config!$B$7</f>
        <v>SCH/Connector.SchLib</v>
      </c>
      <c r="G587" t="s">
        <v>14827</v>
      </c>
      <c r="H587" t="s">
        <v>15040</v>
      </c>
      <c r="I587" t="s">
        <v>14851</v>
      </c>
      <c r="K587" s="47" t="s">
        <v>16099</v>
      </c>
      <c r="L587" t="s">
        <v>16102</v>
      </c>
      <c r="M587" t="s">
        <v>16115</v>
      </c>
    </row>
    <row r="588" spans="1:13">
      <c r="A588" t="s">
        <v>15005</v>
      </c>
      <c r="B588" t="s">
        <v>15005</v>
      </c>
      <c r="C588" t="s">
        <v>15035</v>
      </c>
      <c r="D588" t="s">
        <v>4310</v>
      </c>
      <c r="F588" t="str">
        <f>Config!$B$7</f>
        <v>SCH/Connector.SchLib</v>
      </c>
      <c r="G588" t="s">
        <v>14827</v>
      </c>
      <c r="H588" t="s">
        <v>15040</v>
      </c>
      <c r="I588" t="s">
        <v>14852</v>
      </c>
      <c r="K588" s="47" t="s">
        <v>16100</v>
      </c>
      <c r="L588" t="s">
        <v>16094</v>
      </c>
      <c r="M588" t="s">
        <v>16115</v>
      </c>
    </row>
    <row r="589" spans="1:13">
      <c r="A589" t="s">
        <v>15690</v>
      </c>
      <c r="B589" t="s">
        <v>15690</v>
      </c>
      <c r="C589" t="s">
        <v>15710</v>
      </c>
      <c r="D589" t="s">
        <v>4310</v>
      </c>
      <c r="F589" t="str">
        <f>Config!$B$7</f>
        <v>SCH/Connector.SchLib</v>
      </c>
      <c r="G589" t="s">
        <v>14827</v>
      </c>
      <c r="H589" t="s">
        <v>15040</v>
      </c>
      <c r="I589" t="s">
        <v>15590</v>
      </c>
      <c r="K589" s="47" t="s">
        <v>16100</v>
      </c>
      <c r="L589" t="s">
        <v>16095</v>
      </c>
      <c r="M589" t="s">
        <v>16115</v>
      </c>
    </row>
    <row r="590" spans="1:13">
      <c r="A590" t="s">
        <v>15006</v>
      </c>
      <c r="B590" t="s">
        <v>15006</v>
      </c>
      <c r="C590" t="s">
        <v>15036</v>
      </c>
      <c r="D590" t="s">
        <v>4310</v>
      </c>
      <c r="F590" t="str">
        <f>Config!$B$7</f>
        <v>SCH/Connector.SchLib</v>
      </c>
      <c r="G590" t="s">
        <v>14827</v>
      </c>
      <c r="H590" t="s">
        <v>15040</v>
      </c>
      <c r="I590" t="s">
        <v>14853</v>
      </c>
      <c r="K590" s="47" t="s">
        <v>16100</v>
      </c>
      <c r="L590" t="s">
        <v>16106</v>
      </c>
      <c r="M590" t="s">
        <v>16115</v>
      </c>
    </row>
    <row r="591" spans="1:13">
      <c r="A591" t="s">
        <v>15007</v>
      </c>
      <c r="B591" t="s">
        <v>15007</v>
      </c>
      <c r="C591" t="s">
        <v>15037</v>
      </c>
      <c r="D591" t="s">
        <v>4310</v>
      </c>
      <c r="F591" t="str">
        <f>Config!$B$7</f>
        <v>SCH/Connector.SchLib</v>
      </c>
      <c r="G591" t="s">
        <v>14827</v>
      </c>
      <c r="H591" t="s">
        <v>15040</v>
      </c>
      <c r="I591" t="s">
        <v>14854</v>
      </c>
      <c r="K591" s="47" t="s">
        <v>16100</v>
      </c>
      <c r="L591" t="s">
        <v>16107</v>
      </c>
      <c r="M591" t="s">
        <v>16115</v>
      </c>
    </row>
    <row r="592" spans="1:13">
      <c r="A592" t="s">
        <v>15008</v>
      </c>
      <c r="B592" t="s">
        <v>15008</v>
      </c>
      <c r="C592" t="s">
        <v>15038</v>
      </c>
      <c r="D592" t="s">
        <v>4310</v>
      </c>
      <c r="F592" t="str">
        <f>Config!$B$7</f>
        <v>SCH/Connector.SchLib</v>
      </c>
      <c r="G592" t="s">
        <v>14827</v>
      </c>
      <c r="H592" t="s">
        <v>15040</v>
      </c>
      <c r="I592" t="s">
        <v>14855</v>
      </c>
      <c r="K592" s="47" t="s">
        <v>16100</v>
      </c>
      <c r="L592" t="s">
        <v>16100</v>
      </c>
      <c r="M592" t="s">
        <v>16115</v>
      </c>
    </row>
    <row r="593" spans="1:13">
      <c r="A593" t="s">
        <v>15009</v>
      </c>
      <c r="B593" t="s">
        <v>15009</v>
      </c>
      <c r="C593" t="s">
        <v>15039</v>
      </c>
      <c r="D593" t="s">
        <v>4310</v>
      </c>
      <c r="F593" t="str">
        <f>Config!$B$7</f>
        <v>SCH/Connector.SchLib</v>
      </c>
      <c r="G593" t="s">
        <v>14827</v>
      </c>
      <c r="H593" t="s">
        <v>15040</v>
      </c>
      <c r="I593" t="s">
        <v>14856</v>
      </c>
      <c r="K593" s="47" t="s">
        <v>16100</v>
      </c>
      <c r="L593" t="s">
        <v>16108</v>
      </c>
      <c r="M593" t="s">
        <v>16115</v>
      </c>
    </row>
    <row r="594" spans="1:13">
      <c r="A594" t="s">
        <v>15691</v>
      </c>
      <c r="B594" t="s">
        <v>15691</v>
      </c>
      <c r="C594" t="s">
        <v>15711</v>
      </c>
      <c r="D594" t="s">
        <v>4310</v>
      </c>
      <c r="F594" t="str">
        <f>Config!$B$7</f>
        <v>SCH/Connector.SchLib</v>
      </c>
      <c r="G594" t="s">
        <v>14827</v>
      </c>
      <c r="H594" t="s">
        <v>15040</v>
      </c>
      <c r="I594" t="s">
        <v>15593</v>
      </c>
      <c r="K594" s="47" t="s">
        <v>16101</v>
      </c>
      <c r="L594" t="s">
        <v>16109</v>
      </c>
      <c r="M594" t="s">
        <v>16115</v>
      </c>
    </row>
    <row r="595" spans="1:13">
      <c r="A595" t="s">
        <v>15692</v>
      </c>
      <c r="B595" t="s">
        <v>15692</v>
      </c>
      <c r="C595" t="s">
        <v>15712</v>
      </c>
      <c r="D595" t="s">
        <v>4310</v>
      </c>
      <c r="F595" t="str">
        <f>Config!$B$7</f>
        <v>SCH/Connector.SchLib</v>
      </c>
      <c r="G595" t="s">
        <v>14827</v>
      </c>
      <c r="H595" t="s">
        <v>15040</v>
      </c>
      <c r="I595" t="s">
        <v>15594</v>
      </c>
      <c r="K595" s="47" t="s">
        <v>16101</v>
      </c>
      <c r="L595" t="s">
        <v>16095</v>
      </c>
      <c r="M595" t="s">
        <v>16115</v>
      </c>
    </row>
    <row r="596" spans="1:13">
      <c r="A596" t="s">
        <v>15693</v>
      </c>
      <c r="B596" t="s">
        <v>15693</v>
      </c>
      <c r="C596" t="s">
        <v>15713</v>
      </c>
      <c r="D596" t="s">
        <v>4310</v>
      </c>
      <c r="F596" t="str">
        <f>Config!$B$7</f>
        <v>SCH/Connector.SchLib</v>
      </c>
      <c r="G596" t="s">
        <v>14827</v>
      </c>
      <c r="H596" t="s">
        <v>15040</v>
      </c>
      <c r="I596" t="s">
        <v>15595</v>
      </c>
      <c r="K596" s="47" t="s">
        <v>16101</v>
      </c>
      <c r="L596" t="s">
        <v>16096</v>
      </c>
      <c r="M596" t="s">
        <v>16115</v>
      </c>
    </row>
    <row r="597" spans="1:13">
      <c r="A597" t="s">
        <v>15694</v>
      </c>
      <c r="B597" t="s">
        <v>15694</v>
      </c>
      <c r="C597" t="s">
        <v>15714</v>
      </c>
      <c r="D597" t="s">
        <v>4310</v>
      </c>
      <c r="F597" t="str">
        <f>Config!$B$7</f>
        <v>SCH/Connector.SchLib</v>
      </c>
      <c r="G597" t="s">
        <v>14827</v>
      </c>
      <c r="H597" t="s">
        <v>15040</v>
      </c>
      <c r="I597" t="s">
        <v>15596</v>
      </c>
      <c r="K597" s="47" t="s">
        <v>16101</v>
      </c>
      <c r="L597" t="s">
        <v>16098</v>
      </c>
      <c r="M597" t="s">
        <v>16115</v>
      </c>
    </row>
    <row r="598" spans="1:13">
      <c r="A598" t="s">
        <v>15695</v>
      </c>
      <c r="B598" t="s">
        <v>15695</v>
      </c>
      <c r="C598" t="s">
        <v>15715</v>
      </c>
      <c r="D598" t="s">
        <v>4310</v>
      </c>
      <c r="F598" t="str">
        <f>Config!$B$7</f>
        <v>SCH/Connector.SchLib</v>
      </c>
      <c r="G598" t="s">
        <v>14827</v>
      </c>
      <c r="H598" t="s">
        <v>15040</v>
      </c>
      <c r="I598" t="s">
        <v>15597</v>
      </c>
      <c r="K598" s="47" t="s">
        <v>16101</v>
      </c>
      <c r="L598" t="s">
        <v>16101</v>
      </c>
      <c r="M598" t="s">
        <v>16115</v>
      </c>
    </row>
    <row r="599" spans="1:13">
      <c r="A599" t="s">
        <v>15696</v>
      </c>
      <c r="B599" t="s">
        <v>15696</v>
      </c>
      <c r="C599" t="s">
        <v>15716</v>
      </c>
      <c r="D599" t="s">
        <v>4310</v>
      </c>
      <c r="F599" t="str">
        <f>Config!$B$7</f>
        <v>SCH/Connector.SchLib</v>
      </c>
      <c r="G599" t="s">
        <v>14827</v>
      </c>
      <c r="H599" t="s">
        <v>15040</v>
      </c>
      <c r="I599" t="s">
        <v>15598</v>
      </c>
      <c r="K599" s="47" t="s">
        <v>16101</v>
      </c>
      <c r="L599" t="s">
        <v>16110</v>
      </c>
      <c r="M599" t="s">
        <v>16115</v>
      </c>
    </row>
    <row r="600" spans="1:13">
      <c r="A600" t="s">
        <v>15697</v>
      </c>
      <c r="B600" t="s">
        <v>15697</v>
      </c>
      <c r="C600" t="s">
        <v>15717</v>
      </c>
      <c r="D600" t="s">
        <v>4310</v>
      </c>
      <c r="F600" t="str">
        <f>Config!$B$7</f>
        <v>SCH/Connector.SchLib</v>
      </c>
      <c r="G600" t="s">
        <v>14827</v>
      </c>
      <c r="H600" t="s">
        <v>15040</v>
      </c>
      <c r="I600" t="s">
        <v>15599</v>
      </c>
      <c r="K600" s="47" t="s">
        <v>16102</v>
      </c>
      <c r="L600" t="s">
        <v>16094</v>
      </c>
      <c r="M600" t="s">
        <v>16115</v>
      </c>
    </row>
    <row r="601" spans="1:13">
      <c r="A601" t="s">
        <v>15698</v>
      </c>
      <c r="B601" t="s">
        <v>15698</v>
      </c>
      <c r="C601" t="s">
        <v>15718</v>
      </c>
      <c r="D601" t="s">
        <v>4310</v>
      </c>
      <c r="F601" t="str">
        <f>Config!$B$7</f>
        <v>SCH/Connector.SchLib</v>
      </c>
      <c r="G601" t="s">
        <v>14827</v>
      </c>
      <c r="H601" t="s">
        <v>15040</v>
      </c>
      <c r="I601" t="s">
        <v>15600</v>
      </c>
      <c r="K601" s="47" t="s">
        <v>16102</v>
      </c>
      <c r="L601" t="s">
        <v>16111</v>
      </c>
      <c r="M601" t="s">
        <v>16115</v>
      </c>
    </row>
    <row r="602" spans="1:13">
      <c r="A602" t="s">
        <v>15699</v>
      </c>
      <c r="B602" t="s">
        <v>15699</v>
      </c>
      <c r="C602" t="s">
        <v>15719</v>
      </c>
      <c r="D602" t="s">
        <v>4310</v>
      </c>
      <c r="F602" t="str">
        <f>Config!$B$7</f>
        <v>SCH/Connector.SchLib</v>
      </c>
      <c r="G602" t="s">
        <v>14827</v>
      </c>
      <c r="H602" t="s">
        <v>15040</v>
      </c>
      <c r="I602" t="s">
        <v>15601</v>
      </c>
      <c r="K602" s="47" t="s">
        <v>16102</v>
      </c>
      <c r="L602" t="s">
        <v>16095</v>
      </c>
      <c r="M602" t="s">
        <v>16115</v>
      </c>
    </row>
    <row r="603" spans="1:13">
      <c r="A603" t="s">
        <v>15700</v>
      </c>
      <c r="B603" t="s">
        <v>15700</v>
      </c>
      <c r="C603" t="s">
        <v>15720</v>
      </c>
      <c r="D603" t="s">
        <v>4310</v>
      </c>
      <c r="F603" t="str">
        <f>Config!$B$7</f>
        <v>SCH/Connector.SchLib</v>
      </c>
      <c r="G603" t="s">
        <v>14827</v>
      </c>
      <c r="H603" t="s">
        <v>15040</v>
      </c>
      <c r="I603" t="s">
        <v>15602</v>
      </c>
      <c r="K603" s="47" t="s">
        <v>16102</v>
      </c>
      <c r="L603" t="s">
        <v>16097</v>
      </c>
      <c r="M603" t="s">
        <v>16115</v>
      </c>
    </row>
    <row r="604" spans="1:13">
      <c r="A604" t="s">
        <v>15701</v>
      </c>
      <c r="B604" t="s">
        <v>15701</v>
      </c>
      <c r="C604" t="s">
        <v>15721</v>
      </c>
      <c r="D604" t="s">
        <v>4310</v>
      </c>
      <c r="F604" t="str">
        <f>Config!$B$7</f>
        <v>SCH/Connector.SchLib</v>
      </c>
      <c r="G604" t="s">
        <v>14827</v>
      </c>
      <c r="H604" t="s">
        <v>15040</v>
      </c>
      <c r="I604" t="s">
        <v>15603</v>
      </c>
      <c r="K604" s="47" t="s">
        <v>16102</v>
      </c>
      <c r="L604" t="s">
        <v>16099</v>
      </c>
      <c r="M604" t="s">
        <v>16115</v>
      </c>
    </row>
    <row r="605" spans="1:13">
      <c r="A605" t="s">
        <v>15702</v>
      </c>
      <c r="B605" t="s">
        <v>15702</v>
      </c>
      <c r="C605" t="s">
        <v>15722</v>
      </c>
      <c r="D605" t="s">
        <v>4310</v>
      </c>
      <c r="F605" t="str">
        <f>Config!$B$7</f>
        <v>SCH/Connector.SchLib</v>
      </c>
      <c r="G605" t="s">
        <v>14827</v>
      </c>
      <c r="H605" t="s">
        <v>15040</v>
      </c>
      <c r="I605" t="s">
        <v>15604</v>
      </c>
      <c r="K605" s="47" t="s">
        <v>16102</v>
      </c>
      <c r="L605" t="s">
        <v>16102</v>
      </c>
      <c r="M605" t="s">
        <v>16115</v>
      </c>
    </row>
    <row r="606" spans="1:13">
      <c r="A606" t="s">
        <v>15703</v>
      </c>
      <c r="B606" t="s">
        <v>15703</v>
      </c>
      <c r="C606" t="s">
        <v>15723</v>
      </c>
      <c r="D606" t="s">
        <v>4310</v>
      </c>
      <c r="F606" t="str">
        <f>Config!$B$7</f>
        <v>SCH/Connector.SchLib</v>
      </c>
      <c r="G606" t="s">
        <v>14827</v>
      </c>
      <c r="H606" t="s">
        <v>15040</v>
      </c>
      <c r="I606" t="s">
        <v>15605</v>
      </c>
      <c r="K606" s="47" t="s">
        <v>16102</v>
      </c>
      <c r="L606" t="s">
        <v>16112</v>
      </c>
      <c r="M606" t="s">
        <v>16115</v>
      </c>
    </row>
    <row r="607" spans="1:13">
      <c r="A607" t="s">
        <v>15704</v>
      </c>
      <c r="B607" t="s">
        <v>15704</v>
      </c>
      <c r="C607" t="s">
        <v>15724</v>
      </c>
      <c r="D607" t="s">
        <v>4310</v>
      </c>
      <c r="F607" t="str">
        <f>Config!$B$7</f>
        <v>SCH/Connector.SchLib</v>
      </c>
      <c r="G607" t="s">
        <v>14827</v>
      </c>
      <c r="H607" t="s">
        <v>15040</v>
      </c>
      <c r="I607" t="s">
        <v>15606</v>
      </c>
      <c r="K607" s="47" t="s">
        <v>16103</v>
      </c>
      <c r="L607" t="s">
        <v>16094</v>
      </c>
      <c r="M607" t="s">
        <v>16115</v>
      </c>
    </row>
    <row r="608" spans="1:13">
      <c r="A608" t="s">
        <v>15705</v>
      </c>
      <c r="B608" t="s">
        <v>15705</v>
      </c>
      <c r="C608" t="s">
        <v>15725</v>
      </c>
      <c r="D608" t="s">
        <v>4310</v>
      </c>
      <c r="F608" t="str">
        <f>Config!$B$7</f>
        <v>SCH/Connector.SchLib</v>
      </c>
      <c r="G608" t="s">
        <v>14827</v>
      </c>
      <c r="H608" t="s">
        <v>15040</v>
      </c>
      <c r="I608" t="s">
        <v>15607</v>
      </c>
      <c r="K608" s="47" t="s">
        <v>16103</v>
      </c>
      <c r="L608" t="s">
        <v>16095</v>
      </c>
      <c r="M608" t="s">
        <v>16115</v>
      </c>
    </row>
    <row r="609" spans="1:13">
      <c r="A609" t="s">
        <v>15706</v>
      </c>
      <c r="B609" t="s">
        <v>15706</v>
      </c>
      <c r="C609" t="s">
        <v>15726</v>
      </c>
      <c r="D609" t="s">
        <v>4310</v>
      </c>
      <c r="F609" t="str">
        <f>Config!$B$7</f>
        <v>SCH/Connector.SchLib</v>
      </c>
      <c r="G609" t="s">
        <v>14827</v>
      </c>
      <c r="H609" t="s">
        <v>15040</v>
      </c>
      <c r="I609" t="s">
        <v>15608</v>
      </c>
      <c r="K609" s="47" t="s">
        <v>16103</v>
      </c>
      <c r="L609" t="s">
        <v>16107</v>
      </c>
      <c r="M609" t="s">
        <v>16115</v>
      </c>
    </row>
    <row r="610" spans="1:13">
      <c r="A610" t="s">
        <v>15707</v>
      </c>
      <c r="B610" t="s">
        <v>15707</v>
      </c>
      <c r="C610" t="s">
        <v>15727</v>
      </c>
      <c r="D610" t="s">
        <v>4310</v>
      </c>
      <c r="F610" t="str">
        <f>Config!$B$7</f>
        <v>SCH/Connector.SchLib</v>
      </c>
      <c r="G610" t="s">
        <v>14827</v>
      </c>
      <c r="H610" t="s">
        <v>15040</v>
      </c>
      <c r="I610" t="s">
        <v>15609</v>
      </c>
      <c r="K610" s="47" t="s">
        <v>16103</v>
      </c>
      <c r="L610" t="s">
        <v>16100</v>
      </c>
      <c r="M610" t="s">
        <v>16115</v>
      </c>
    </row>
    <row r="611" spans="1:13">
      <c r="A611" t="s">
        <v>15708</v>
      </c>
      <c r="B611" t="s">
        <v>15708</v>
      </c>
      <c r="C611" t="s">
        <v>15728</v>
      </c>
      <c r="D611" t="s">
        <v>4310</v>
      </c>
      <c r="F611" t="str">
        <f>Config!$B$7</f>
        <v>SCH/Connector.SchLib</v>
      </c>
      <c r="G611" t="s">
        <v>14827</v>
      </c>
      <c r="H611" t="s">
        <v>15040</v>
      </c>
      <c r="I611" t="s">
        <v>15610</v>
      </c>
      <c r="K611" s="47" t="s">
        <v>16103</v>
      </c>
      <c r="L611" t="s">
        <v>16108</v>
      </c>
      <c r="M611" t="s">
        <v>16115</v>
      </c>
    </row>
    <row r="612" spans="1:13">
      <c r="A612" t="s">
        <v>15709</v>
      </c>
      <c r="B612" t="s">
        <v>15709</v>
      </c>
      <c r="C612" t="s">
        <v>15729</v>
      </c>
      <c r="D612" t="s">
        <v>4310</v>
      </c>
      <c r="F612" t="str">
        <f>Config!$B$7</f>
        <v>SCH/Connector.SchLib</v>
      </c>
      <c r="G612" t="s">
        <v>14827</v>
      </c>
      <c r="H612" t="s">
        <v>15040</v>
      </c>
      <c r="I612" t="s">
        <v>15611</v>
      </c>
      <c r="K612" s="47" t="s">
        <v>16103</v>
      </c>
      <c r="L612" t="s">
        <v>16113</v>
      </c>
      <c r="M612" t="s">
        <v>16115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2026-09-25T08:18:56Z</dcterms:modified>
</cp:coreProperties>
</file>