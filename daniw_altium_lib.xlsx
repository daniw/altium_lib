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00_GitRepos\altium_lib\"/>
    </mc:Choice>
  </mc:AlternateContent>
  <xr:revisionPtr revIDLastSave="0" documentId="13_ncr:1_{FF4C3E55-1584-4053-82F2-E83EA33ED1C8}" xr6:coauthVersionLast="47" xr6:coauthVersionMax="47" xr10:uidLastSave="{00000000-0000-0000-0000-000000000000}"/>
  <bookViews>
    <workbookView xWindow="-120" yWindow="-120" windowWidth="38640" windowHeight="21120" activeTab="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7" i="7" l="1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9" i="8"/>
  <c r="G273" i="10"/>
  <c r="G7" i="12"/>
  <c r="G186" i="4"/>
  <c r="G342" i="7"/>
  <c r="G530" i="7"/>
  <c r="AB530" i="7"/>
  <c r="G702" i="7"/>
  <c r="G90" i="8"/>
  <c r="G256" i="10"/>
  <c r="G257" i="10"/>
  <c r="G258" i="10"/>
  <c r="G260" i="10"/>
  <c r="G259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6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2" i="10"/>
  <c r="G98" i="8"/>
  <c r="G185" i="4"/>
  <c r="G272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1" i="10"/>
  <c r="G271" i="10"/>
  <c r="I270" i="10"/>
  <c r="G270" i="10"/>
  <c r="I269" i="10"/>
  <c r="G269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4" i="10"/>
  <c r="G266" i="10"/>
  <c r="G268" i="10"/>
  <c r="G267" i="10"/>
  <c r="G265" i="10"/>
  <c r="G263" i="10"/>
  <c r="G261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5" i="8"/>
  <c r="G194" i="8"/>
  <c r="G193" i="8"/>
  <c r="G190" i="8"/>
  <c r="G191" i="8"/>
  <c r="G192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89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8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7" i="8"/>
  <c r="G186" i="8"/>
  <c r="G1393" i="7"/>
  <c r="G185" i="8"/>
  <c r="G184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3" i="8"/>
  <c r="G18" i="4"/>
  <c r="G17" i="4"/>
  <c r="G1389" i="7"/>
  <c r="G16" i="4"/>
  <c r="G15" i="4"/>
  <c r="G182" i="8"/>
  <c r="G177" i="8"/>
  <c r="G180" i="8"/>
  <c r="G96" i="8"/>
  <c r="G181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8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<sst xmlns="http://schemas.openxmlformats.org/spreadsheetml/2006/main" count="59761" uniqueCount="16925">
  <si>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</si>
  <si>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</si>
  <si>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</si>
  <si>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</si>
  <si>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</si>
  <si>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</si>
  <si>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</si>
  <si>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</si>
  <si>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</si>
  <si>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</si>
  <si>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</si>
  <si>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</si>
  <si>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</si>
  <si>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</si>
  <si>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</si>
  <si>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</si>
  <si>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</si>
  <si>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</si>
  <si>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</si>
  <si>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</si>
  <si>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</si>
  <si>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</si>
  <si>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</si>
  <si>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</si>
  <si>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</si>
  <si>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</si>
  <si>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</si>
  <si>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</si>
  <si>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</si>
  <si>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</si>
  <si>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</si>
  <si>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</si>
  <si>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</si>
  <si>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</si>
  <si>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</si>
  <si>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</si>
  <si>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</si>
  <si>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</si>
  <si>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</si>
  <si>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</si>
  <si>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</si>
  <si>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</si>
  <si>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</si>
  <si>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</si>
  <si>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</si>
  <si>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</si>
  <si>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</si>
  <si>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</si>
  <si>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</si>
  <si>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</si>
  <si>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</si>
  <si>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</si>
  <si>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</si>
  <si>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</si>
  <si>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</si>
  <si>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</si>
  <si>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</si>
  <si>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</si>
  <si>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</si>
  <si>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</si>
  <si>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</si>
  <si>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</si>
  <si>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</si>
  <si>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</si>
  <si>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</si>
  <si>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</si>
  <si>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</si>
  <si>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</si>
  <si>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</si>
  <si>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</si>
  <si>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</si>
  <si>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</si>
  <si>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</si>
  <si>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</si>
  <si>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</si>
  <si>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</si>
  <si>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</si>
  <si>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</si>
  <si>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</si>
  <si>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</si>
  <si>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</si>
  <si>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</si>
  <si>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</si>
  <si>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</si>
  <si>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</si>
  <si>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</si>
  <si>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</si>
  <si>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</si>
  <si>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</si>
  <si>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</si>
  <si>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</si>
  <si>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</si>
  <si>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</si>
  <si>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</si>
  <si>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</si>
  <si>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</si>
  <si>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</si>
  <si>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</si>
  <si>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</si>
  <si>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</si>
  <si>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</si>
  <si>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</si>
  <si>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</si>
  <si>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</si>
  <si>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</si>
  <si>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</si>
  <si>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</si>
  <si>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</si>
  <si>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</si>
  <si>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</si>
  <si>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</si>
  <si>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</si>
  <si>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</si>
  <si>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</si>
  <si>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</si>
  <si>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</si>
  <si>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</si>
  <si>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</si>
  <si>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</si>
  <si>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</si>
  <si>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</si>
  <si>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</si>
  <si>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</si>
  <si>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</si>
  <si>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</si>
  <si>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</si>
  <si>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</si>
  <si>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</si>
  <si>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</si>
  <si>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</si>
  <si>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</si>
  <si>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</si>
  <si>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</si>
  <si>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</si>
  <si>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</si>
  <si>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</si>
  <si>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</si>
  <si>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</si>
  <si>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</si>
  <si>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</si>
  <si>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</si>
  <si>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</si>
  <si>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</si>
  <si>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</si>
  <si>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</si>
  <si>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</si>
  <si>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</si>
  <si>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</si>
  <si>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</si>
  <si>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</si>
  <si>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</si>
  <si>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</si>
  <si>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</si>
  <si>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</si>
  <si>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</si>
  <si>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</si>
  <si>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</si>
  <si>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</si>
  <si>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</si>
  <si>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</si>
  <si>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</si>
  <si>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</si>
  <si>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</si>
  <si>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</si>
  <si>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</si>
  <si>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</si>
  <si>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</si>
  <si>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</si>
  <si>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</si>
  <si>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</si>
  <si>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</si>
  <si>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</si>
  <si>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</si>
  <si>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</si>
  <si>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</si>
  <si>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</si>
  <si>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</si>
  <si>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</si>
  <si>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</si>
  <si>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</si>
  <si>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</si>
  <si>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</si>
  <si>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</si>
  <si>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</si>
  <si>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</si>
  <si>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</si>
  <si>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</si>
  <si>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</si>
  <si>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</si>
  <si>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</si>
  <si>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</si>
  <si>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</si>
  <si>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</si>
  <si>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</si>
  <si>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</si>
  <si>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</si>
  <si>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</si>
  <si>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</si>
  <si>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</si>
  <si>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</si>
  <si>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</si>
  <si>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</si>
  <si>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</si>
  <si>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</si>
  <si>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</si>
  <si>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</si>
  <si>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</si>
  <si>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</si>
  <si>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</si>
  <si>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</si>
  <si>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</si>
  <si>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</si>
  <si>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</si>
  <si>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</si>
  <si>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</si>
  <si>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</si>
  <si>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</si>
  <si>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</si>
  <si>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</si>
  <si>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</si>
  <si>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</si>
  <si>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</si>
  <si>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</si>
  <si>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</si>
  <si>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</si>
  <si>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</si>
  <si>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</si>
  <si>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</si>
  <si>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</si>
  <si>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</si>
  <si>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</si>
  <si>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</si>
  <si>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</si>
  <si>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</si>
  <si>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</si>
  <si>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</si>
  <si>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</si>
  <si>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</si>
  <si>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</si>
  <si>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</si>
  <si>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</si>
  <si>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</si>
  <si>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</si>
  <si>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</si>
  <si>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</si>
  <si>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</si>
  <si>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</si>
  <si>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</si>
  <si>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</si>
  <si>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</si>
  <si>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</si>
  <si>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</si>
  <si>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</si>
  <si>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</si>
  <si>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</si>
  <si>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</si>
  <si>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</si>
  <si>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</si>
  <si>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</si>
  <si>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</si>
  <si>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</si>
  <si>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</si>
  <si>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</si>
  <si>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</si>
  <si>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</si>
  <si>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</si>
  <si>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</si>
  <si>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</si>
  <si>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</si>
  <si>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</si>
  <si>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</si>
  <si>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</si>
  <si>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</si>
  <si>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</si>
  <si>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</si>
  <si>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</si>
  <si>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</si>
  <si>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</si>
  <si>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</si>
  <si>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</si>
  <si>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</si>
  <si>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</si>
  <si>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</si>
  <si>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</si>
  <si>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</si>
  <si>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</si>
  <si>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</si>
  <si>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</si>
  <si>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</si>
  <si>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</si>
  <si>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</si>
  <si>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</si>
  <si>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</si>
  <si>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</si>
  <si>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</si>
  <si>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</si>
  <si>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</si>
  <si>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</si>
  <si>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</si>
  <si>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</si>
  <si>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</si>
  <si>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</si>
  <si>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</si>
  <si>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</si>
  <si>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</si>
  <si>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</si>
  <si>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</si>
  <si>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</si>
  <si>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</si>
  <si>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</si>
  <si>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</si>
  <si>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</si>
  <si>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</si>
  <si>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</si>
  <si>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</si>
  <si>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</si>
  <si>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</si>
  <si>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</si>
  <si>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</si>
  <si>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</si>
  <si>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</si>
  <si>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</si>
  <si>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</si>
  <si>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</si>
  <si>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</si>
  <si>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</si>
  <si>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</si>
  <si>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</si>
  <si>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</si>
  <si>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</si>
  <si>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</si>
  <si>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</si>
  <si>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</si>
  <si>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</si>
  <si>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</si>
  <si>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</si>
  <si>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</si>
  <si>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</si>
  <si>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</si>
  <si>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</si>
  <si>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</si>
  <si>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</si>
  <si>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</si>
  <si>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</si>
  <si>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</si>
  <si>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</si>
  <si>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</si>
  <si>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</si>
  <si>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</si>
  <si>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</si>
  <si>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</si>
  <si>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</si>
  <si>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</si>
  <si>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</si>
  <si>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</si>
  <si>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</si>
  <si>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</si>
  <si>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</si>
  <si>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</si>
  <si>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</si>
  <si>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</si>
  <si>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</si>
  <si>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</si>
  <si>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</si>
  <si>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</si>
  <si>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</si>
  <si>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</si>
  <si>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</si>
  <si>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</si>
  <si>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</si>
  <si>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</si>
  <si>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</si>
  <si>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</si>
  <si>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</si>
  <si>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</si>
  <si>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</si>
  <si>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</si>
  <si>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</si>
  <si>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</si>
  <si>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</si>
  <si>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</si>
  <si>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</si>
  <si>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</si>
  <si>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</si>
  <si>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</si>
  <si>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</si>
  <si>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</si>
  <si>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</si>
  <si>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</si>
  <si>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</si>
  <si>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</si>
  <si>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</si>
  <si>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</si>
  <si>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</si>
  <si>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</si>
  <si>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</si>
  <si>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</si>
  <si>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</si>
  <si>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</si>
  <si>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</si>
  <si>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</si>
  <si>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</si>
  <si>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</si>
  <si>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</si>
  <si>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</si>
  <si>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</si>
  <si>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</si>
  <si>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</si>
  <si>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</si>
  <si>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</si>
  <si>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</si>
  <si>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</si>
  <si>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</si>
  <si>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</si>
  <si>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</si>
  <si>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</si>
  <si>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</si>
  <si>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</si>
  <si>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</si>
  <si>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</si>
  <si>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</si>
  <si>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</si>
  <si>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</si>
  <si>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</si>
  <si>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</si>
  <si>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</si>
  <si>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</si>
  <si>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</si>
  <si>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</si>
  <si>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</si>
  <si>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</si>
  <si>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</si>
  <si>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</si>
  <si>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</si>
  <si>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</si>
  <si>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</si>
  <si>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</si>
  <si>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</si>
  <si>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</si>
  <si>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</si>
  <si>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</si>
  <si>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</si>
  <si>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</si>
  <si>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</si>
  <si>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</si>
  <si>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</si>
  <si>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</si>
  <si>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</si>
  <si>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</si>
  <si>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</si>
  <si>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</si>
  <si>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</si>
  <si>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</si>
  <si>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</si>
  <si>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</si>
  <si>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</si>
  <si>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</si>
  <si>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</si>
  <si>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</si>
  <si>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</si>
  <si>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</si>
  <si>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</si>
  <si>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</si>
  <si>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</si>
  <si>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</si>
  <si>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</si>
  <si>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</si>
  <si>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</si>
  <si>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</si>
  <si>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</si>
  <si>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</si>
  <si>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</si>
  <si>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</si>
  <si>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</si>
  <si>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</si>
  <si>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</si>
  <si>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</si>
  <si>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</si>
  <si>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</si>
  <si>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</si>
  <si>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</si>
  <si>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</si>
  <si>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</si>
  <si>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</si>
  <si>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</si>
  <si>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</si>
  <si>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</si>
  <si>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</si>
  <si>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</si>
  <si>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</si>
  <si>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</si>
  <si>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</si>
  <si>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</si>
  <si>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</si>
  <si>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</si>
  <si>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</si>
  <si>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</si>
  <si>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</si>
  <si>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</si>
  <si>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</si>
  <si>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</si>
  <si>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</si>
  <si>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</si>
  <si>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</si>
  <si>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</si>
  <si>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</si>
  <si>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</si>
  <si>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</si>
  <si>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</si>
  <si>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</si>
  <si>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</si>
  <si>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</si>
  <si>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</si>
  <si>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</si>
  <si>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</si>
  <si>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</si>
  <si>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</si>
  <si>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</si>
  <si>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</si>
  <si>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</si>
  <si>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</si>
  <si>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</si>
  <si>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</si>
  <si>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</si>
  <si>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</si>
  <si>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</si>
  <si>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</si>
  <si>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</si>
  <si>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</si>
  <si>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</si>
  <si>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</si>
  <si>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</si>
  <si>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</si>
  <si>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</si>
  <si>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</si>
  <si>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</si>
  <si>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</si>
  <si>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</si>
  <si>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</si>
  <si>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</si>
  <si>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</si>
  <si>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</si>
  <si>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</si>
  <si>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</si>
  <si>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</si>
  <si>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</si>
  <si>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</si>
  <si>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</si>
  <si>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</si>
  <si>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</si>
  <si>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</si>
  <si>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</si>
  <si>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</si>
  <si>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</si>
  <si>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</si>
  <si>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</si>
  <si>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</si>
  <si>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</si>
  <si>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</si>
  <si>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</si>
  <si>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</si>
  <si>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</si>
  <si>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</si>
  <si>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</si>
  <si>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</si>
  <si>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</si>
  <si>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</si>
  <si>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</si>
  <si>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</si>
  <si>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</si>
  <si>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</si>
  <si>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</si>
  <si>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</si>
  <si>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</si>
  <si>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</si>
  <si>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</si>
  <si>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</si>
  <si>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</si>
  <si>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</si>
  <si>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</si>
  <si>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</si>
  <si>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</si>
  <si>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</si>
  <si>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</si>
  <si>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</si>
  <si>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</si>
  <si>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</si>
  <si>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</si>
  <si>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</si>
  <si>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</si>
  <si>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</si>
  <si>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</si>
  <si>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</si>
  <si>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</si>
  <si>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</si>
  <si>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</si>
  <si>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</si>
  <si>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</si>
  <si>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</si>
  <si>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</si>
  <si>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</si>
  <si>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</si>
  <si>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</si>
  <si>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</si>
  <si>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</si>
  <si>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</si>
  <si>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</si>
  <si>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</si>
  <si>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</si>
  <si>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</si>
  <si>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</si>
  <si>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</si>
  <si>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</si>
  <si>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</si>
  <si>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</si>
  <si>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</si>
  <si>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</si>
  <si>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</si>
  <si>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</si>
  <si>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</si>
  <si>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</si>
  <si>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</si>
  <si>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</si>
  <si>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</si>
  <si>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</si>
  <si>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</si>
  <si>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</si>
  <si>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</si>
  <si>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</si>
  <si>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</si>
  <si>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</si>
  <si>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</si>
  <si>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</si>
  <si>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</si>
  <si>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</si>
  <si>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</si>
  <si>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</si>
  <si>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</si>
  <si>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</si>
  <si>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</si>
  <si>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</si>
  <si>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</si>
  <si>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</si>
  <si>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</si>
  <si>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</si>
  <si>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</si>
  <si>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</si>
  <si>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</si>
  <si>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</si>
  <si>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</si>
  <si>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</si>
  <si>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</si>
  <si>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</si>
  <si>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</si>
  <si>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</si>
  <si>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</si>
  <si>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</si>
  <si>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</si>
  <si>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</si>
  <si>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</si>
  <si>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</si>
  <si>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</si>
  <si>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</si>
  <si>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</si>
  <si>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</si>
  <si>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</si>
  <si>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</si>
  <si>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</si>
  <si>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</si>
  <si>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</si>
  <si>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</si>
  <si>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</si>
  <si>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</si>
  <si>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</si>
  <si>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</si>
  <si>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</si>
  <si>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</si>
  <si>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</si>
  <si>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</si>
  <si>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</si>
  <si>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</si>
  <si>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</si>
  <si>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</si>
  <si>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</si>
  <si>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</si>
  <si>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</si>
  <si>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</si>
  <si>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</si>
  <si>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</si>
  <si>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</si>
  <si>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</si>
  <si>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</si>
  <si>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</si>
  <si>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</si>
  <si>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</si>
  <si>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</si>
  <si>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</si>
  <si>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</si>
  <si>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</si>
  <si>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</si>
  <si>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</si>
  <si>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</si>
  <si>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</si>
  <si>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</si>
  <si>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</si>
  <si>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</si>
  <si>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</si>
  <si>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</si>
  <si>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</si>
  <si>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</si>
  <si>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</si>
  <si>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</si>
  <si>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</si>
  <si>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</si>
  <si>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</si>
  <si>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</si>
  <si>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</si>
  <si>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</si>
  <si>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</si>
  <si>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</si>
  <si>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</si>
  <si>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</si>
  <si>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</si>
  <si>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</si>
  <si>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</si>
  <si>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</si>
  <si>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</si>
  <si>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</si>
  <si>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</si>
  <si>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</si>
  <si>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</si>
  <si>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</si>
  <si>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</si>
  <si>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</si>
  <si>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</si>
  <si>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</si>
  <si>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</si>
  <si>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</si>
  <si>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</si>
  <si>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</si>
  <si>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</si>
  <si>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</si>
  <si>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</si>
  <si>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</si>
  <si>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</si>
  <si>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</si>
  <si>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</si>
  <si>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</si>
  <si>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</si>
  <si>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</si>
  <si>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</si>
  <si>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</si>
  <si>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</si>
  <si>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</si>
  <si>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</si>
  <si>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</si>
  <si>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</si>
  <si>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</si>
  <si>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</si>
  <si>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</si>
  <si>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</si>
  <si>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</si>
  <si>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</si>
  <si>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</si>
  <si>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</si>
  <si>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</si>
  <si>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</si>
  <si>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</si>
  <si>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</si>
  <si>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</si>
  <si>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</si>
  <si>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</si>
  <si>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</si>
  <si>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</si>
  <si>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</si>
  <si>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</si>
  <si>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</si>
  <si>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</si>
  <si>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</si>
  <si>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</si>
  <si>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</si>
  <si>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</si>
  <si>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</si>
  <si>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</si>
  <si>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</si>
  <si>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</si>
  <si>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</si>
  <si>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</si>
  <si>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</si>
  <si>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</si>
  <si>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</si>
  <si>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</si>
  <si>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</si>
  <si>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</si>
  <si>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</si>
  <si>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</si>
  <si>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</si>
  <si>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</si>
  <si>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</si>
  <si>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</si>
  <si>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</si>
  <si>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</si>
  <si>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</si>
  <si>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</si>
  <si>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</si>
  <si>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</si>
  <si>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</si>
  <si>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</si>
  <si>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</si>
  <si>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</si>
  <si>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</si>
  <si>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</si>
  <si>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</si>
  <si>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</si>
  <si>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</si>
  <si>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</si>
  <si>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</si>
  <si>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</si>
  <si>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</si>
  <si>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</si>
  <si>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</si>
  <si>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</si>
  <si>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</si>
  <si>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</si>
  <si>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</si>
  <si>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</si>
  <si>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</si>
  <si>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</si>
  <si>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</si>
  <si>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</si>
  <si>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</si>
  <si>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</si>
  <si>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</si>
  <si>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</si>
  <si>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</si>
  <si>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</si>
  <si>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</si>
  <si>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</si>
  <si>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</si>
  <si>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</si>
  <si>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</si>
  <si>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</si>
  <si>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</si>
  <si>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</si>
  <si>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</si>
  <si>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</si>
  <si>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</si>
  <si>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</si>
  <si>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</si>
  <si>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</si>
  <si>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</si>
  <si>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</si>
  <si>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</si>
  <si>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</si>
  <si>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</si>
  <si>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</si>
  <si>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</si>
  <si>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</si>
  <si>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</si>
  <si>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</si>
  <si>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</si>
  <si>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</si>
  <si>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</si>
  <si>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</si>
  <si>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</si>
  <si>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</si>
  <si>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</si>
  <si>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</si>
  <si>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</si>
  <si>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</si>
  <si>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</si>
  <si>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</si>
  <si>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</si>
  <si>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</si>
  <si>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</si>
  <si>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</si>
  <si>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</si>
  <si>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</si>
  <si>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</si>
  <si>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</si>
  <si>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</si>
  <si>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</si>
  <si>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</si>
  <si>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</si>
  <si>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</si>
  <si>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</si>
  <si>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</si>
  <si>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</si>
  <si>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</si>
  <si>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</si>
  <si>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</si>
  <si>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</si>
  <si>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</si>
  <si>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</si>
  <si>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</si>
  <si>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</si>
  <si>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</si>
  <si>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</si>
  <si>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</si>
  <si>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</si>
  <si>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</si>
  <si>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</si>
  <si>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</si>
  <si>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</si>
  <si>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</si>
  <si>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</si>
  <si>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</si>
  <si>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</si>
  <si>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</si>
  <si>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</si>
  <si>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</si>
  <si>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</si>
  <si>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</si>
  <si>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</si>
  <si>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</si>
  <si>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</si>
  <si>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</si>
  <si>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</si>
  <si>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</si>
  <si>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</si>
  <si>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</si>
  <si>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</si>
  <si>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</si>
  <si>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</si>
  <si>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</si>
  <si>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</si>
  <si>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</si>
  <si>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</si>
  <si>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</si>
  <si>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</si>
  <si>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</si>
  <si>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</si>
  <si>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</si>
  <si>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</si>
  <si>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</si>
  <si>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</si>
  <si>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</si>
  <si>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</si>
  <si>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</si>
  <si>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</si>
  <si>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</si>
  <si>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</si>
  <si>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</si>
  <si>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</si>
  <si>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</si>
  <si>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</si>
  <si>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</si>
  <si>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</si>
  <si>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</si>
  <si>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</si>
  <si>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</si>
  <si>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</si>
  <si>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</si>
  <si>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</si>
  <si>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</si>
  <si>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</si>
  <si>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</si>
  <si>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</si>
  <si>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</si>
  <si>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</si>
  <si>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</si>
  <si>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</si>
  <si>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</si>
  <si>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</si>
  <si>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</si>
  <si>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</si>
  <si>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</si>
  <si>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</si>
  <si>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</si>
  <si>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</si>
  <si>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</si>
  <si>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</si>
  <si>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</si>
  <si>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</si>
  <si>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</si>
  <si>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</si>
  <si>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</si>
  <si>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</si>
  <si>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</si>
  <si>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</si>
  <si>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</si>
  <si>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</si>
  <si>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</si>
  <si>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</si>
  <si>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</si>
  <si>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</si>
  <si>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</si>
  <si>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</si>
  <si>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</si>
  <si>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</si>
  <si>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</si>
  <si>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</si>
  <si>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</si>
  <si>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</si>
  <si>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</si>
  <si>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</si>
  <si>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</si>
  <si>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</si>
  <si>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</si>
  <si>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</si>
  <si>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</si>
  <si>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</si>
  <si>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</si>
  <si>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</si>
  <si>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</si>
  <si>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</si>
  <si>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</si>
  <si>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</si>
  <si>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</si>
  <si>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</si>
  <si>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</si>
  <si>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</si>
  <si>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</si>
  <si>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</si>
  <si>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</si>
  <si>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</si>
  <si>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</si>
  <si>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</si>
  <si>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</si>
  <si>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</si>
  <si>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</si>
  <si>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</si>
  <si>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</si>
  <si>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</si>
  <si>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</si>
  <si>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</si>
  <si>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</si>
  <si>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</si>
  <si>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</si>
  <si>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</si>
  <si>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</si>
  <si>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</si>
  <si>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</si>
  <si>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</si>
  <si>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</si>
  <si>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</si>
  <si>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</si>
  <si>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</si>
  <si>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</si>
  <si>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</si>
  <si>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</si>
  <si>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</si>
  <si>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</si>
  <si>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</si>
  <si>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</si>
  <si>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</si>
  <si>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</si>
  <si>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</si>
  <si>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</si>
  <si>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</si>
  <si>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</si>
  <si>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</si>
  <si>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</si>
  <si>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</si>
  <si>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</si>
  <si>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</si>
  <si>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</si>
  <si>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</si>
  <si>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</si>
  <si>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</si>
  <si>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</si>
  <si>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</si>
  <si>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</si>
  <si>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</si>
  <si>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</si>
  <si>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</si>
  <si>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</si>
  <si>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</si>
  <si>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</si>
  <si>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</si>
  <si>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</si>
  <si>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</si>
  <si>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</si>
  <si>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</si>
  <si>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</si>
  <si>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</si>
  <si>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</si>
  <si>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</si>
  <si>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</si>
  <si>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</si>
  <si>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</si>
  <si>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</si>
  <si>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</si>
  <si>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</si>
  <si>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</si>
  <si>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</si>
  <si>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</si>
  <si>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</si>
  <si>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</si>
  <si>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</si>
  <si>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</si>
  <si>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</si>
  <si>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</si>
  <si>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</si>
  <si>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</si>
  <si>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</si>
  <si>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</si>
  <si>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</si>
  <si>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</si>
  <si>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</si>
  <si>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</si>
  <si>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</si>
  <si>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</si>
  <si>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</si>
  <si>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</si>
  <si>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</si>
  <si>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</si>
  <si>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</si>
  <si>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</si>
  <si>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</si>
  <si>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</si>
  <si>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</si>
  <si>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</si>
  <si>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</si>
  <si>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</si>
  <si>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</si>
  <si>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</si>
  <si>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</si>
  <si>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</si>
  <si>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</si>
  <si>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</si>
  <si>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</si>
  <si>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</si>
  <si>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</si>
  <si>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</si>
  <si>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</si>
  <si>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</si>
  <si>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</si>
  <si>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</si>
  <si>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</si>
  <si>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</si>
  <si>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</si>
  <si>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</si>
  <si>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</si>
  <si>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</si>
  <si>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</si>
  <si>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</si>
  <si>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</si>
  <si>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</si>
  <si>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</si>
  <si>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</si>
  <si>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</si>
  <si>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</si>
  <si>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</si>
  <si>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</si>
  <si>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</si>
  <si>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</si>
  <si>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</si>
  <si>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</si>
  <si>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</si>
  <si>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</si>
  <si>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</si>
  <si>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</si>
  <si>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</si>
  <si>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</si>
  <si>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</si>
  <si>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</si>
  <si>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</si>
  <si>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</si>
  <si>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</si>
  <si>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</si>
  <si>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</si>
  <si>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</si>
  <si>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</si>
  <si>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</si>
  <si>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</si>
  <si>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</si>
  <si>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</si>
  <si>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</si>
  <si>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</si>
  <si>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</si>
  <si>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</si>
  <si>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</si>
  <si>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</si>
  <si>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</si>
  <si>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</si>
  <si>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</si>
  <si>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</si>
  <si>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</si>
  <si>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</si>
  <si>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</si>
  <si>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</si>
  <si>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</si>
  <si>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</si>
  <si>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</si>
  <si>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</si>
  <si>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</si>
  <si>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</si>
  <si>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</si>
  <si>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</si>
  <si>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</si>
  <si>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</si>
  <si>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</si>
  <si>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</si>
  <si>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</si>
  <si>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</si>
  <si>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</si>
  <si>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</si>
  <si>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</si>
  <si>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</si>
  <si>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</si>
  <si>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</si>
  <si>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</si>
  <si>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</si>
  <si>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</si>
  <si>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</si>
  <si>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</si>
  <si>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</si>
  <si>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</si>
  <si>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</si>
  <si>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</si>
  <si>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</si>
  <si>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</si>
  <si>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</si>
  <si>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</si>
  <si>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</si>
  <si>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</si>
  <si>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</si>
  <si>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</si>
  <si>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</si>
  <si>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</si>
  <si>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</si>
  <si>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</si>
  <si>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</si>
  <si>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</si>
  <si>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</si>
  <si>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</si>
  <si>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</si>
  <si>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</si>
  <si>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</si>
  <si>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</si>
  <si>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</si>
  <si>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</si>
  <si>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</si>
  <si>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</si>
  <si>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</si>
  <si>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</si>
  <si>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</si>
  <si>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</si>
  <si>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</si>
  <si>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</si>
  <si>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</si>
  <si>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</si>
  <si>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</si>
  <si>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</si>
  <si>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</si>
  <si>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</si>
  <si>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</si>
  <si>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</si>
  <si>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</si>
  <si>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</si>
  <si>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</si>
  <si>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</si>
  <si>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</si>
  <si>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</si>
  <si>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</si>
  <si>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</si>
  <si>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</si>
  <si>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</si>
  <si>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</si>
  <si>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</si>
  <si>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</si>
  <si>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</si>
  <si>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</si>
  <si>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</si>
  <si>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</si>
  <si>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</si>
  <si>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</si>
  <si>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</si>
  <si>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</si>
  <si>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</si>
  <si>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</si>
  <si>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</si>
  <si>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</si>
  <si>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</si>
  <si>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</si>
  <si>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</si>
  <si>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</si>
  <si>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</si>
  <si>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</si>
  <si>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</si>
  <si>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</si>
  <si>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</si>
  <si>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</si>
  <si>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</si>
  <si>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</si>
  <si>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</si>
  <si>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</si>
  <si>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</si>
  <si>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</si>
  <si>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</si>
  <si>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</si>
  <si>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</si>
  <si>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</si>
  <si>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</si>
  <si>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</si>
  <si>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</si>
  <si>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</si>
  <si>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</si>
  <si>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</si>
  <si>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</si>
  <si>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</si>
  <si>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</si>
  <si>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</si>
  <si>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</si>
  <si>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</si>
  <si>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</si>
  <si>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</si>
  <si>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</si>
  <si>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</si>
  <si>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</si>
  <si>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</si>
  <si>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</si>
  <si>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</si>
  <si>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</si>
  <si>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</si>
  <si>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</si>
  <si>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</si>
  <si>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</si>
  <si>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</si>
  <si>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</si>
  <si>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</si>
  <si>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</si>
  <si>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</si>
  <si>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</si>
  <si>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</si>
  <si>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</si>
  <si>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</si>
  <si>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</si>
  <si>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</si>
  <si>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</si>
  <si>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</si>
  <si>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</si>
  <si>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</si>
  <si>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</si>
  <si>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</si>
  <si>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</si>
  <si>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</si>
  <si>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</si>
  <si>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</si>
  <si>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</si>
  <si>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</si>
  <si>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</si>
  <si>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</si>
  <si>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</si>
  <si>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</si>
  <si>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</si>
  <si>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</si>
  <si>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</si>
  <si>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</si>
  <si>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</si>
  <si>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</si>
  <si>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</si>
  <si>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</si>
  <si>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</si>
  <si>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</si>
  <si>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</si>
  <si>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</si>
  <si>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</si>
  <si>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</si>
  <si>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</si>
  <si>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</si>
  <si>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</si>
  <si>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</si>
  <si>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</si>
  <si>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</si>
  <si>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</si>
  <si>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</si>
  <si>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</si>
  <si>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</si>
  <si>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</si>
  <si>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</si>
  <si>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</si>
  <si>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</si>
  <si>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</si>
  <si>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</si>
  <si>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</si>
  <si>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</si>
  <si>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</si>
  <si>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</si>
  <si>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</si>
  <si>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</si>
  <si>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</si>
  <si>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</si>
  <si>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</si>
  <si>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</si>
  <si>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</si>
  <si>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</si>
  <si>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</si>
  <si>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</si>
  <si>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</si>
  <si>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</si>
  <si>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</si>
  <si>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</si>
  <si>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</si>
  <si>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</si>
  <si>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</si>
  <si>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</si>
  <si>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</si>
  <si>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</si>
  <si>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</si>
  <si>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</si>
  <si>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</si>
  <si>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</si>
  <si>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</si>
  <si>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</si>
  <si>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</si>
  <si>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</si>
  <si>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</si>
  <si>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</si>
  <si>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</si>
  <si>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</si>
  <si>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</si>
  <si>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</si>
  <si>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</si>
  <si>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</si>
  <si>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</si>
  <si>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</si>
  <si>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</si>
  <si>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</si>
  <si>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</si>
  <si>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</si>
  <si>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</si>
  <si>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</si>
  <si>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</si>
  <si>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</si>
  <si>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</si>
  <si>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</si>
  <si>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</si>
  <si>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</si>
  <si>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</si>
  <si>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</si>
  <si>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</si>
  <si>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</si>
  <si>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</si>
  <si>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</si>
  <si>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</si>
  <si>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</si>
  <si>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</si>
  <si>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</si>
  <si>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</si>
  <si>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</si>
  <si>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</si>
  <si>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</si>
  <si>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</si>
  <si>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</si>
  <si>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</si>
  <si>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</si>
  <si>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</si>
  <si>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</si>
  <si>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</si>
  <si>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</si>
  <si>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</si>
  <si>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</si>
  <si>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</si>
  <si>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</si>
  <si>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</si>
  <si>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</si>
  <si>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</si>
  <si>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</si>
  <si>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</si>
  <si>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</si>
  <si>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</si>
  <si>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</si>
  <si>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</si>
  <si>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</si>
  <si>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</si>
  <si>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</si>
  <si>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</si>
  <si>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</si>
  <si>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</si>
  <si>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</si>
  <si>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</si>
  <si>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</si>
  <si>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</si>
  <si>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</si>
  <si>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</si>
  <si>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</si>
  <si>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</si>
  <si>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</si>
  <si>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</si>
  <si>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</si>
  <si>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</si>
  <si>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</si>
  <si>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</si>
  <si>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</si>
  <si>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</si>
  <si>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</si>
  <si>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</si>
  <si>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</si>
  <si>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</si>
  <si>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</si>
  <si>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</si>
  <si>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</si>
  <si>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</si>
  <si>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</si>
  <si>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</si>
  <si>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</si>
  <si>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</si>
  <si>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</si>
  <si>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</si>
  <si>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</si>
  <si>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</si>
  <si>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</si>
  <si>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</si>
  <si>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</si>
  <si>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</si>
  <si>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</si>
  <si>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</si>
  <si>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</si>
  <si>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</si>
  <si>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</si>
  <si>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</si>
  <si>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</si>
  <si>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</si>
  <si>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</si>
  <si>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</si>
  <si>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</si>
  <si>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</si>
  <si>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</si>
  <si>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</si>
  <si>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</si>
  <si>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</si>
  <si>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</si>
  <si>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</si>
  <si>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</si>
  <si>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</si>
  <si>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</si>
  <si>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</si>
  <si>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</si>
  <si>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</si>
  <si>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</si>
  <si>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</si>
  <si>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</si>
  <si>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</si>
  <si>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</si>
  <si>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</si>
  <si>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</si>
  <si>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</si>
  <si>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</si>
  <si>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</si>
  <si>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</si>
  <si>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</si>
  <si>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</si>
  <si>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</si>
  <si>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</si>
  <si>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</si>
  <si>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</si>
  <si>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</si>
  <si>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</si>
  <si>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</si>
  <si>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</si>
  <si>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</si>
  <si>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</si>
  <si>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</si>
  <si>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</si>
  <si>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</si>
  <si>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</si>
  <si>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</si>
  <si>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</si>
  <si>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</si>
  <si>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</si>
  <si>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</si>
  <si>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</si>
  <si>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</si>
  <si>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</si>
  <si>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</si>
  <si>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</si>
  <si>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</si>
  <si>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</si>
  <si>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</si>
  <si>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</si>
  <si>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</si>
  <si>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</si>
  <si>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</si>
  <si>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</si>
  <si>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</si>
  <si>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</si>
  <si>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</si>
  <si>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</si>
  <si>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</si>
  <si>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</si>
  <si>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</si>
  <si>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</si>
  <si>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</si>
  <si>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</si>
  <si>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</si>
  <si>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</si>
  <si>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</si>
  <si>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</si>
  <si>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</si>
  <si>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</si>
  <si>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</si>
  <si>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</si>
  <si>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</si>
  <si>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</si>
  <si>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</si>
  <si>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</si>
  <si>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</si>
  <si>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</si>
  <si>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</si>
  <si>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</si>
  <si>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</si>
  <si>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</si>
  <si>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</si>
  <si>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</si>
  <si>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</si>
  <si>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</si>
  <si>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</si>
  <si>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</si>
  <si>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</si>
  <si>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</si>
  <si>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</si>
  <si>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</si>
  <si>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</si>
  <si>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</si>
  <si>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</si>
  <si>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</si>
  <si>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</si>
  <si>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</si>
  <si>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</si>
  <si>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</si>
  <si>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</si>
  <si>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</si>
  <si>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</si>
  <si>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</si>
  <si>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</si>
  <si>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</si>
  <si>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</si>
  <si>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</si>
  <si>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</si>
  <si>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</si>
  <si>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</si>
  <si>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</si>
  <si>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</si>
  <si>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</si>
  <si>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</si>
  <si>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</si>
  <si>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</si>
  <si>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</si>
  <si>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</si>
  <si>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</si>
  <si>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</si>
  <si>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</si>
  <si>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</si>
  <si>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</si>
  <si>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</si>
  <si>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</si>
  <si>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</si>
  <si>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</si>
  <si>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</si>
  <si>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</si>
  <si>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</si>
  <si>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</si>
  <si>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</si>
  <si>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</si>
  <si>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</si>
  <si>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</si>
  <si>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</si>
  <si>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</si>
  <si>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</si>
  <si>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</si>
  <si>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</si>
  <si>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</si>
  <si>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</si>
  <si>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</si>
  <si>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</si>
  <si>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</si>
  <si>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</si>
  <si>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</si>
  <si>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</si>
  <si>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</si>
  <si>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</si>
  <si>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</si>
  <si>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</si>
  <si>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</si>
  <si>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</si>
  <si>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</si>
  <si>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</si>
  <si>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</si>
  <si>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</si>
  <si>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</si>
  <si>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</si>
  <si>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</si>
  <si>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</si>
  <si>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</si>
  <si>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</si>
  <si>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</si>
  <si>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</si>
  <si>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</si>
  <si>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</si>
  <si>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</si>
  <si>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</si>
  <si>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</si>
  <si>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</si>
  <si>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</si>
  <si>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</si>
  <si>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</si>
  <si>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</si>
  <si>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</si>
  <si>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</si>
  <si>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</si>
  <si>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</si>
  <si>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</si>
  <si>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</si>
  <si>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</si>
  <si>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</si>
  <si>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</si>
  <si>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</si>
  <si>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</si>
  <si>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</si>
  <si>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</si>
  <si>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</si>
  <si>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</si>
  <si>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</si>
  <si>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</si>
  <si>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</si>
  <si>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</si>
  <si>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</si>
  <si>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</si>
  <si>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</si>
  <si>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</si>
  <si>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</si>
  <si>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</si>
  <si>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</si>
  <si>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</si>
  <si>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</si>
  <si>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</si>
  <si>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</si>
  <si>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</si>
  <si>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</si>
  <si>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</si>
  <si>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</si>
  <si>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</si>
  <si>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</si>
  <si>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</si>
  <si>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</si>
  <si>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</si>
  <si>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</si>
  <si>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</si>
  <si>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</si>
  <si>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</si>
  <si>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</si>
  <si>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</si>
  <si>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</si>
  <si>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</si>
  <si>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</si>
  <si>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</si>
  <si>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</si>
  <si>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</si>
  <si>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</si>
  <si>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</si>
  <si>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</si>
  <si>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</si>
  <si>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</si>
  <si>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</si>
  <si>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</si>
  <si>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</si>
  <si>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</si>
  <si>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</si>
  <si>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</si>
  <si>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</si>
  <si>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</si>
  <si>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</si>
  <si>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</si>
  <si>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</si>
  <si>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</si>
  <si>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</si>
  <si>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</si>
  <si>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</si>
  <si>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</si>
  <si>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</si>
  <si>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</si>
  <si>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</si>
  <si>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</si>
  <si>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</si>
  <si>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</si>
  <si>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</si>
  <si>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</si>
  <si>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</si>
  <si>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</si>
  <si>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</si>
  <si>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</si>
  <si>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</si>
  <si>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</si>
  <si>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</si>
  <si>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</si>
  <si>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</si>
  <si>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</si>
  <si>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</si>
  <si>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</si>
  <si>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</si>
  <si>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</si>
  <si>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</si>
  <si>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</si>
  <si>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</si>
  <si>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</si>
  <si>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</si>
  <si>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</si>
  <si>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</si>
  <si>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</si>
  <si>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</si>
  <si>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</si>
  <si>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</si>
  <si>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</si>
  <si>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</si>
  <si>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</si>
  <si>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</si>
  <si>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</si>
  <si>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</si>
  <si>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</si>
  <si>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</si>
  <si>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</si>
  <si>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</si>
  <si>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</si>
  <si>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</si>
  <si>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</si>
  <si>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</si>
  <si>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</si>
  <si>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</si>
  <si>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</si>
  <si>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</si>
  <si>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</si>
  <si>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</si>
  <si>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</si>
  <si>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</si>
  <si>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</si>
  <si>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</si>
  <si>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</si>
  <si>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</si>
  <si>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</si>
  <si>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</si>
  <si>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</si>
  <si>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</si>
  <si>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</si>
  <si>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</si>
  <si>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</si>
  <si>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</si>
  <si>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</si>
  <si>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</si>
  <si>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</si>
  <si>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</si>
  <si>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</si>
  <si>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</si>
  <si>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</si>
  <si>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</si>
  <si>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</si>
  <si>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</si>
  <si>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</si>
  <si>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</si>
  <si>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</si>
  <si>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</si>
  <si>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</si>
  <si>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</si>
  <si>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</si>
  <si>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</si>
  <si>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</si>
  <si>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</si>
  <si>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</si>
  <si>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</si>
  <si>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</si>
  <si>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</si>
  <si>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</si>
  <si>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</si>
  <si>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</si>
  <si>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</si>
  <si>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</si>
  <si>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</si>
  <si>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</si>
  <si>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</si>
  <si>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</si>
  <si>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</si>
  <si>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</si>
  <si>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</si>
  <si>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</si>
  <si>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</si>
  <si>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</si>
  <si>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</si>
  <si>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</si>
  <si>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</si>
  <si>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</si>
  <si>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</si>
  <si>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</si>
  <si>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</si>
  <si>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</si>
  <si>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</si>
  <si>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</si>
  <si>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</si>
  <si>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</si>
  <si>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</si>
  <si>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</si>
  <si>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</si>
  <si>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</si>
  <si>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</si>
  <si>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</si>
  <si>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</si>
  <si>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</si>
  <si>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</si>
  <si>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</si>
  <si>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</si>
  <si>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</si>
  <si>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</si>
  <si>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</si>
  <si>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</si>
  <si>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</si>
  <si>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</si>
  <si>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</si>
  <si>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</si>
  <si>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</si>
  <si>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</si>
  <si>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</si>
  <si>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</si>
  <si>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</si>
  <si>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</si>
  <si>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</si>
  <si>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</si>
  <si>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</si>
  <si>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</si>
  <si>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</si>
  <si>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</si>
  <si>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</si>
  <si>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</si>
  <si>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</si>
  <si>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</si>
  <si>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</si>
  <si>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</si>
  <si>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</si>
  <si>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</si>
  <si>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</si>
  <si>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</si>
  <si>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</si>
  <si>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</si>
  <si>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</si>
  <si>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</si>
  <si>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</si>
  <si>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</si>
  <si>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</si>
  <si>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</si>
  <si>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</si>
  <si>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</si>
  <si>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</si>
  <si>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</si>
  <si>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</si>
  <si>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</si>
  <si>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</si>
  <si>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</si>
  <si>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</si>
  <si>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</si>
  <si>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</si>
  <si>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</si>
  <si>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</si>
  <si>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</si>
  <si>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</si>
  <si>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</si>
  <si>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</si>
  <si>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</si>
  <si>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</si>
  <si>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</si>
  <si>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</si>
  <si>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</si>
  <si>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</si>
  <si>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</si>
  <si>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</si>
  <si>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</si>
  <si>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</si>
  <si>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</si>
  <si>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</si>
  <si>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</si>
  <si>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</si>
  <si>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</si>
  <si>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</si>
  <si>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</si>
  <si>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</si>
  <si>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</si>
  <si>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</si>
  <si>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</si>
  <si>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</si>
  <si>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</si>
  <si>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</si>
  <si>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</si>
  <si>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</si>
  <si>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</si>
  <si>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</si>
  <si>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</si>
  <si>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</si>
  <si>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</si>
  <si>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</si>
  <si>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</si>
  <si>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</si>
  <si>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</si>
  <si>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</si>
  <si>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</si>
  <si>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</si>
  <si>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</si>
  <si>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</si>
  <si>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</si>
  <si>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</si>
  <si>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</si>
  <si>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</si>
  <si>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</si>
  <si>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</si>
  <si>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</si>
  <si>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</si>
  <si>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</si>
  <si>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</si>
  <si>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</si>
  <si>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</si>
  <si>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</si>
  <si>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</si>
  <si>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</si>
  <si>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</si>
  <si>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</si>
  <si>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</si>
  <si>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</si>
  <si>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</si>
  <si>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</si>
  <si>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</si>
  <si>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</si>
  <si>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</si>
  <si>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</si>
  <si>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</si>
  <si>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</si>
  <si>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</si>
  <si>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</si>
  <si>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</si>
  <si>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</si>
  <si>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</si>
  <si>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</si>
  <si>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</si>
  <si>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</si>
  <si>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</si>
  <si>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</si>
  <si>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</si>
  <si>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</si>
  <si>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</si>
  <si>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</si>
  <si>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</si>
  <si>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</si>
  <si>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</si>
  <si>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</si>
  <si>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</si>
  <si>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</si>
  <si>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</si>
  <si>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</si>
  <si>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</si>
  <si>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</si>
  <si>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</si>
  <si>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</si>
  <si>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</si>
  <si>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</si>
  <si>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</si>
  <si>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</si>
  <si>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</si>
  <si>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</si>
  <si>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</si>
  <si>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</si>
  <si>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</si>
  <si>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</si>
  <si>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</si>
  <si>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</si>
  <si>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</si>
  <si>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</si>
  <si>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</si>
  <si>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</si>
  <si>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</si>
  <si>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</si>
  <si>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</si>
  <si>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</si>
  <si>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</si>
  <si>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</si>
  <si>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</si>
  <si>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</si>
  <si>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</si>
  <si>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</si>
  <si>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</si>
  <si>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</si>
  <si>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</si>
  <si>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</si>
  <si>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</si>
  <si>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</si>
  <si>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</si>
  <si>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</si>
  <si>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</si>
  <si>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</si>
  <si>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</si>
  <si>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</si>
  <si>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</si>
  <si>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</si>
  <si>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</si>
  <si>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</si>
  <si>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</si>
  <si>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</si>
  <si>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</si>
  <si>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</si>
  <si>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</si>
  <si>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</si>
  <si>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</si>
  <si>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</si>
  <si>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</si>
  <si>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</si>
  <si>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</si>
  <si>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</si>
  <si>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</si>
  <si>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</si>
  <si>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</si>
  <si>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</si>
  <si>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</si>
  <si>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</si>
  <si>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</si>
  <si>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</si>
  <si>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</si>
  <si>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</si>
  <si>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</si>
  <si>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</si>
  <si>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</si>
  <si>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</si>
  <si>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</si>
  <si>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</si>
  <si>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</si>
  <si>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</si>
  <si>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</si>
  <si>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</si>
  <si>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</si>
  <si>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</si>
  <si>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</si>
  <si>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</si>
  <si>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</si>
  <si>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</si>
  <si>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</si>
  <si>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</si>
  <si>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</si>
  <si>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</si>
  <si>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</si>
  <si>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</si>
  <si>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</si>
  <si>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</si>
  <si>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</si>
  <si>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</si>
  <si>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</si>
  <si>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</si>
  <si>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</si>
  <si>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</si>
  <si>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</si>
  <si>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</si>
  <si>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</si>
  <si>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</si>
  <si>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</si>
  <si>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</si>
  <si>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</si>
  <si>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</si>
  <si>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</si>
  <si>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</si>
  <si>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</si>
  <si>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</si>
  <si>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</si>
  <si>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</si>
  <si>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</si>
  <si>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</si>
  <si>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</si>
  <si>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</si>
  <si>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</si>
  <si>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</si>
  <si>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</si>
  <si>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</si>
  <si>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</si>
  <si>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</si>
  <si>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</si>
  <si>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</si>
  <si>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</si>
  <si>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</si>
  <si>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</si>
  <si>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</si>
  <si>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</si>
  <si>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</si>
  <si>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</si>
  <si>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</si>
  <si>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</si>
  <si>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</si>
  <si>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</si>
  <si>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</si>
  <si>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</si>
  <si>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</si>
  <si>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</si>
  <si>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</si>
  <si>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</si>
  <si>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</si>
  <si>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</si>
  <si>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</si>
  <si>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</si>
  <si>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</si>
  <si>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</si>
  <si>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</si>
  <si>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</si>
  <si>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</si>
  <si>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</si>
  <si>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</si>
  <si>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</si>
  <si>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</si>
  <si>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</si>
  <si>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</si>
  <si>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</si>
  <si>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</si>
  <si>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</si>
  <si>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</si>
  <si>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</si>
  <si>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</si>
  <si>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</si>
  <si>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</si>
  <si>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</si>
  <si>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</si>
  <si>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</si>
  <si>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</si>
  <si>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</si>
  <si>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</si>
  <si>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</si>
  <si>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</si>
  <si>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</si>
  <si>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</si>
  <si>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</si>
  <si>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</si>
  <si>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</si>
  <si>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</si>
  <si>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</si>
  <si>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</si>
  <si>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</si>
  <si>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</si>
  <si>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</si>
  <si>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</si>
  <si>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</si>
  <si>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</si>
  <si>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</si>
  <si>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</si>
  <si>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</si>
  <si>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</si>
  <si>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</si>
  <si>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</si>
  <si>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</si>
  <si>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</si>
  <si>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</si>
  <si>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</si>
  <si>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</si>
  <si>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</si>
  <si>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</si>
  <si>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</si>
  <si>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</si>
  <si>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</si>
  <si>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</si>
  <si>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</si>
  <si>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</si>
  <si>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</si>
  <si>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</si>
  <si>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</si>
  <si>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</si>
  <si>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</si>
  <si>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</si>
  <si>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</si>
  <si>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</si>
  <si>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</si>
  <si>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</si>
  <si>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</si>
  <si>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</si>
  <si>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</si>
  <si>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</si>
  <si>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</si>
  <si>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</si>
  <si>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</si>
  <si>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</si>
  <si>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</si>
  <si>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</si>
  <si>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</si>
  <si>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</si>
  <si>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</si>
  <si>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</si>
  <si>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</si>
  <si>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</si>
  <si>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</si>
  <si>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</si>
  <si>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</si>
  <si>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</si>
  <si>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</si>
  <si>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</si>
  <si>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</si>
  <si>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</si>
  <si>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</si>
  <si>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</si>
  <si>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</si>
  <si>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</si>
  <si>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</si>
  <si>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</si>
  <si>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</si>
  <si>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</si>
  <si>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</si>
  <si>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</si>
  <si>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</si>
  <si>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</si>
  <si>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</si>
  <si>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</si>
  <si>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</si>
  <si>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</si>
  <si>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</si>
  <si>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</si>
  <si>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</si>
  <si>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</si>
  <si>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</si>
  <si>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</si>
  <si>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</si>
  <si>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</si>
  <si>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</si>
  <si>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</si>
  <si>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</si>
  <si>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</si>
  <si>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</si>
  <si>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</si>
  <si>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</si>
  <si>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</si>
  <si>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</si>
  <si>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</si>
  <si>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</si>
  <si>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</si>
  <si>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</si>
  <si>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</si>
  <si>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</si>
  <si>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</si>
  <si>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</si>
  <si>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</si>
  <si>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</si>
  <si>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</si>
  <si>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</si>
  <si>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</si>
  <si>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</si>
  <si>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</si>
  <si>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</si>
  <si>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</si>
  <si>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</si>
  <si>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</si>
  <si>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</si>
  <si>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</si>
  <si>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</si>
  <si>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</si>
  <si>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</si>
  <si>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</si>
  <si>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</si>
  <si>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</si>
  <si>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</si>
  <si>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</si>
  <si>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</si>
  <si>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</si>
  <si>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</si>
  <si>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</si>
  <si>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</si>
  <si>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</si>
  <si>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</si>
  <si>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</si>
  <si>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</si>
  <si>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</si>
  <si>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</si>
  <si>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</si>
  <si>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</si>
  <si>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</si>
  <si>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</si>
  <si>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</si>
  <si>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</si>
  <si>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</si>
  <si>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</si>
  <si>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</si>
  <si>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</si>
  <si>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</si>
  <si>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</si>
  <si>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</si>
  <si>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</si>
  <si>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</si>
  <si>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</si>
  <si>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</si>
  <si>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</si>
  <si>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</si>
  <si>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</si>
  <si>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</si>
  <si>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</si>
  <si>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</si>
  <si>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</si>
  <si>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</si>
  <si>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</si>
  <si>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</si>
  <si>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</si>
  <si>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</si>
  <si>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</si>
  <si>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</si>
  <si>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</si>
  <si>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</si>
  <si>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</si>
  <si>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</si>
  <si>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</si>
  <si>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</si>
  <si>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</si>
  <si>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</si>
  <si>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</si>
  <si>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</si>
  <si>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</si>
  <si>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</si>
  <si>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</si>
  <si>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</si>
  <si>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</si>
  <si>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</si>
  <si>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</si>
  <si>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</si>
  <si>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</si>
  <si>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</si>
  <si>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</si>
  <si>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</si>
  <si>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</si>
  <si>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</si>
  <si>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</si>
  <si>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</si>
  <si>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</si>
  <si>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</si>
  <si>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</si>
  <si>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</si>
  <si>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</si>
  <si>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</si>
  <si>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</si>
  <si>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</si>
  <si>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</si>
  <si>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</si>
  <si>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</si>
  <si>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</si>
  <si>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</si>
  <si>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</si>
  <si>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</si>
  <si>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</si>
  <si>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</si>
  <si>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</si>
  <si>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</si>
  <si>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</si>
  <si>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</si>
  <si>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</si>
  <si>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</si>
  <si>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</si>
  <si>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</si>
  <si>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</si>
  <si>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</si>
  <si>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</si>
  <si>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</si>
  <si>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</si>
  <si>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</si>
  <si>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</si>
  <si>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</si>
  <si>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</si>
  <si>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</si>
  <si>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</si>
  <si>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</si>
  <si>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</si>
  <si>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</si>
  <si>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</si>
  <si>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</si>
  <si>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</si>
  <si>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</si>
  <si>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</si>
  <si>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</si>
  <si>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</si>
  <si>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</si>
  <si>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</si>
  <si>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</si>
  <si>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</si>
  <si>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</si>
  <si>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</si>
  <si>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</si>
  <si>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</si>
  <si>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</si>
  <si>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</si>
  <si>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</si>
  <si>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</si>
  <si>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</si>
  <si>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</si>
  <si>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</si>
  <si>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</si>
  <si>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</si>
  <si>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</si>
  <si>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</si>
  <si>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</si>
  <si>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</si>
  <si>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</si>
  <si>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</si>
  <si>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</si>
  <si>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</si>
  <si>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</si>
  <si>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</si>
  <si>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</si>
  <si>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</si>
  <si>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</si>
  <si>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</si>
  <si>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</si>
  <si>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</si>
  <si>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</si>
  <si>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</si>
  <si>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</si>
  <si>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</si>
  <si>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</si>
  <si>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</si>
  <si>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</si>
  <si>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</si>
  <si>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</si>
  <si>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</si>
  <si>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</si>
  <si>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</si>
  <si>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</si>
  <si>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</si>
  <si>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</si>
  <si>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</si>
  <si>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</si>
  <si>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</si>
  <si>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</si>
  <si>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</si>
  <si>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</si>
  <si>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</si>
  <si>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</si>
  <si>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</si>
  <si>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</si>
  <si>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</si>
  <si>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</si>
  <si>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</si>
  <si>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</si>
  <si>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</si>
  <si>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</si>
  <si>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</si>
  <si>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</si>
  <si>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</si>
  <si>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</si>
  <si>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</si>
  <si>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</si>
  <si>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</si>
  <si>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</si>
  <si>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</si>
  <si>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</si>
  <si>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</si>
  <si>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</si>
  <si>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</si>
  <si>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</si>
  <si>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</si>
  <si>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</si>
  <si>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</si>
  <si>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</si>
  <si>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</si>
  <si>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</si>
  <si>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</si>
  <si>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</si>
  <si>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</si>
  <si>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</si>
  <si>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</si>
  <si>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</si>
  <si>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</si>
  <si>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</si>
  <si>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</si>
  <si>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</si>
  <si>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</si>
  <si>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</si>
  <si>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</si>
  <si>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</si>
  <si>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</si>
  <si>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</si>
  <si>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</si>
  <si>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</si>
  <si>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</si>
  <si>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</si>
  <si>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</si>
  <si>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</si>
  <si>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</si>
  <si>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</si>
  <si>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</si>
  <si>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</si>
  <si>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</si>
  <si>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</si>
  <si>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</si>
  <si>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</si>
  <si>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</si>
  <si>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</si>
  <si>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</si>
  <si>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</si>
  <si>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</si>
  <si>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</si>
  <si>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</si>
  <si>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</si>
  <si>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</si>
  <si>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</si>
  <si>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</si>
  <si>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</si>
  <si>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</si>
  <si>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</si>
  <si>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</si>
  <si>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</si>
  <si>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</si>
  <si>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</si>
  <si>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</si>
  <si>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</si>
  <si>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</si>
  <si>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</si>
  <si>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</si>
  <si>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</si>
  <si>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</si>
  <si>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</si>
  <si>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</si>
  <si>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</si>
  <si>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</si>
  <si>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</si>
  <si>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</si>
  <si>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</si>
  <si>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</si>
  <si>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</si>
  <si>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</si>
  <si>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</si>
  <si>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</si>
  <si>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</si>
  <si>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</si>
  <si>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</si>
  <si>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</si>
  <si>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</si>
  <si>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</si>
  <si>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</si>
  <si>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</si>
  <si>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</si>
  <si>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</si>
  <si>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</si>
  <si>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</si>
  <si>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</si>
  <si>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</si>
  <si>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</si>
  <si>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</si>
  <si>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</si>
  <si>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</si>
  <si>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</si>
  <si>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</si>
  <si>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</si>
  <si>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</si>
  <si>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</si>
  <si>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</si>
  <si>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</si>
  <si>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</si>
  <si>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</si>
  <si>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</si>
  <si>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</si>
  <si>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</si>
  <si>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</si>
  <si>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</si>
  <si>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</si>
  <si>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</si>
  <si>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</si>
  <si>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</si>
  <si>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</si>
  <si>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</si>
  <si>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</si>
  <si>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</si>
  <si>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</si>
  <si>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</si>
  <si>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</si>
  <si>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</si>
  <si>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</si>
  <si>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</si>
  <si>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</si>
  <si>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</si>
  <si>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</si>
  <si>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</si>
  <si>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</si>
  <si>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</si>
  <si>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</si>
  <si>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</si>
  <si>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</si>
  <si>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</si>
  <si>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</si>
  <si>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</si>
  <si>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</si>
  <si>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</si>
  <si>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</si>
  <si>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</si>
  <si>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</si>
  <si>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</si>
  <si>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</si>
  <si>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</si>
  <si>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</si>
  <si>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</si>
  <si>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</si>
  <si>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</si>
  <si>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</si>
  <si>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</si>
  <si>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</si>
  <si>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</si>
  <si>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</si>
  <si>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</si>
  <si>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</si>
  <si>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</si>
  <si>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</si>
  <si>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</si>
  <si>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</si>
  <si>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</si>
  <si>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</si>
  <si>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</si>
  <si>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</si>
  <si>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</si>
  <si>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</si>
  <si>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</si>
  <si>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</si>
  <si>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</si>
  <si>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</si>
  <si>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</si>
  <si>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</si>
  <si>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</si>
  <si>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</si>
  <si>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</si>
  <si>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</si>
  <si>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</si>
  <si>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</si>
  <si>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</si>
  <si>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</si>
  <si>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</si>
  <si>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</si>
  <si>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</si>
  <si>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</si>
  <si>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</si>
  <si>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</si>
  <si>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</si>
  <si>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</si>
  <si>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</si>
  <si>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</si>
  <si>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</si>
  <si>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</si>
  <si>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</si>
  <si>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</si>
  <si>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</si>
  <si>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</si>
  <si>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</si>
  <si>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</si>
  <si>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</si>
  <si>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</si>
  <si>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</si>
  <si>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</si>
  <si>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</si>
  <si>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</si>
  <si>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</si>
  <si>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</si>
  <si>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</si>
  <si>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</si>
  <si>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</si>
  <si>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</si>
  <si>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</si>
  <si>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</si>
  <si>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</si>
  <si>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</si>
  <si>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</si>
  <si>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</si>
  <si>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</si>
  <si>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</si>
  <si>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</si>
  <si>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</si>
  <si>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</si>
  <si>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</si>
  <si>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</si>
  <si>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</si>
  <si>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</si>
  <si>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</si>
  <si>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</si>
  <si>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</si>
  <si>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</si>
  <si>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</si>
  <si>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</si>
  <si>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</si>
  <si>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</si>
  <si>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</si>
  <si>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</si>
  <si>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</si>
  <si>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</si>
  <si>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</si>
  <si>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</si>
  <si>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</si>
  <si>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</si>
  <si>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</si>
  <si>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</si>
  <si>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</si>
  <si>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</si>
  <si>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</si>
  <si>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</si>
  <si>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</si>
  <si>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</si>
  <si>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</si>
  <si>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</si>
  <si>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</si>
  <si>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</si>
  <si>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</si>
  <si>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</si>
  <si>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</si>
  <si>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</si>
  <si>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</si>
  <si>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</si>
  <si>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</si>
  <si>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</si>
  <si>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</si>
  <si>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</si>
  <si>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</si>
  <si>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</si>
  <si>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</si>
  <si>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</si>
  <si>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</si>
  <si>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</si>
  <si>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</si>
  <si>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</si>
  <si>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</si>
  <si>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</si>
  <si>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</si>
  <si>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</si>
  <si>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</si>
  <si>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</si>
  <si>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</si>
  <si>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</si>
  <si>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</si>
  <si>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</si>
  <si>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</si>
  <si>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</si>
  <si>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</si>
  <si>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</si>
  <si>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</si>
  <si>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</si>
  <si>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</si>
  <si>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</si>
  <si>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</si>
  <si>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</si>
  <si>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</si>
  <si>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</si>
  <si>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</si>
  <si>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</si>
  <si>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</si>
  <si>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</si>
  <si>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</si>
  <si>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</si>
  <si>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</si>
  <si>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</si>
  <si>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</si>
  <si>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</si>
  <si>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</si>
  <si>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</si>
  <si>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</si>
  <si>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</si>
  <si>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</si>
  <si>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</si>
  <si>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</si>
  <si>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</si>
  <si>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</si>
  <si>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</si>
  <si>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</si>
  <si>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</si>
  <si>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</si>
  <si>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</si>
  <si>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</si>
  <si>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</si>
  <si>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</si>
  <si>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</si>
  <si>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</si>
  <si>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</si>
  <si>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</si>
  <si>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</si>
  <si>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</si>
  <si>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</si>
  <si>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</si>
  <si>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</si>
  <si>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</si>
  <si>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</si>
  <si>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</si>
  <si>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</si>
  <si>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</si>
  <si>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</si>
  <si>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</si>
  <si>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</si>
  <si>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</si>
  <si>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</si>
  <si>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</si>
  <si>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</si>
  <si>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</si>
  <si>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</si>
  <si>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</si>
  <si>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</si>
  <si>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</si>
  <si>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</si>
  <si>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</si>
  <si>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</si>
  <si>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</si>
  <si>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</si>
  <si>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</si>
  <si>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</si>
  <si>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</si>
  <si>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</si>
  <si>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</si>
  <si>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</si>
  <si>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</si>
  <si>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</si>
  <si>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</si>
  <si>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</si>
  <si>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</si>
  <si>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</si>
  <si>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</si>
  <si>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</si>
  <si>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</si>
  <si>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</si>
  <si>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</si>
  <si>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</si>
  <si>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</si>
  <si>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</si>
  <si>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</si>
  <si>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</si>
  <si>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</si>
  <si>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</si>
  <si>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</si>
  <si>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</si>
  <si>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</si>
  <si>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</si>
  <si>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</si>
  <si>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</si>
  <si>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</si>
  <si>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</si>
  <si>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</si>
  <si>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</si>
  <si>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</si>
  <si>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</si>
  <si>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</si>
  <si>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</si>
  <si>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</si>
  <si>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</si>
  <si>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</si>
  <si>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</si>
  <si>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</si>
  <si>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</si>
  <si>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</si>
  <si>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</si>
  <si>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</si>
  <si>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</si>
  <si>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</si>
  <si>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</si>
  <si>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</si>
  <si>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</si>
  <si>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</si>
  <si>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</si>
  <si>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</si>
  <si>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</si>
  <si>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</si>
  <si>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</si>
  <si>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</si>
  <si>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</si>
  <si>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</si>
  <si>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</si>
  <si>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</si>
  <si>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</si>
  <si>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</si>
  <si>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</si>
  <si>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</si>
  <si>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</si>
  <si>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</si>
  <si>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</si>
  <si>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</si>
  <si>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</si>
  <si>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</si>
  <si>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</si>
  <si>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</si>
  <si>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</si>
  <si>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</si>
  <si>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</si>
  <si>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</si>
  <si>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</si>
  <si>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</si>
  <si>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</si>
  <si>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</si>
  <si>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</si>
  <si>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</si>
  <si>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</si>
  <si>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</si>
  <si>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</si>
  <si>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</si>
  <si>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</si>
  <si>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</si>
  <si>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</si>
  <si>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</si>
  <si>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</si>
  <si>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</si>
  <si>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</si>
  <si>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</si>
  <si>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</si>
  <si>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</si>
  <si>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</si>
  <si>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</si>
  <si>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</si>
  <si>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</si>
  <si>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</si>
  <si>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</si>
  <si>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</si>
  <si>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</si>
  <si>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</si>
  <si>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</si>
  <si>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</si>
  <si>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</si>
  <si>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</si>
  <si>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</si>
  <si>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</si>
  <si>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</si>
  <si>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</si>
  <si>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</si>
  <si>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</si>
  <si>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</si>
  <si>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</si>
  <si>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</si>
  <si>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</si>
  <si>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</si>
  <si>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</si>
  <si>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</si>
  <si>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</si>
  <si>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</si>
  <si>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</si>
  <si>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</si>
  <si>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</si>
  <si>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</si>
  <si>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</si>
  <si>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</si>
  <si>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</si>
  <si>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</si>
  <si>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</si>
  <si>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</si>
  <si>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</si>
  <si>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</si>
  <si>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</si>
  <si>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</si>
  <si>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</si>
  <si>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</si>
  <si>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</si>
  <si>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</si>
  <si>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</si>
  <si>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</si>
  <si>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</si>
  <si>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</si>
  <si>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</si>
  <si>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</si>
  <si>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</si>
  <si>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</si>
  <si>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</si>
  <si>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</si>
  <si>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</si>
  <si>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</si>
  <si>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</si>
  <si>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</si>
  <si>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</si>
  <si>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</si>
  <si>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</si>
  <si>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</si>
  <si>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</si>
  <si>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</si>
  <si>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</si>
  <si>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</si>
  <si>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</si>
  <si>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</si>
  <si>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</si>
  <si>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</si>
  <si>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</si>
  <si>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</si>
  <si>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</si>
  <si>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</si>
  <si>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</si>
  <si>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</si>
  <si>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</si>
  <si>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</si>
  <si>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</si>
  <si>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</si>
  <si>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</si>
  <si>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</si>
  <si>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</si>
  <si>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</si>
  <si>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</si>
  <si>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</si>
  <si>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</si>
  <si>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</si>
  <si>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</si>
  <si>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</si>
  <si>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</si>
  <si>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</si>
  <si>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</si>
  <si>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</si>
  <si>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</si>
  <si>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</si>
  <si>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</si>
  <si>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</si>
  <si>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</si>
  <si>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</si>
  <si>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</si>
  <si>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</si>
  <si>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</si>
  <si>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</si>
  <si>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</si>
  <si>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</si>
  <si>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</si>
  <si>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</si>
  <si>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</si>
  <si>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</si>
  <si>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</si>
  <si>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</si>
  <si>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</si>
  <si>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</si>
  <si>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</si>
  <si>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</si>
  <si>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</si>
  <si>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</si>
  <si>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</si>
  <si>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</si>
  <si>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</si>
  <si>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</si>
  <si>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</si>
  <si>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</si>
  <si>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</si>
  <si>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</si>
  <si>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</si>
  <si>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</si>
  <si>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</si>
  <si>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</si>
  <si>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</si>
  <si>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</si>
  <si>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</si>
  <si>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</si>
  <si>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</si>
  <si>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</si>
  <si>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</si>
  <si>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</si>
  <si>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</si>
  <si>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</si>
  <si>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</si>
  <si>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</si>
  <si>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</si>
  <si>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</si>
  <si>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</si>
  <si>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</si>
  <si>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</si>
  <si>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</si>
  <si>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</si>
  <si>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</si>
  <si>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</si>
  <si>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</si>
  <si>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</si>
  <si>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</si>
  <si>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</si>
  <si>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</si>
  <si>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</si>
  <si>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</si>
  <si>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</si>
  <si>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</si>
  <si>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</si>
  <si>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</si>
  <si>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</si>
  <si>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</si>
  <si>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</si>
  <si>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</si>
  <si>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</si>
  <si>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</si>
  <si>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</si>
  <si>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</si>
  <si>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</si>
  <si>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</si>
  <si>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</si>
  <si>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</si>
  <si>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</si>
  <si>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</si>
  <si>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</si>
  <si>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</si>
  <si>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</si>
  <si>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</si>
  <si>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</si>
  <si>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</si>
  <si>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</si>
  <si>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</si>
  <si>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</si>
  <si>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</si>
  <si>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</si>
  <si>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</si>
  <si>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</si>
  <si>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</si>
  <si>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</si>
  <si>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</si>
  <si>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</si>
  <si>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</si>
  <si>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</si>
  <si>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</si>
  <si>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</si>
  <si>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</si>
  <si>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</si>
  <si>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</si>
  <si>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</si>
  <si>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</si>
  <si>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</si>
  <si>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</si>
  <si>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</si>
  <si>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</si>
  <si>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</si>
  <si>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</si>
  <si>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</si>
  <si>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</si>
  <si>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</si>
  <si>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</si>
  <si>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</si>
  <si>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</si>
  <si>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</si>
  <si>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</si>
  <si>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</si>
  <si>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</si>
  <si>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</si>
  <si>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</si>
  <si>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</si>
  <si>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</si>
  <si>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</si>
  <si>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</si>
  <si>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</si>
  <si>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</si>
  <si>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</si>
  <si>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</si>
  <si>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</si>
  <si>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</si>
  <si>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</si>
  <si>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</si>
  <si>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</si>
  <si>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</si>
  <si>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</si>
  <si>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</si>
  <si>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</si>
  <si>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</si>
  <si>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</si>
  <si>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</si>
  <si>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</si>
  <si>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</si>
  <si>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</si>
  <si>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</si>
  <si>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</si>
  <si>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</si>
  <si>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</si>
  <si>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</si>
  <si>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</si>
  <si>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</si>
  <si>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</si>
  <si>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</si>
  <si>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</si>
  <si>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</si>
  <si>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</si>
  <si>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</si>
  <si>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</si>
  <si>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</si>
  <si>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</si>
  <si>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</si>
  <si>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</si>
  <si>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</si>
  <si>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</si>
  <si>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</si>
  <si>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</si>
  <si>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</si>
  <si>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</si>
  <si>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</si>
  <si>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</si>
  <si>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</si>
  <si>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</si>
  <si>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</si>
  <si>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</si>
  <si>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</si>
  <si>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</si>
  <si>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</si>
  <si>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</si>
  <si>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</si>
  <si>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</si>
  <si>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</si>
  <si>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</si>
  <si>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</si>
  <si>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</si>
  <si>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</si>
  <si>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</si>
  <si>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</si>
  <si>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</si>
  <si>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</si>
  <si>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</si>
  <si>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</si>
  <si>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</si>
  <si>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</si>
  <si>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</si>
  <si>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</si>
  <si>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</si>
  <si>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</si>
  <si>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</si>
  <si>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</si>
  <si>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</si>
  <si>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</si>
  <si>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</si>
  <si>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</si>
  <si>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</si>
  <si>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</si>
  <si>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</si>
  <si>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</si>
  <si>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</si>
  <si>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</si>
  <si>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</si>
  <si>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</si>
  <si>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</si>
  <si>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</si>
  <si>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</si>
  <si>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</si>
  <si>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</si>
  <si>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</si>
  <si>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</si>
  <si>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</si>
  <si>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</si>
  <si>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</si>
  <si>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</si>
  <si>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</si>
  <si>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</si>
  <si>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</si>
  <si>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</si>
  <si>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</si>
  <si>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</si>
  <si>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</si>
  <si>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</si>
  <si>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</si>
  <si>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</si>
  <si>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</si>
  <si>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</si>
  <si>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</si>
  <si>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</si>
  <si>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</si>
  <si>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</si>
  <si>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</si>
  <si>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</si>
  <si>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</si>
  <si>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</si>
  <si>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</si>
  <si>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</si>
  <si>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</si>
  <si>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</si>
  <si>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</si>
  <si>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</si>
  <si>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</si>
  <si>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</si>
  <si>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</si>
  <si>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</si>
  <si>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</si>
  <si>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</si>
  <si>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</si>
  <si>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</si>
  <si>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</si>
  <si>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</si>
  <si>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</si>
  <si>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</si>
  <si>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</si>
  <si>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</si>
  <si>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</si>
  <si>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</si>
  <si>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</si>
  <si>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</si>
  <si>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</si>
  <si>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</si>
  <si>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</si>
  <si>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</si>
  <si>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</si>
  <si>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</si>
  <si>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</si>
  <si>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</si>
  <si>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</si>
  <si>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</si>
  <si>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</si>
  <si>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</si>
  <si>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</si>
  <si>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</si>
  <si>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</si>
  <si>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</si>
  <si>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</si>
  <si>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</si>
  <si>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</si>
  <si>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</si>
  <si>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</si>
  <si>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</si>
  <si>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</si>
  <si>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</si>
  <si>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</si>
  <si>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</si>
  <si>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</si>
  <si>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</si>
  <si>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</si>
  <si>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</si>
  <si>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</si>
  <si>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</si>
  <si>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</si>
  <si>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</si>
  <si>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</si>
  <si>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</si>
  <si>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</si>
  <si>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</si>
  <si>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</si>
  <si>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</si>
  <si>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</si>
  <si>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</si>
  <si>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</si>
  <si>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</si>
  <si>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</si>
  <si>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</si>
  <si>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</si>
  <si>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</si>
  <si>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</si>
  <si>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</si>
  <si>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</si>
  <si>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</si>
  <si>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</si>
  <si>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</si>
  <si>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</si>
  <si>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</si>
  <si>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</si>
  <si>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</si>
  <si>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</si>
  <si>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</si>
  <si>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</si>
  <si>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</si>
  <si>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</si>
  <si>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</si>
  <si>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</si>
  <si>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</si>
  <si>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</si>
  <si>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</si>
  <si>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</si>
  <si>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</si>
  <si>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</si>
  <si>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</si>
  <si>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</si>
  <si>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</si>
  <si>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</si>
  <si>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</si>
  <si>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</si>
  <si>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</si>
  <si>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</si>
  <si>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</si>
  <si>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</si>
  <si>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</si>
  <si>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</si>
  <si>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</si>
  <si>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</si>
  <si>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</si>
  <si>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</si>
  <si>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</si>
  <si>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</si>
  <si>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</si>
  <si>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</si>
  <si>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</si>
  <si>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</si>
  <si>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</si>
  <si>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</si>
  <si>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</si>
  <si>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</si>
  <si>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</si>
  <si>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</si>
  <si>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</si>
  <si>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</si>
  <si>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</si>
  <si>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</si>
  <si>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</si>
  <si>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</si>
  <si>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</si>
  <si>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</si>
  <si>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</si>
  <si>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</si>
  <si>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</si>
  <si>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</si>
  <si>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</si>
  <si>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</si>
  <si>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</si>
  <si>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</si>
  <si>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</si>
  <si>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</si>
  <si>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</si>
  <si>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</si>
  <si>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</si>
  <si>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</si>
  <si>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</si>
  <si>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</si>
  <si>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</si>
  <si>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</si>
  <si>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</si>
  <si>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</si>
  <si>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</si>
  <si>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</si>
  <si>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</si>
  <si>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</si>
  <si>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</si>
  <si>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</si>
  <si>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</si>
  <si>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</si>
  <si>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</si>
  <si>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</si>
  <si>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</si>
  <si>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</si>
  <si>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</si>
  <si>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</si>
  <si>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</si>
  <si>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</si>
  <si>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</si>
  <si>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</si>
  <si>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</si>
  <si>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</si>
  <si>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</si>
  <si>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</si>
  <si>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</si>
  <si>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</si>
  <si>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</si>
  <si>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</si>
  <si>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</si>
  <si>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</si>
  <si>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</si>
  <si>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</si>
  <si>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</si>
  <si>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</si>
  <si>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</si>
  <si>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</si>
  <si>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</si>
  <si>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</si>
  <si>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</si>
  <si>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</si>
  <si>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</si>
  <si>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</si>
  <si>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</si>
  <si>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</si>
  <si>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</si>
  <si>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</si>
  <si>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</si>
  <si>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</si>
  <si>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</si>
  <si>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</si>
  <si>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</si>
  <si>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</si>
  <si>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</si>
  <si>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</si>
  <si>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</si>
  <si>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</si>
  <si>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</si>
  <si>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</si>
  <si>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</si>
  <si>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</si>
  <si>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</si>
  <si>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</si>
  <si>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</si>
  <si>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</si>
  <si>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</si>
  <si>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</si>
  <si>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</si>
  <si>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</si>
  <si>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</si>
  <si>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</si>
  <si>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</si>
  <si>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</si>
  <si>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</si>
  <si>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</si>
  <si>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</si>
  <si>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</si>
  <si>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</si>
  <si>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</si>
  <si>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</si>
  <si>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</si>
  <si>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</si>
  <si>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</si>
  <si>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</si>
  <si>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</si>
  <si>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</si>
  <si>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</si>
  <si>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</si>
  <si>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</si>
  <si>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</si>
  <si>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</si>
  <si>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</si>
  <si>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</si>
  <si>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</si>
  <si>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</si>
  <si>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</si>
  <si>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</si>
  <si>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</si>
  <si>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</si>
  <si>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</si>
  <si>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</si>
  <si>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</si>
  <si>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</si>
  <si>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</si>
  <si>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</si>
  <si>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</si>
  <si>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</si>
  <si>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</si>
  <si>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</si>
  <si>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</si>
  <si>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</si>
  <si>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</si>
  <si>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</si>
  <si>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</si>
  <si>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</si>
  <si>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</si>
  <si>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</si>
  <si>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</si>
  <si>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</si>
  <si>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</si>
  <si>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</si>
  <si>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</si>
  <si>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</si>
  <si>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</si>
  <si>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</si>
  <si>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</si>
  <si>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</si>
  <si>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</si>
  <si>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</si>
  <si>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</si>
  <si>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</si>
  <si>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</si>
  <si>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</si>
  <si>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</si>
  <si>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</si>
  <si>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</si>
  <si>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</si>
  <si>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</si>
  <si>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</si>
  <si>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</si>
  <si>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</si>
  <si>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</si>
  <si>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</si>
  <si>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</si>
  <si>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</si>
  <si>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</si>
  <si>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</si>
  <si>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</si>
  <si>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</si>
  <si>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</si>
  <si>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</si>
  <si>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</si>
  <si>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</si>
  <si>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</si>
  <si>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</si>
  <si>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</si>
  <si>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</si>
  <si>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</si>
  <si>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</si>
  <si>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</si>
  <si>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</si>
  <si>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</si>
  <si>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</si>
  <si>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</si>
  <si>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</si>
  <si>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</si>
  <si>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</si>
  <si>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</si>
  <si>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</si>
  <si>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</si>
  <si>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</si>
  <si>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</si>
  <si>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</si>
  <si>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</si>
  <si>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</si>
  <si>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</si>
  <si>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</si>
  <si>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</si>
  <si>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</si>
  <si>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</si>
  <si>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</si>
  <si>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</si>
  <si>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</si>
  <si>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</si>
  <si>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</si>
  <si>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</si>
  <si>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</si>
  <si>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</si>
  <si>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</si>
  <si>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</si>
  <si>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</si>
  <si>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</si>
  <si>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</si>
  <si>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</si>
  <si>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</si>
  <si>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</si>
  <si>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</si>
  <si>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</si>
  <si>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</si>
  <si>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</si>
  <si>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</si>
  <si>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</si>
  <si>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</si>
  <si>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</si>
  <si>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</si>
  <si>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</si>
  <si>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</si>
  <si>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</si>
  <si>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</si>
  <si>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</si>
  <si>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</si>
  <si>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</si>
  <si>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</si>
  <si>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</si>
  <si>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</si>
  <si>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</si>
  <si>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</si>
  <si>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</si>
  <si>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</si>
  <si>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</si>
  <si>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</si>
  <si>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</si>
  <si>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</si>
  <si>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</si>
  <si>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</si>
  <si>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</si>
  <si>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</si>
  <si>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</si>
  <si>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</si>
  <si>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</si>
  <si>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</si>
  <si>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</si>
  <si>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</si>
  <si>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</si>
  <si>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</si>
  <si>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</si>
  <si>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</si>
  <si>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</si>
  <si>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</si>
  <si>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</si>
  <si>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</si>
  <si>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</si>
  <si>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</si>
  <si>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</si>
  <si>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</si>
  <si>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</si>
  <si>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</si>
  <si>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</si>
  <si>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</si>
  <si>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</si>
  <si>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</si>
  <si>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</si>
  <si>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</si>
  <si>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</si>
  <si>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</si>
  <si>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</si>
  <si>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</si>
  <si>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</si>
  <si>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</si>
  <si>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</si>
  <si>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</si>
  <si>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</si>
  <si>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</si>
  <si>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</si>
  <si>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</si>
  <si>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</si>
  <si>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</si>
  <si>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</si>
  <si>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</si>
  <si>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</si>
  <si>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</si>
  <si>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</si>
  <si>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</si>
  <si>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</si>
  <si>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</si>
  <si>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</si>
  <si>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</si>
  <si>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</si>
  <si>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</si>
  <si>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</si>
  <si>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</si>
  <si>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</si>
  <si>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</si>
  <si>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</si>
  <si>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</si>
  <si>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</si>
  <si>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</si>
  <si>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</si>
  <si>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</si>
  <si>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</si>
  <si>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</si>
  <si>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</si>
  <si>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</si>
  <si>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</si>
  <si>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</si>
  <si>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</si>
  <si>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</si>
  <si>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</si>
  <si>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</si>
  <si>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</si>
  <si>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</si>
  <si>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</si>
  <si>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</si>
  <si>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</si>
  <si>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</si>
  <si>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</si>
  <si>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</si>
  <si>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</si>
  <si>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</si>
  <si>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</si>
  <si>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</si>
  <si>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</si>
  <si>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</si>
  <si>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</si>
  <si>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</si>
  <si>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</si>
  <si>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</si>
  <si>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</si>
  <si>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</si>
  <si>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</si>
  <si>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</si>
  <si>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</si>
  <si>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</si>
  <si>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</si>
  <si>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</si>
  <si>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</si>
  <si>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</si>
  <si>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</si>
  <si>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</si>
  <si>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</si>
  <si>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</si>
  <si>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</si>
  <si>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</si>
  <si>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</si>
  <si>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</si>
  <si>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</si>
  <si>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</si>
  <si>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</si>
  <si>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</si>
  <si>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</si>
  <si>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</si>
  <si>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</si>
  <si>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</si>
  <si>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</si>
  <si>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</si>
  <si>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</si>
  <si>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</si>
  <si>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</si>
  <si>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</si>
  <si>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</si>
  <si>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</si>
  <si>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</si>
  <si>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</si>
  <si>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</si>
  <si>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</si>
  <si>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</si>
  <si>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</si>
  <si>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</si>
  <si>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</si>
  <si>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</si>
  <si>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</si>
  <si>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</si>
  <si>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</si>
  <si>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</si>
  <si>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</si>
  <si>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</si>
  <si>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</si>
  <si>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</si>
  <si>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</si>
  <si>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</si>
  <si>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</si>
  <si>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</si>
  <si>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</si>
  <si>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</si>
  <si>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</si>
  <si>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</si>
  <si>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</si>
  <si>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</si>
  <si>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</si>
  <si>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</si>
  <si>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</si>
  <si>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</si>
  <si>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</si>
  <si>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</si>
  <si>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</si>
  <si>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</si>
  <si>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</si>
  <si>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</si>
  <si>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</si>
  <si>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</si>
  <si>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</si>
  <si>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</si>
  <si>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</si>
  <si>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</si>
  <si>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</si>
  <si>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</si>
  <si>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</si>
  <si>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</si>
  <si>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</si>
  <si>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</si>
  <si>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</si>
  <si>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</si>
  <si>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</si>
  <si>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</si>
  <si>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</si>
  <si>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</si>
  <si>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</si>
  <si>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</si>
  <si>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</si>
  <si>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</si>
  <si>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</si>
  <si>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</si>
  <si>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</si>
  <si>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</si>
  <si>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</si>
  <si>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</si>
  <si>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</si>
  <si>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</si>
  <si>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</si>
  <si>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</si>
  <si>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</si>
  <si>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</si>
  <si>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</si>
  <si>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</si>
  <si>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</si>
  <si>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</si>
  <si>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</si>
  <si>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</si>
  <si>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</si>
  <si>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</si>
  <si>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</si>
  <si>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</si>
  <si>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</si>
  <si>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</si>
  <si>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</si>
  <si>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</si>
  <si>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</si>
  <si>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</si>
  <si>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</si>
  <si>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</si>
  <si>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</si>
  <si>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</si>
  <si>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</si>
  <si>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</si>
  <si>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</si>
  <si>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</si>
  <si>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</si>
  <si>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</si>
  <si>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</si>
  <si>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</si>
  <si>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</si>
  <si>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</si>
  <si>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</si>
  <si>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</si>
  <si>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</si>
  <si>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</si>
  <si>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</si>
  <si>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</si>
  <si>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</si>
  <si>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</si>
  <si>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</si>
  <si>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</si>
  <si>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</si>
  <si>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</si>
  <si>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</si>
  <si>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</si>
  <si>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</si>
  <si>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</si>
  <si>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</si>
  <si>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</si>
  <si>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</si>
  <si>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</si>
  <si>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</si>
  <si>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</si>
  <si>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</si>
  <si>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</si>
  <si>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</si>
  <si>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</si>
  <si>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</si>
  <si>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</si>
  <si>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</si>
  <si>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</si>
  <si>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</si>
  <si>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</si>
  <si>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</si>
  <si>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</si>
  <si>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</si>
  <si>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</si>
  <si>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</si>
  <si>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</si>
  <si>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</si>
  <si>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</si>
  <si>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</si>
  <si>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</si>
  <si>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</si>
  <si>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</si>
  <si>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</si>
  <si>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</si>
  <si>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</si>
  <si>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</si>
  <si>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</si>
  <si>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</si>
  <si>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</si>
  <si>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</si>
  <si>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</si>
  <si>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</si>
  <si>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</si>
  <si>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</si>
  <si>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</si>
  <si>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</si>
  <si>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</si>
  <si>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</si>
  <si>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</si>
  <si>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</si>
  <si>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</si>
  <si>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</si>
  <si>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</si>
  <si>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</si>
  <si>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</si>
  <si>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</si>
  <si>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</si>
  <si>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</si>
  <si>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</si>
  <si>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</si>
  <si>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</si>
  <si>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</si>
  <si>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</si>
  <si>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</si>
  <si>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</si>
  <si>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</si>
  <si>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</si>
  <si>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</si>
  <si>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</si>
  <si>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</si>
  <si>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</si>
  <si>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</si>
  <si>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</si>
  <si>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</si>
  <si>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</si>
  <si>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</si>
  <si>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</si>
  <si>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</si>
  <si>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</si>
  <si>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</si>
  <si>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</si>
  <si>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</si>
  <si>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</si>
  <si>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</si>
  <si>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</si>
  <si>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</si>
  <si>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</si>
  <si>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</si>
  <si>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</si>
  <si>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</si>
  <si>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</si>
  <si>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</si>
  <si>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</si>
  <si>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</si>
  <si>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</si>
  <si>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</si>
  <si>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</si>
  <si>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</si>
  <si>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</si>
  <si>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</si>
  <si>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</si>
  <si>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</si>
  <si>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</si>
  <si>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</si>
  <si>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</si>
  <si>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</si>
  <si>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</si>
  <si>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</si>
  <si>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</si>
  <si>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</si>
  <si>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</si>
  <si>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</si>
  <si>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</si>
  <si>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</si>
  <si>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</si>
  <si>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</si>
  <si>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</si>
  <si>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</si>
  <si>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</si>
  <si>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</si>
  <si>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</si>
  <si>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</si>
  <si>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</si>
  <si>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</si>
  <si>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</si>
  <si>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</si>
  <si>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</si>
  <si>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</si>
  <si>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</si>
  <si>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</si>
  <si>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</si>
  <si>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</si>
  <si>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</si>
  <si>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</si>
  <si>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</si>
  <si>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</si>
  <si>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</si>
  <si>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</si>
  <si>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</si>
  <si>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</si>
  <si>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</si>
  <si>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</si>
  <si>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</si>
  <si>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</si>
  <si>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</si>
  <si>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</si>
  <si>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</si>
  <si>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</si>
  <si>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</si>
  <si>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</si>
  <si>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</si>
  <si>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</si>
  <si>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</si>
  <si>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</si>
  <si>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</si>
  <si>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</si>
  <si>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</si>
  <si>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</si>
  <si>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</si>
  <si>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</si>
  <si>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</si>
  <si>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</si>
  <si>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</si>
  <si>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</si>
  <si>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</si>
  <si>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</si>
  <si>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</si>
  <si>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</si>
  <si>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</si>
  <si>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</si>
  <si>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</si>
  <si>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</si>
  <si>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</si>
  <si>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</si>
  <si>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</si>
  <si>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</si>
  <si>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</si>
  <si>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</si>
  <si>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</si>
  <si>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</si>
  <si>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</si>
  <si>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</si>
  <si>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</si>
  <si>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</si>
  <si>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</si>
  <si>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</si>
  <si>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</si>
  <si>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</si>
  <si>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</si>
  <si>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</si>
  <si>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</si>
  <si>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</si>
  <si>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</si>
  <si>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</si>
  <si>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</si>
  <si>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</si>
  <si>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</si>
  <si>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</si>
  <si>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</si>
  <si>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</si>
  <si>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</si>
  <si>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</si>
  <si>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</si>
  <si>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</si>
  <si>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</si>
  <si>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</si>
  <si>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</si>
  <si>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</si>
  <si>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</si>
  <si>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</si>
  <si>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</si>
  <si>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</si>
  <si>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</si>
  <si>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</si>
  <si>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</si>
  <si>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</si>
  <si>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</si>
  <si>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</si>
  <si>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</si>
  <si>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</si>
  <si>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</si>
  <si>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</si>
  <si>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</si>
  <si>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</si>
  <si>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</si>
  <si>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</si>
  <si>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</si>
  <si>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</si>
  <si>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</si>
  <si>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</si>
  <si>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</si>
  <si>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</si>
  <si>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</si>
  <si>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</si>
  <si>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</si>
  <si>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</si>
  <si>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</si>
  <si>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</si>
  <si>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</si>
  <si>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</si>
  <si>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</si>
  <si>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</si>
  <si>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</si>
  <si>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</si>
  <si>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</si>
  <si>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</si>
  <si>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</si>
  <si>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</si>
  <si>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</si>
  <si>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</si>
  <si>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</si>
  <si>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</si>
  <si>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</si>
  <si>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</si>
  <si>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</si>
  <si>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</si>
  <si>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</si>
  <si>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</si>
  <si>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</si>
  <si>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</si>
  <si>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</si>
  <si>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</si>
  <si>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</si>
  <si>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</si>
  <si>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</si>
  <si>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</si>
  <si>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</si>
  <si>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</si>
  <si>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</si>
  <si>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</si>
  <si>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</si>
  <si>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</si>
  <si>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</si>
  <si>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</si>
  <si>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</si>
  <si>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</si>
  <si>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</si>
  <si>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</si>
  <si>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</si>
  <si>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</si>
  <si>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</si>
  <si>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</si>
  <si>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</si>
  <si>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</si>
  <si>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</si>
  <si>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</si>
  <si>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</si>
  <si>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</si>
  <si>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</si>
  <si>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</si>
  <si>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</si>
  <si>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</si>
  <si>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</si>
  <si>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</si>
  <si>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</si>
  <si>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</si>
  <si>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</si>
  <si>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</si>
  <si>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</si>
  <si>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</si>
  <si>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</si>
  <si>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</si>
  <si>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</si>
  <si>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</si>
  <si>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</si>
  <si>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</si>
  <si>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</si>
  <si>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</si>
  <si>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</si>
  <si>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</si>
  <si>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</si>
  <si>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</si>
  <si>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</si>
  <si>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</si>
  <si>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</si>
  <si>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</si>
  <si>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</si>
  <si>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</si>
  <si>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</si>
  <si>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</si>
  <si>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</si>
  <si>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</si>
  <si>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</si>
  <si>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</si>
  <si>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</si>
  <si>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</si>
  <si>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</si>
  <si>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</si>
  <si>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</si>
  <si>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</si>
  <si>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</si>
  <si>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</si>
  <si>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</si>
  <si>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</si>
  <si>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</si>
  <si>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</si>
  <si>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</si>
  <si>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</si>
  <si>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</si>
  <si>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</si>
  <si>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</si>
  <si>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</si>
  <si>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</si>
  <si>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</si>
  <si>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</si>
  <si>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</si>
  <si>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</si>
  <si>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</si>
  <si>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</si>
  <si>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</si>
  <si>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</si>
  <si>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</si>
  <si>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</si>
  <si>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</si>
  <si>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</si>
  <si>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</si>
  <si>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</si>
  <si>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</si>
  <si>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</si>
  <si>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</si>
  <si>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</si>
  <si>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</si>
  <si>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</si>
  <si>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</si>
  <si>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</si>
  <si>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</si>
  <si>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</si>
  <si>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</si>
  <si>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</si>
  <si>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</si>
  <si>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</si>
  <si>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</si>
  <si>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</si>
  <si>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</si>
  <si>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</si>
  <si>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</si>
  <si>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</si>
  <si>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</si>
  <si>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</si>
  <si>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</si>
  <si>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</si>
  <si>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</si>
  <si>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</si>
  <si>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</si>
  <si>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</si>
  <si>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</si>
  <si>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</si>
  <si>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</si>
  <si>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</si>
  <si>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</si>
  <si>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</si>
  <si>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</si>
  <si>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</si>
  <si>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</si>
  <si>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</si>
  <si>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</si>
  <si>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</si>
  <si>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</si>
  <si>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</si>
  <si>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</si>
  <si>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</si>
  <si>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</si>
  <si>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</si>
  <si>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</si>
  <si>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</si>
  <si>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</si>
  <si>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</si>
  <si>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</si>
  <si>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</si>
  <si>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</si>
  <si>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</si>
  <si>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</si>
  <si>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</si>
  <si>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</si>
  <si>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</si>
  <si>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</si>
  <si>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</si>
  <si>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</si>
  <si>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</si>
  <si>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</si>
  <si>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</si>
  <si>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</si>
  <si>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</si>
  <si>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</si>
  <si>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</si>
  <si>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</si>
  <si>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</si>
  <si>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</si>
  <si>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</si>
  <si>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</si>
  <si>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</si>
  <si>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</si>
  <si>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</si>
  <si>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</si>
  <si>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</si>
  <si>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</si>
  <si>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</si>
  <si>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</si>
  <si>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</si>
  <si>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</si>
  <si>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</si>
  <si>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</si>
  <si>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</si>
  <si>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</si>
  <si>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</si>
  <si>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</si>
  <si>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</si>
  <si>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</si>
  <si>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</si>
  <si>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</si>
  <si>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</si>
  <si>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</si>
  <si>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</si>
  <si>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</si>
  <si>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</si>
  <si>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</si>
  <si>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</si>
  <si>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</si>
  <si>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</si>
  <si>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</si>
  <si>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</si>
  <si>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</si>
  <si>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</si>
  <si>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</si>
  <si>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</si>
  <si>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</si>
  <si>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</si>
  <si>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</si>
  <si>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</si>
  <si>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</si>
  <si>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</si>
  <si>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</si>
  <si>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</si>
  <si>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</si>
  <si>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</si>
  <si>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</si>
  <si>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</si>
  <si>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</si>
  <si>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</si>
  <si>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</si>
  <si>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</si>
  <si>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</si>
  <si>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</si>
  <si>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</si>
  <si>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</si>
  <si>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</si>
  <si>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</si>
  <si>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</si>
  <si>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</si>
  <si>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</si>
  <si>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</si>
  <si>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</si>
  <si>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</si>
  <si>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</si>
  <si>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</si>
  <si>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</si>
  <si>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</si>
  <si>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</si>
  <si>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</si>
  <si>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</si>
  <si>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</si>
  <si>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</si>
  <si>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</si>
  <si>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</si>
  <si>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</si>
  <si>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</si>
  <si>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</si>
  <si>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</si>
  <si>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</si>
  <si>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</si>
  <si>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</si>
  <si>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</si>
  <si>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</si>
  <si>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</si>
  <si>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</si>
  <si>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</si>
  <si>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</si>
  <si>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</si>
  <si>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</si>
  <si>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</si>
  <si>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</si>
  <si>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</si>
  <si>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</si>
  <si>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</si>
  <si>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</si>
  <si>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</si>
  <si>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</si>
  <si>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</si>
  <si>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</si>
  <si>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</si>
  <si>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</si>
  <si>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</si>
  <si>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</si>
  <si>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</si>
  <si>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</si>
  <si>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</si>
  <si>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</si>
  <si>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</si>
  <si>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</si>
  <si>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</si>
  <si>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</si>
  <si>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</si>
  <si>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</si>
  <si>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</si>
  <si>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</si>
  <si>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</si>
  <si>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</si>
  <si>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</si>
  <si>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</si>
  <si>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</si>
  <si>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</si>
  <si>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</si>
  <si>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</si>
  <si>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</si>
  <si>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</si>
  <si>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</si>
  <si>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</si>
  <si>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</si>
  <si>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</si>
  <si>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</si>
  <si>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</si>
  <si>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</si>
  <si>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</si>
  <si>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</si>
  <si>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</si>
  <si>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</si>
  <si>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</si>
  <si>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</si>
  <si>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</si>
  <si>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</si>
  <si>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</si>
  <si>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</si>
  <si>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</si>
  <si>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</si>
  <si>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</si>
  <si>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</si>
  <si>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</si>
  <si>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</si>
  <si>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</si>
  <si>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</si>
  <si>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</si>
  <si>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</si>
  <si>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</si>
  <si>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</si>
  <si>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</si>
  <si>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</si>
  <si>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</si>
  <si>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</si>
  <si>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</si>
  <si>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</si>
  <si>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</si>
  <si>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</si>
  <si>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</si>
  <si>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</si>
  <si>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</si>
  <si>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</si>
  <si>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</si>
  <si>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</si>
  <si>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</si>
  <si>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</si>
  <si>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</si>
  <si>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</si>
  <si>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</si>
  <si>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</si>
  <si>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</si>
  <si>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</si>
  <si>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</si>
  <si>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</si>
  <si>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</si>
  <si>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</si>
  <si>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</si>
  <si>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</si>
  <si>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</si>
  <si>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</si>
  <si>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</si>
  <si>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</si>
  <si>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</si>
  <si>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</si>
  <si>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</si>
  <si>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</si>
  <si>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</si>
  <si>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</si>
  <si>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</si>
  <si>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</si>
  <si>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</si>
  <si>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</si>
  <si>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</si>
  <si>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</si>
  <si>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</si>
  <si>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</si>
  <si>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</si>
  <si>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</si>
  <si>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</si>
  <si>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</si>
  <si>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</si>
  <si>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</si>
  <si>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</si>
  <si>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</si>
  <si>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</si>
  <si>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</si>
  <si>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</si>
  <si>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</si>
  <si>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</si>
  <si>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</si>
  <si>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</si>
  <si>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</si>
  <si>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</si>
  <si>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</si>
  <si>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</si>
  <si>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</si>
  <si>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</si>
  <si>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</si>
  <si>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</si>
  <si>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</si>
  <si>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</si>
  <si>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</si>
  <si>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</si>
  <si>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</si>
  <si>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</si>
  <si>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</si>
  <si>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</si>
  <si>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</si>
  <si>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</si>
  <si>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</si>
  <si>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</si>
  <si>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</si>
  <si>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</si>
  <si>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</si>
  <si>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</si>
  <si>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</si>
  <si>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</si>
  <si>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</si>
  <si>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</si>
  <si>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</si>
  <si>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</si>
  <si>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</si>
  <si>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</si>
  <si>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</si>
  <si>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</si>
  <si>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</si>
  <si>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</si>
  <si>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</si>
  <si>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</si>
  <si>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</si>
  <si>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</si>
  <si>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</si>
  <si>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</si>
  <si>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</si>
  <si>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</si>
  <si>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</si>
  <si>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</si>
  <si>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</si>
  <si>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</si>
  <si>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</si>
  <si>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</si>
  <si>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</si>
  <si>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</si>
  <si>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</si>
  <si>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</si>
  <si>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</si>
  <si>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</si>
  <si>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</si>
  <si>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</si>
  <si>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</si>
  <si>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</si>
  <si>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</si>
  <si>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</si>
  <si>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</si>
  <si>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</si>
  <si>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</si>
  <si>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</si>
  <si>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</si>
  <si>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</si>
  <si>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</si>
  <si>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</si>
  <si>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</si>
  <si>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</si>
  <si>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</si>
  <si>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</si>
  <si>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</si>
  <si>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</si>
  <si>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</si>
  <si>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</si>
  <si>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</si>
  <si>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</si>
  <si>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</si>
  <si>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</si>
  <si>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</si>
  <si>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</si>
  <si>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</si>
  <si>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</si>
  <si>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</si>
  <si>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</si>
  <si>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</si>
  <si>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</si>
  <si>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</si>
  <si>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</si>
  <si>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</si>
  <si>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</si>
  <si>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</si>
  <si>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</si>
  <si>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</si>
  <si>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</si>
  <si>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</si>
  <si>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</si>
  <si>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</si>
  <si>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</si>
  <si>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</si>
  <si>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</si>
  <si>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</si>
  <si>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</si>
  <si>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</si>
  <si>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</si>
  <si>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</si>
  <si>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</si>
  <si>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</si>
  <si>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</si>
  <si>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</si>
  <si>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</si>
  <si>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</si>
  <si>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</si>
  <si>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</si>
  <si>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</si>
  <si>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</si>
  <si>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</si>
  <si>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</si>
  <si>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</si>
  <si>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</si>
  <si>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</si>
  <si>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</si>
  <si>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</si>
  <si>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</si>
  <si>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</si>
  <si>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</si>
  <si>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</si>
  <si>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</si>
  <si>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</si>
  <si>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</si>
  <si>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</si>
  <si>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</si>
  <si>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</si>
  <si>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</si>
  <si>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</si>
  <si>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</si>
  <si>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</si>
  <si>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</si>
  <si>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</si>
  <si>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</si>
  <si>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</si>
  <si>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</si>
  <si>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</si>
  <si>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</si>
  <si>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</si>
  <si>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</si>
  <si>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</si>
  <si>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</si>
  <si>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</si>
  <si>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</si>
  <si>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</si>
  <si>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</si>
  <si>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</si>
  <si>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</si>
  <si>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</si>
  <si>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</si>
  <si>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</si>
  <si>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</si>
  <si>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</si>
  <si>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</si>
  <si>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</si>
  <si>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</si>
  <si>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</si>
  <si>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</si>
  <si>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</si>
  <si>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</si>
  <si>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</si>
  <si>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</si>
  <si>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</si>
  <si>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</si>
  <si>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</si>
  <si>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</si>
  <si>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</si>
  <si>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</si>
  <si>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</si>
  <si>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</si>
  <si>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</si>
  <si>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</si>
  <si>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</si>
  <si>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</si>
  <si>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</si>
  <si>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</si>
  <si>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</si>
  <si>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</si>
  <si>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</si>
  <si>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</si>
  <si>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</si>
  <si>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</si>
  <si>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</si>
  <si>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</si>
  <si>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</si>
  <si>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</si>
  <si>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</si>
  <si>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</si>
  <si>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</si>
  <si>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</si>
  <si>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</si>
  <si>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</si>
  <si>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</si>
  <si>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</si>
  <si>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</si>
  <si>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</si>
  <si>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</si>
  <si>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</si>
  <si>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</si>
  <si>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</si>
  <si>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</si>
  <si>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</si>
  <si>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</si>
  <si>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</si>
  <si>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</si>
  <si>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</si>
  <si>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</si>
  <si>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</si>
  <si>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</si>
  <si>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</si>
  <si>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</si>
  <si>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</si>
  <si>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</si>
  <si>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</si>
  <si>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</si>
  <si>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</si>
  <si>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</si>
  <si>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</si>
  <si>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</si>
  <si>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</si>
  <si>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</si>
  <si>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</si>
  <si>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</si>
  <si>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</si>
  <si>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</si>
  <si>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</si>
  <si>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</si>
  <si>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</si>
  <si>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</si>
  <si>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</si>
  <si>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</si>
  <si>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</si>
  <si>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</si>
  <si>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</si>
  <si>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</si>
  <si>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</si>
  <si>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</si>
  <si>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</si>
  <si>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</si>
  <si>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</si>
  <si>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</si>
  <si>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</si>
  <si>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</si>
  <si>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</si>
  <si>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</si>
  <si>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</si>
  <si>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</si>
  <si>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</si>
  <si>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</si>
  <si>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</si>
  <si>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</si>
  <si>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</si>
  <si>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</si>
  <si>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</si>
  <si>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</si>
  <si>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</si>
  <si>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</si>
  <si>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</si>
  <si>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</si>
  <si>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</si>
  <si>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</si>
  <si>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</si>
  <si>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</si>
  <si>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</si>
  <si>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</si>
  <si>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</si>
  <si>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</si>
  <si>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</si>
  <si>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</si>
  <si>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</si>
  <si>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</si>
  <si>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</si>
  <si>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</si>
  <si>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</si>
  <si>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</si>
  <si>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</si>
  <si>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</si>
  <si>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</si>
  <si>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</si>
  <si>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</si>
  <si>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</si>
  <si>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</si>
  <si>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</si>
  <si>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</si>
  <si>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</si>
  <si>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</si>
  <si>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</si>
  <si>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</si>
  <si>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</si>
  <si>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</si>
  <si>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</si>
  <si>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</si>
  <si>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</si>
  <si>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</si>
  <si>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</si>
  <si>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</si>
  <si>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</si>
  <si>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</si>
  <si>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</si>
  <si>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</si>
  <si>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</si>
  <si>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</si>
  <si>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</si>
  <si>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</si>
  <si>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</si>
  <si>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</si>
  <si>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</si>
  <si>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</si>
  <si>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</si>
  <si>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</si>
  <si>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</si>
  <si>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</si>
  <si>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</si>
  <si>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</si>
  <si>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</si>
  <si>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</si>
  <si>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</si>
  <si>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</si>
  <si>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</si>
  <si>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</si>
  <si>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</si>
  <si>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</si>
  <si>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</si>
  <si>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</si>
  <si>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</si>
  <si>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</si>
  <si>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</si>
  <si>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</si>
  <si>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</si>
  <si>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</si>
  <si>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</si>
  <si>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</si>
  <si>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</si>
  <si>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</si>
  <si>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</si>
  <si>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</si>
  <si>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</si>
  <si>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</si>
  <si>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</si>
  <si>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</si>
  <si>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</si>
  <si>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</si>
  <si>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</si>
  <si>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</si>
  <si>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</si>
  <si>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</si>
  <si>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</si>
  <si>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</si>
  <si>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</si>
  <si>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</si>
  <si>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</si>
  <si>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</si>
  <si>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</si>
  <si>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</si>
  <si>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</si>
  <si>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</si>
  <si>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</si>
  <si>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</si>
  <si>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</si>
  <si>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</si>
  <si>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</si>
  <si>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</si>
  <si>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</si>
  <si>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</si>
  <si>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</si>
  <si>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</si>
  <si>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</si>
  <si>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</si>
  <si>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</si>
  <si>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</si>
  <si>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</si>
  <si>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</si>
  <si>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</si>
  <si>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</si>
  <si>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</si>
  <si>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</si>
  <si>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</si>
  <si>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</si>
  <si>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</si>
  <si>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</si>
  <si>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</si>
  <si>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</si>
  <si>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</si>
  <si>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</si>
  <si>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</si>
  <si>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</si>
  <si>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</si>
  <si>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</si>
  <si>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</si>
  <si>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</si>
  <si>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</si>
  <si>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</si>
  <si>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</si>
  <si>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</si>
  <si>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</si>
  <si>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</si>
  <si>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</si>
  <si>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</si>
  <si>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</si>
  <si>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</si>
  <si>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</si>
  <si>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</si>
  <si>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</si>
  <si>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</si>
  <si>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</si>
  <si>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</si>
  <si>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</si>
  <si>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</si>
  <si>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</si>
  <si>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</si>
  <si>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</si>
  <si>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</si>
  <si>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</si>
  <si>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</si>
  <si>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</si>
  <si>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</si>
  <si>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</si>
  <si>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</si>
  <si>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</si>
  <si>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</si>
  <si>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</si>
  <si>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</si>
  <si>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</si>
  <si>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</si>
  <si>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</si>
  <si>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</si>
  <si>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</si>
  <si>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</si>
  <si>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</si>
  <si>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</si>
  <si>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</si>
  <si>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</si>
  <si>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</si>
  <si>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</si>
  <si>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</si>
  <si>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</si>
  <si>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</si>
  <si>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</si>
  <si>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</si>
  <si>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</si>
  <si>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</si>
  <si>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</si>
  <si>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</si>
  <si>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</si>
  <si>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</si>
  <si>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</si>
  <si>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</si>
  <si>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</si>
  <si>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</si>
  <si>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</si>
  <si>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</si>
  <si>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</si>
  <si>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</si>
  <si>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</si>
  <si>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</si>
  <si>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</si>
  <si>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</si>
  <si>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</si>
  <si>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</si>
  <si>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</si>
  <si>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</si>
  <si>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</si>
  <si>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</si>
  <si>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</si>
  <si>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</si>
  <si>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</si>
  <si>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</si>
  <si>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</si>
  <si>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</si>
  <si>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</si>
  <si>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</si>
  <si>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</si>
  <si>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</si>
  <si>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</si>
  <si>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</si>
  <si>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</si>
  <si>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</si>
  <si>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</si>
  <si>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</si>
  <si>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</si>
  <si>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</si>
  <si>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</si>
  <si>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</si>
  <si>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</si>
  <si>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</si>
  <si>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</si>
  <si>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</si>
  <si>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</si>
  <si>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</si>
  <si>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</si>
  <si>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</si>
  <si>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</si>
  <si>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</si>
  <si>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</si>
  <si>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</si>
  <si>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</si>
  <si>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</si>
  <si>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</si>
  <si>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</si>
  <si>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</si>
  <si>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</si>
  <si>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</si>
  <si>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</si>
  <si>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</si>
  <si>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</si>
  <si>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</si>
  <si>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</si>
  <si>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</si>
  <si>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</si>
  <si>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</si>
  <si>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</si>
  <si>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</si>
  <si>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</si>
  <si>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</si>
  <si>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</si>
  <si>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</si>
  <si>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</si>
  <si>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</si>
  <si>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</si>
  <si>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</si>
  <si>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</si>
  <si>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</si>
  <si>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</si>
  <si>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</si>
  <si>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</si>
  <si>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</si>
  <si>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</si>
  <si>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</si>
  <si>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</si>
  <si>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</si>
  <si>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</si>
  <si>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</si>
  <si>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</si>
  <si>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</si>
  <si>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</si>
  <si>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</si>
  <si>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</si>
  <si>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</si>
  <si>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</si>
  <si>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</si>
  <si>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</si>
  <si>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</si>
  <si>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</si>
  <si>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</si>
  <si>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</si>
  <si>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</si>
  <si>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</si>
  <si>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</si>
  <si>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</si>
  <si>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</si>
  <si>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</si>
  <si>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</si>
  <si>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</si>
  <si>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</si>
  <si>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</si>
  <si>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</si>
  <si>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</si>
  <si>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</si>
  <si>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</si>
  <si>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</si>
  <si>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</si>
  <si>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</si>
  <si>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</si>
  <si>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</si>
  <si>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</si>
  <si>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</si>
  <si>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</si>
  <si>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</si>
  <si>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</si>
  <si>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</si>
  <si>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</si>
  <si>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</si>
  <si>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</si>
  <si>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</si>
  <si>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</si>
  <si>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</si>
  <si>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</si>
  <si>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</si>
  <si>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</si>
  <si>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</si>
  <si>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</si>
  <si>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</si>
  <si>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</si>
  <si>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</si>
  <si>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</si>
  <si>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</si>
  <si>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</si>
  <si>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</si>
  <si>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</si>
  <si>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</si>
  <si>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</si>
  <si>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</si>
  <si>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</si>
  <si>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</si>
  <si>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</si>
  <si>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</si>
  <si>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</si>
  <si>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</si>
  <si>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</si>
  <si>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</si>
  <si>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</si>
  <si>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</si>
  <si>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</si>
  <si>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</si>
  <si>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</si>
  <si>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</si>
  <si>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</si>
  <si>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</si>
  <si>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</si>
  <si>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</si>
  <si>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</si>
  <si>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</si>
  <si>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</si>
  <si>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</si>
  <si>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</si>
  <si>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</si>
  <si>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</si>
  <si>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</si>
  <si>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</si>
  <si>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</si>
  <si>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</si>
  <si>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</si>
  <si>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</si>
  <si>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</si>
  <si>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</si>
  <si>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</si>
  <si>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</si>
  <si>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</si>
  <si>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</si>
  <si>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</si>
  <si>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</si>
  <si>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</si>
  <si>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</si>
  <si>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</si>
  <si>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</si>
  <si>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</si>
  <si>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</si>
  <si>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</si>
  <si>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</si>
  <si>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</si>
  <si>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</si>
  <si>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</si>
  <si>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</si>
  <si>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</si>
  <si>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</si>
  <si>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</si>
  <si>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</si>
  <si>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</si>
  <si>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</si>
  <si>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</si>
  <si>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</si>
  <si>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</si>
  <si>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</si>
  <si>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</si>
  <si>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</si>
  <si>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</si>
  <si>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</si>
  <si>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</si>
  <si>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</si>
  <si>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</si>
  <si>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</si>
  <si>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</si>
  <si>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</si>
  <si>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</si>
  <si>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</si>
  <si>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</si>
  <si>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</si>
  <si>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</si>
  <si>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</si>
  <si>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</si>
  <si>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</si>
  <si>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</si>
  <si>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</si>
  <si>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</si>
  <si>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</si>
  <si>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</si>
  <si>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</si>
  <si>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</si>
  <si>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</si>
  <si>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</si>
  <si>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</si>
  <si>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</si>
  <si>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</si>
  <si>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</si>
  <si>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</si>
  <si>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</si>
  <si>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</si>
  <si>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</si>
  <si>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</si>
  <si>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</si>
  <si>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</si>
  <si>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</si>
  <si>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</si>
  <si>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</si>
  <si>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</si>
  <si>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</si>
  <si>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</si>
  <si>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</si>
  <si>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</si>
  <si>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</si>
  <si>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</si>
  <si>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</si>
  <si>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</si>
  <si>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</si>
  <si>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</si>
  <si>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</si>
  <si>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</si>
  <si>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</si>
  <si>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</si>
  <si>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</si>
  <si>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</si>
  <si>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</si>
  <si>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</si>
  <si>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</si>
  <si>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</si>
  <si>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</si>
  <si>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</si>
  <si>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</si>
  <si>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</si>
  <si>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</si>
  <si>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</si>
  <si>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</si>
  <si>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</si>
  <si>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</si>
  <si>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</si>
  <si>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</si>
  <si>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</si>
  <si>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</si>
  <si>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</si>
  <si>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</si>
  <si>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</si>
  <si>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</si>
  <si>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</si>
  <si>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</si>
  <si>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</si>
  <si>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</si>
  <si>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</si>
  <si>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</si>
  <si>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</si>
  <si>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</si>
  <si>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</si>
  <si>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</si>
  <si>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</si>
  <si>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</si>
  <si>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</si>
  <si>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</si>
  <si>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</si>
  <si>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</si>
  <si>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</si>
  <si>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</si>
  <si>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</si>
  <si>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</si>
  <si>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</si>
  <si>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</si>
  <si>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</si>
  <si>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</si>
  <si>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</si>
  <si>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</si>
  <si>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</si>
  <si>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</si>
  <si>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</si>
  <si>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</si>
  <si>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</si>
  <si>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</si>
  <si>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</si>
  <si>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</si>
  <si>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</si>
  <si>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</si>
  <si>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</si>
  <si>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</si>
  <si>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</si>
  <si>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</si>
  <si>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</si>
  <si>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</si>
  <si>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</si>
  <si>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</si>
  <si>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</si>
  <si>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</si>
  <si>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</si>
  <si>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</si>
  <si>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</si>
  <si>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</si>
  <si>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</si>
  <si>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</si>
  <si>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</si>
  <si>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</si>
  <si>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</si>
  <si>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</si>
  <si>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</si>
  <si>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</si>
  <si>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</si>
  <si>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</si>
  <si>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</si>
  <si>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</si>
  <si>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</si>
  <si>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</si>
  <si>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</si>
  <si>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</si>
  <si>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</si>
  <si>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</si>
  <si>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</si>
  <si>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</si>
  <si>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</si>
  <si>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</si>
  <si>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</si>
  <si>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</si>
  <si>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</si>
  <si>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</si>
  <si>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</si>
  <si>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</si>
  <si>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</si>
  <si>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</si>
  <si>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</si>
  <si>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</si>
  <si>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</si>
  <si>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</si>
  <si>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</si>
  <si>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</si>
  <si>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</si>
  <si>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</si>
  <si>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</si>
  <si>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</si>
  <si>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</si>
  <si>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</si>
  <si>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</si>
  <si>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</si>
  <si>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</si>
  <si>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</si>
  <si>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</si>
  <si>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</si>
  <si>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</si>
  <si>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</si>
  <si>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</si>
  <si>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</si>
  <si>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</si>
  <si>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</si>
  <si>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</si>
  <si>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</si>
  <si>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</si>
  <si>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</si>
  <si>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</si>
  <si>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</si>
  <si>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</si>
  <si>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</si>
  <si>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</si>
  <si>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</si>
  <si>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</si>
  <si>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</si>
  <si>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</si>
  <si>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</si>
  <si>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</si>
  <si>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</si>
  <si>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</si>
  <si>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</si>
  <si>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</si>
  <si>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</si>
  <si>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</si>
  <si>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</si>
  <si>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</si>
  <si>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</si>
  <si>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</si>
  <si>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</si>
  <si>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</si>
  <si>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</si>
  <si>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</si>
  <si>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</si>
  <si>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</si>
  <si>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</si>
  <si>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</si>
  <si>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</si>
  <si>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</si>
  <si>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</si>
  <si>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</si>
  <si>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</si>
  <si>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</si>
  <si>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</si>
  <si>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</si>
  <si>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</si>
  <si>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</si>
  <si>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</si>
  <si>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</si>
  <si>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</si>
  <si>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</si>
  <si>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</si>
  <si>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</si>
  <si>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</si>
  <si>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</si>
  <si>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</si>
  <si>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</si>
  <si>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</si>
  <si>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</si>
  <si>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</si>
  <si>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</si>
  <si>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</si>
  <si>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</si>
  <si>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</si>
  <si>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</si>
  <si>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</si>
  <si>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</si>
  <si>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</si>
  <si>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</si>
  <si>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</si>
  <si>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</si>
  <si>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</si>
  <si>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</si>
  <si>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</si>
  <si>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</si>
  <si>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</si>
  <si>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</si>
  <si>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</si>
  <si>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</si>
  <si>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</si>
  <si>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</si>
  <si>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</si>
  <si>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</si>
  <si>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</si>
  <si>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</si>
  <si>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</si>
  <si>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</si>
  <si>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</si>
  <si>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</si>
  <si>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</si>
  <si>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</si>
  <si>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</si>
  <si>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</si>
  <si>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</si>
  <si>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</si>
  <si>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</si>
  <si>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</si>
  <si>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</si>
  <si>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</si>
  <si>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</si>
  <si>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</si>
  <si>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</si>
  <si>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</si>
  <si>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</si>
  <si>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</si>
  <si>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</si>
  <si>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</si>
  <si>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</si>
  <si>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</si>
  <si>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</si>
  <si>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</si>
  <si>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</si>
  <si>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</si>
  <si>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</si>
  <si>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</si>
  <si>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</si>
  <si>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</si>
  <si>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</si>
  <si>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</si>
  <si>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</si>
  <si>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</si>
  <si>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</si>
  <si>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</si>
  <si>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</si>
  <si>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</si>
  <si>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</si>
  <si>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</si>
  <si>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</si>
  <si>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</si>
  <si>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</si>
  <si>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</si>
  <si>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</si>
  <si>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</si>
  <si>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</si>
  <si>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</si>
  <si>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</si>
  <si>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</si>
  <si>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</si>
  <si>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</si>
  <si>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</si>
  <si>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</si>
  <si>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</si>
  <si>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</si>
  <si>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</si>
  <si>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</si>
  <si>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</si>
  <si>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</si>
  <si>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</si>
  <si>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</si>
  <si>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</si>
  <si>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</si>
  <si>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</si>
  <si>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</si>
  <si>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</si>
  <si>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</si>
  <si>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</si>
  <si>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</si>
  <si>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</si>
  <si>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</si>
  <si>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</si>
  <si>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</si>
  <si>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</si>
  <si>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</si>
  <si>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</si>
  <si>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</si>
  <si>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</si>
  <si>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</si>
  <si>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</si>
  <si>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</si>
  <si>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</si>
  <si>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</si>
  <si>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</si>
  <si>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</si>
  <si>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</si>
  <si>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</si>
  <si>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</si>
  <si>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</si>
  <si>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</si>
  <si>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</si>
  <si>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</si>
  <si>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</si>
  <si>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</si>
  <si>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</si>
  <si>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</si>
  <si>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</si>
  <si>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</si>
  <si>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</si>
  <si>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</si>
  <si>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</si>
  <si>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</si>
  <si>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</si>
  <si>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</si>
  <si>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</si>
  <si>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</si>
  <si>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</si>
  <si>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</si>
  <si>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</si>
  <si>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</si>
  <si>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</si>
  <si>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</si>
  <si>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</si>
  <si>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</si>
  <si>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</si>
  <si>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</si>
  <si>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</si>
  <si>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</si>
  <si>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</si>
  <si>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</si>
  <si>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</si>
  <si>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</si>
  <si>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</si>
  <si>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</si>
  <si>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</si>
  <si>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</si>
  <si>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</si>
  <si>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</si>
  <si>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</si>
  <si>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</si>
  <si>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</si>
  <si>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</si>
  <si>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</si>
  <si>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</si>
  <si>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</si>
  <si>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</si>
  <si>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</si>
  <si>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</si>
  <si>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</si>
  <si>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</si>
  <si>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</si>
  <si>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</si>
  <si>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</si>
  <si>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</si>
  <si>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</si>
  <si>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</si>
  <si>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</si>
  <si>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</si>
  <si>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</si>
  <si>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</si>
  <si>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</si>
  <si>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</si>
  <si>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</si>
  <si>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</si>
  <si>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</si>
  <si>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</si>
  <si>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</si>
  <si>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</si>
  <si>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</si>
  <si>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</si>
  <si>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</si>
  <si>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</si>
  <si>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</si>
  <si>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</si>
  <si>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</si>
  <si>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</si>
  <si>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</si>
  <si>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</si>
  <si>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</si>
  <si>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</si>
  <si>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</si>
  <si>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</si>
  <si>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</si>
  <si>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</si>
  <si>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</si>
  <si>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</si>
  <si>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</si>
  <si>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</si>
  <si>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</si>
  <si>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</si>
  <si>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</si>
  <si>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</si>
  <si>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</si>
  <si>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</si>
  <si>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</si>
  <si>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</si>
  <si>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</si>
  <si>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</si>
  <si>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</si>
  <si>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</si>
  <si>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</si>
  <si>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</si>
  <si>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</si>
  <si>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</si>
  <si>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</si>
  <si>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</si>
  <si>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</si>
  <si>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</si>
  <si>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</si>
  <si>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</si>
  <si>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</si>
  <si>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</si>
  <si>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</si>
  <si>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</si>
  <si>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</si>
  <si>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</si>
  <si>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</si>
  <si>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</si>
  <si>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</si>
  <si>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</si>
  <si>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</si>
  <si>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</si>
  <si>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</si>
  <si>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</si>
  <si>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</si>
  <si>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</si>
  <si>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</si>
  <si>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</si>
  <si>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</si>
  <si>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</si>
  <si>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</si>
  <si>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</si>
  <si>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</si>
  <si>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</si>
  <si>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</si>
  <si>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</si>
  <si>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</si>
  <si>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</si>
  <si>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</si>
  <si>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</si>
  <si>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</si>
  <si>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</si>
  <si>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</si>
  <si>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</si>
  <si>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</si>
  <si>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</si>
  <si>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</si>
  <si>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</si>
  <si>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</si>
  <si>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</si>
  <si>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</si>
  <si>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</si>
  <si>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</si>
  <si>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</si>
  <si>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</si>
  <si>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</si>
  <si>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</si>
  <si>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</si>
  <si>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</si>
  <si>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</si>
  <si>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</si>
  <si>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</si>
  <si>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</si>
  <si>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</si>
  <si>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</si>
  <si>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</si>
  <si>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</si>
  <si>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</si>
  <si>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</si>
  <si>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</si>
  <si>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</si>
  <si>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</si>
  <si>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</si>
  <si>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</si>
  <si>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</si>
  <si>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</si>
  <si>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</si>
  <si>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</si>
  <si>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</si>
  <si>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</si>
  <si>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</si>
  <si>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</si>
  <si>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</si>
  <si>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</si>
  <si>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</si>
  <si>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</si>
  <si>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</si>
  <si>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</si>
  <si>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</si>
  <si>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</si>
  <si>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</si>
  <si>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</si>
  <si>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</si>
  <si>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</si>
  <si>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</si>
  <si>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</si>
  <si>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</si>
  <si>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</si>
  <si>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</si>
  <si>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</si>
  <si>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</si>
  <si>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</si>
  <si>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</si>
  <si>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</si>
  <si>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</si>
  <si>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</si>
  <si>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</si>
  <si>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</si>
  <si>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</si>
  <si>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</si>
  <si>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</si>
  <si>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</si>
  <si>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</si>
  <si>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</si>
  <si>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</si>
  <si>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</si>
  <si>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</si>
  <si>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</si>
  <si>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</si>
  <si>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</si>
  <si>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</si>
  <si>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</si>
  <si>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</si>
  <si>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</si>
  <si>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</si>
  <si>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</si>
  <si>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</si>
  <si>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</si>
  <si>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</si>
  <si>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</si>
  <si>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</si>
  <si>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</si>
  <si>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</si>
  <si>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</si>
  <si>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</si>
  <si>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</si>
  <si>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</si>
  <si>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</si>
  <si>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</si>
  <si>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</si>
  <si>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</si>
  <si>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</si>
  <si>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</si>
  <si>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</si>
  <si>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</si>
  <si>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</si>
  <si>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</si>
  <si>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</si>
  <si>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</si>
  <si>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</si>
  <si>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</si>
  <si>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</si>
  <si>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</si>
  <si>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</si>
  <si>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</si>
  <si>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</si>
  <si>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</si>
  <si>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</si>
  <si>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</si>
  <si>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</si>
  <si>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</si>
  <si>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</si>
  <si>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</si>
  <si>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</si>
  <si>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</si>
  <si>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</si>
  <si>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</si>
  <si>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</si>
  <si>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</si>
  <si>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</si>
  <si>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</si>
  <si>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</si>
  <si>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</si>
  <si>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</si>
  <si>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</si>
  <si>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</si>
  <si>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</si>
  <si>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</si>
  <si>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</si>
  <si>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</si>
  <si>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</si>
  <si>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</si>
  <si>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</si>
  <si>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</si>
  <si>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</si>
  <si>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</si>
  <si>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</si>
  <si>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</si>
  <si>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</si>
  <si>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</si>
  <si>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</si>
  <si>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</si>
  <si>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</si>
  <si>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</si>
  <si>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</si>
  <si>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</si>
  <si>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</si>
  <si>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</si>
  <si>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</si>
  <si>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</si>
  <si>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</si>
  <si>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</si>
  <si>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</si>
  <si>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</si>
  <si>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</si>
  <si>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</si>
  <si>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</si>
  <si>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</si>
  <si>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</si>
  <si>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</si>
  <si>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</si>
  <si>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</si>
  <si>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</si>
  <si>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</si>
  <si>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</si>
  <si>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</si>
  <si>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</si>
  <si>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</si>
  <si>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</si>
  <si>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</si>
  <si>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</si>
  <si>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</si>
  <si>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</si>
  <si>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</si>
  <si>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</si>
  <si>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</si>
  <si>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</si>
  <si>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</si>
  <si>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</si>
  <si>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</si>
  <si>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</si>
  <si>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</si>
  <si>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</si>
  <si>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</si>
  <si>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</si>
  <si>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</si>
  <si>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</si>
  <si>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</si>
  <si>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</si>
  <si>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</si>
  <si>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</si>
  <si>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</si>
  <si>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</si>
  <si>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</si>
  <si>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</si>
  <si>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</si>
  <si>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</si>
  <si>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</si>
  <si>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</si>
  <si>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</si>
  <si>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</si>
  <si>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</si>
  <si>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</si>
  <si>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</si>
  <si>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</si>
  <si>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</si>
  <si>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</si>
  <si>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</si>
  <si>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</si>
  <si>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</si>
  <si>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</si>
  <si>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</si>
  <si>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</si>
  <si>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</si>
  <si>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</si>
  <si>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</si>
  <si>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</si>
  <si>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</si>
  <si>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</si>
  <si>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</si>
  <si>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</si>
  <si>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</si>
  <si>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</si>
  <si>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</si>
  <si>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</si>
  <si>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</si>
  <si>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</si>
  <si>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</si>
  <si>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</si>
  <si>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</si>
  <si>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</si>
  <si>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</si>
  <si>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</si>
  <si>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</si>
  <si>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</si>
  <si>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</si>
  <si>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</si>
  <si>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</si>
  <si>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</si>
  <si>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</si>
  <si>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</si>
  <si>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</si>
  <si>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</si>
  <si>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</si>
  <si>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</si>
  <si>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</si>
  <si>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</si>
  <si>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</si>
  <si>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</si>
  <si>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</si>
  <si>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</si>
  <si>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</si>
  <si>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</si>
  <si>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</si>
  <si>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</si>
  <si>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</si>
  <si>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</si>
  <si>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</si>
  <si>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</si>
  <si>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</si>
  <si>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</si>
  <si>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</si>
  <si>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</si>
  <si>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</si>
  <si>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</si>
  <si>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</si>
  <si>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</si>
  <si>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</si>
  <si>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</si>
  <si>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</si>
  <si>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</si>
  <si>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</si>
  <si>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</si>
  <si>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</si>
  <si>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</si>
  <si>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</si>
  <si>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</si>
  <si>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</si>
  <si>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</si>
  <si>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</si>
  <si>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</si>
  <si>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</si>
  <si>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</si>
  <si>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</si>
  <si>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</si>
  <si>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</si>
  <si>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</si>
  <si>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</si>
  <si>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</si>
  <si>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</si>
  <si>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</si>
  <si>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</si>
  <si>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</si>
  <si>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</si>
  <si>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</si>
  <si>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</si>
  <si>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</si>
  <si>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</si>
  <si>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</si>
  <si>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</si>
  <si>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</si>
  <si>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</si>
  <si>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</si>
  <si>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</si>
  <si>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</si>
  <si>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</si>
  <si>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</si>
  <si>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</si>
  <si>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</si>
  <si>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</si>
  <si>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</si>
  <si>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</si>
  <si>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</si>
  <si>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</si>
  <si>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</si>
  <si>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</si>
  <si>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</si>
  <si>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</si>
  <si>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</si>
  <si>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</si>
  <si>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</si>
  <si>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</si>
  <si>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</si>
  <si>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</si>
  <si>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</si>
  <si>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</si>
  <si>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</si>
  <si>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</si>
  <si>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</si>
  <si>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</si>
  <si>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</si>
  <si>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</si>
  <si>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</si>
  <si>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</si>
  <si>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</si>
  <si>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</si>
  <si>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</si>
  <si>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</si>
  <si>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</si>
  <si>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</si>
  <si>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</si>
  <si>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</si>
  <si>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</si>
  <si>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</si>
  <si>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</si>
  <si>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</si>
  <si>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</si>
  <si>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</si>
  <si>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</si>
  <si>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</si>
  <si>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</si>
  <si>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</si>
  <si>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</si>
  <si>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</si>
  <si>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</si>
  <si>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</si>
  <si>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</si>
  <si>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</si>
  <si>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</si>
  <si>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</si>
  <si>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</si>
  <si>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</si>
  <si>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</si>
  <si>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</si>
  <si>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</si>
  <si>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</si>
  <si>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</si>
  <si>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</si>
  <si>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</si>
  <si>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</si>
  <si>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</si>
  <si>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</si>
  <si>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</si>
  <si>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</si>
  <si>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</si>
  <si>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</si>
  <si>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</si>
  <si>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</si>
  <si>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</si>
  <si>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</si>
  <si>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</si>
  <si>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</si>
  <si>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</si>
  <si>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</si>
  <si>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</si>
  <si>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</si>
  <si>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</si>
  <si>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</si>
  <si>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</si>
  <si>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</si>
  <si>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</si>
  <si>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</si>
  <si>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</si>
  <si>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</si>
  <si>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</si>
  <si>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</si>
  <si>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</si>
  <si>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</si>
  <si>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</si>
  <si>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</si>
  <si>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</si>
  <si>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</si>
  <si>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</si>
  <si>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</si>
  <si>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</si>
  <si>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</si>
  <si>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</si>
  <si>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</si>
  <si>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</si>
  <si>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</si>
  <si>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</si>
  <si>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</si>
  <si>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</si>
  <si>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</si>
  <si>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</si>
  <si>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</si>
  <si>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</si>
  <si>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</si>
  <si>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</si>
  <si>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</si>
  <si>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</si>
  <si>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</si>
  <si>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</si>
  <si>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</si>
  <si>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</si>
  <si>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</si>
  <si>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</si>
  <si>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</si>
  <si>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</si>
  <si>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</si>
  <si>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</si>
  <si>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</si>
  <si>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</si>
  <si>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</si>
  <si>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</si>
  <si>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</si>
  <si>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</si>
  <si>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</si>
  <si>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</si>
  <si>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</si>
  <si>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</si>
  <si>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</si>
  <si>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</si>
  <si>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</si>
  <si>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</si>
  <si>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</si>
  <si>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</si>
  <si>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</si>
  <si>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</si>
  <si>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</si>
  <si>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</si>
  <si>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</si>
  <si>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</si>
  <si>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</si>
  <si>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</si>
  <si>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</si>
  <si>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</si>
  <si>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</si>
  <si>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</si>
  <si>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</si>
  <si>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</si>
  <si>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</si>
  <si>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</si>
  <si>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</si>
  <si>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</si>
  <si>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</si>
  <si>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</si>
  <si>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</si>
  <si>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</si>
  <si>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</si>
  <si>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</si>
  <si>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</si>
  <si>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</si>
  <si>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</si>
  <si>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</si>
  <si>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</si>
  <si>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</si>
  <si>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</si>
  <si>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</si>
  <si>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</si>
  <si>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</si>
  <si>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</si>
  <si>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</si>
  <si>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</si>
  <si>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</si>
  <si>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</si>
  <si>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</si>
  <si>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</si>
  <si>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</si>
  <si>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</si>
  <si>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</si>
  <si>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</si>
  <si>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</si>
  <si>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</si>
  <si>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</si>
  <si>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</si>
  <si>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</si>
  <si>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</si>
  <si>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</si>
  <si>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</si>
  <si>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</si>
  <si>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</si>
  <si>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</si>
  <si>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</si>
  <si>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</si>
  <si>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</si>
  <si>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</si>
  <si>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</si>
  <si>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</si>
  <si>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</si>
  <si>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</si>
  <si>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</si>
  <si>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</si>
  <si>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</si>
  <si>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</si>
  <si>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</si>
  <si>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</si>
  <si>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</si>
  <si>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</si>
  <si>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</si>
  <si>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</si>
  <si>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</si>
  <si>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</si>
  <si>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</si>
  <si>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</si>
  <si>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</si>
  <si>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</si>
  <si>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</si>
  <si>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</si>
  <si>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</si>
  <si>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</si>
  <si>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</si>
  <si>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</si>
  <si>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</si>
  <si>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</si>
  <si>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</si>
  <si>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</si>
  <si>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</si>
  <si>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</si>
  <si>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</si>
  <si>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</si>
  <si>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</si>
  <si>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</si>
  <si>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</si>
  <si>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</si>
  <si>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</si>
  <si>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</si>
  <si>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</si>
  <si>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</si>
  <si>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</si>
  <si>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</si>
  <si>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</si>
  <si>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</si>
  <si>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</si>
  <si>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</si>
  <si>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</si>
  <si>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</si>
  <si>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</si>
  <si>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</si>
  <si>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</si>
  <si>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</si>
  <si>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</si>
  <si>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</si>
  <si>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</si>
  <si>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</si>
  <si>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</si>
  <si>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</si>
  <si>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</si>
  <si>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</si>
  <si>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</si>
  <si>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</si>
  <si>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</si>
  <si>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</si>
  <si>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</si>
  <si>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</si>
  <si>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</si>
  <si>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</si>
  <si>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</si>
  <si>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</si>
  <si>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</si>
  <si>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</si>
  <si>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</si>
  <si>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</si>
  <si>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</si>
  <si>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</si>
  <si>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</si>
  <si>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</si>
  <si>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</si>
  <si>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</si>
  <si>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</si>
  <si>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</si>
  <si>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</si>
  <si>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</si>
  <si>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</si>
  <si>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</si>
  <si>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</si>
  <si>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</si>
  <si>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</si>
  <si>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</si>
  <si>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</si>
  <si>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</si>
  <si>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</si>
  <si>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</si>
  <si>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</si>
  <si>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</si>
  <si>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</si>
  <si>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</si>
  <si>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</si>
  <si>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</si>
  <si>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</si>
  <si>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</si>
  <si>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</si>
  <si>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</si>
  <si>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</si>
  <si>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</si>
  <si>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</si>
  <si>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</si>
  <si>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</si>
  <si>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</si>
  <si>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</si>
  <si>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</si>
  <si>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</si>
  <si>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</si>
  <si>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</si>
  <si>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</si>
  <si>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</si>
  <si>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</si>
  <si>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</si>
  <si>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</si>
  <si>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</si>
  <si>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</si>
  <si>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</si>
  <si>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</si>
  <si>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</si>
  <si>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</si>
  <si>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</si>
  <si>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</si>
  <si>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</si>
  <si>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</si>
  <si>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</si>
  <si>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</si>
  <si>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</si>
  <si>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</si>
  <si>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</si>
  <si>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</si>
  <si>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</si>
  <si>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</si>
  <si>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</si>
  <si>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</si>
  <si>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</si>
  <si>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</si>
  <si>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</si>
  <si>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</si>
  <si>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</si>
  <si>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</si>
  <si>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</si>
  <si>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</si>
  <si>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</si>
  <si>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</si>
  <si>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</si>
  <si>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</si>
  <si>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</si>
  <si>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</si>
  <si>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</si>
  <si>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</si>
  <si>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</si>
  <si>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</si>
  <si>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</si>
  <si>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</si>
  <si>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</si>
  <si>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</si>
  <si>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</si>
  <si>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</si>
  <si>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</si>
  <si>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</si>
  <si>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</si>
  <si>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</si>
  <si>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</si>
  <si>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</si>
  <si>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</si>
  <si>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</si>
  <si>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</si>
  <si>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</si>
  <si>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</si>
  <si>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</si>
  <si>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</si>
  <si>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</si>
  <si>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</si>
  <si>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</si>
  <si>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</si>
  <si>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</si>
  <si>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</si>
  <si>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</si>
  <si>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</si>
  <si>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</si>
  <si>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</si>
  <si>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</si>
  <si>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</si>
  <si>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</si>
  <si>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</si>
  <si>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</si>
  <si>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</si>
  <si>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</si>
  <si>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</si>
  <si>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</si>
  <si>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</si>
  <si>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</si>
  <si>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</si>
  <si>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</si>
  <si>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</si>
  <si>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</si>
  <si>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</si>
  <si>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</si>
  <si>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</si>
  <si>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</si>
  <si>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</si>
  <si>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</si>
  <si>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</si>
  <si>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</si>
  <si>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</si>
  <si>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</si>
  <si>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</si>
  <si>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</si>
  <si>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</si>
  <si>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</si>
  <si>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</si>
  <si>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</si>
  <si>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</si>
  <si>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</si>
  <si>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</si>
  <si>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</si>
  <si>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</si>
  <si>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</si>
  <si>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</si>
  <si>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</si>
  <si>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</si>
  <si>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</si>
  <si>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</si>
  <si>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</si>
  <si>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</si>
  <si>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</si>
  <si>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</si>
  <si>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</si>
  <si>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</si>
  <si>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</si>
  <si>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</si>
  <si>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</si>
  <si>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</si>
  <si>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</si>
  <si>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</si>
  <si>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</si>
  <si>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</si>
  <si>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</si>
  <si>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</si>
  <si>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</si>
  <si>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</si>
  <si>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</si>
  <si>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</si>
  <si>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</si>
  <si>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</si>
  <si>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</si>
  <si>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</si>
  <si>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</si>
  <si>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</si>
  <si>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</si>
  <si>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</si>
  <si>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</si>
  <si>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</si>
  <si>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</si>
  <si>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</si>
  <si>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</si>
  <si>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</si>
  <si>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</si>
  <si>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</si>
  <si>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</si>
  <si>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</si>
  <si>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</si>
  <si>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</si>
  <si>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</si>
  <si>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</si>
  <si>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</si>
  <si>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</si>
  <si>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</si>
  <si>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</si>
  <si>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</si>
  <si>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</si>
  <si>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</si>
  <si>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</si>
  <si>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</si>
  <si>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</si>
  <si>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</si>
  <si>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</si>
  <si>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</si>
  <si>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</si>
  <si>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</si>
  <si>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</si>
  <si>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</si>
  <si>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</si>
  <si>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</si>
  <si>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</si>
  <si>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</si>
  <si>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</si>
  <si>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</si>
  <si>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</si>
  <si>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</si>
  <si>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</si>
  <si>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</si>
  <si>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</si>
  <si>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</si>
  <si>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</si>
  <si>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</si>
  <si>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</si>
  <si>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</si>
  <si>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</si>
  <si>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</si>
  <si>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</si>
  <si>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</si>
  <si>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</si>
  <si>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</si>
  <si>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</si>
  <si>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</si>
  <si>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</si>
  <si>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</si>
  <si>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</si>
  <si>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</si>
  <si>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</si>
  <si>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</si>
  <si>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</si>
  <si>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</si>
  <si>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</si>
  <si>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</si>
  <si>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</si>
  <si>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</si>
  <si>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</si>
  <si>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</si>
  <si>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</si>
  <si>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</si>
  <si>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</si>
  <si>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</si>
  <si>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</si>
  <si>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</si>
  <si>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</si>
  <si>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</si>
  <si>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</si>
  <si>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</si>
  <si>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</si>
  <si>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</si>
  <si>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</si>
  <si>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</si>
  <si>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</si>
  <si>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</si>
  <si>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</si>
  <si>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</si>
  <si>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</si>
  <si>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</si>
  <si>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</si>
  <si>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</si>
  <si>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</si>
  <si>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</si>
  <si>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</si>
  <si>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</si>
  <si>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</si>
  <si>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</si>
  <si>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</si>
  <si>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</si>
  <si>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</si>
  <si>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</si>
  <si>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</si>
  <si>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</si>
  <si>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</si>
  <si>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</si>
  <si>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</si>
  <si>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</si>
  <si>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</si>
  <si>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</si>
  <si>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</si>
  <si>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</si>
  <si>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</si>
  <si>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</si>
  <si>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</si>
  <si>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</si>
  <si>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</si>
  <si>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</si>
  <si>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</si>
  <si>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</si>
  <si>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</si>
  <si>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</si>
  <si>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</si>
  <si>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</si>
  <si>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</si>
  <si>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</si>
  <si>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</si>
  <si>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</si>
  <si>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</si>
  <si>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</si>
  <si>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</si>
  <si>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</si>
  <si>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</si>
  <si>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</si>
  <si>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</si>
  <si>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</si>
  <si>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</si>
  <si>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</si>
  <si>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</si>
  <si>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</si>
  <si>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</si>
  <si>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</si>
  <si>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</si>
  <si>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</si>
  <si>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</si>
  <si>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</si>
  <si>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</si>
  <si>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</si>
  <si>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</si>
  <si>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</si>
  <si>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</si>
  <si>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</si>
  <si>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</si>
  <si>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</si>
  <si>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</si>
  <si>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</si>
  <si>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</si>
  <si>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</si>
  <si>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</si>
  <si>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</si>
  <si>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</si>
  <si>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</si>
  <si>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</si>
  <si>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</si>
  <si>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</si>
  <si>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</si>
  <si>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</si>
  <si>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</si>
  <si>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</si>
  <si>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</si>
  <si>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</si>
  <si>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</si>
  <si>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</si>
  <si>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</si>
  <si>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</si>
  <si>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</si>
  <si>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</si>
  <si>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</si>
  <si>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</si>
  <si>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</si>
  <si>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</si>
  <si>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</si>
  <si>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</si>
  <si>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</si>
  <si>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</si>
  <si>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</si>
  <si>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</si>
  <si>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</si>
  <si>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</si>
  <si>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</si>
  <si>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</si>
  <si>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</si>
  <si>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</si>
  <si>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</si>
  <si>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</si>
  <si>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</si>
  <si>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</si>
  <si>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</si>
  <si>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</si>
  <si>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</si>
  <si>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</si>
  <si>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</si>
  <si>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</si>
  <si>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</si>
  <si>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</si>
  <si>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</si>
  <si>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</si>
  <si>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</si>
  <si>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</si>
  <si>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</si>
  <si>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</si>
  <si>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</si>
  <si>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</si>
  <si>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</si>
  <si>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</si>
  <si>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</si>
  <si>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</si>
  <si>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</si>
  <si>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</si>
  <si>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</si>
  <si>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</si>
  <si>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</si>
  <si>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</si>
  <si>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</si>
  <si>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</si>
  <si>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</si>
  <si>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</si>
  <si>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</si>
  <si>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</si>
  <si>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</si>
  <si>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</si>
  <si>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</si>
  <si>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</si>
  <si>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</si>
  <si>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</si>
  <si>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</si>
  <si>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</si>
  <si>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</si>
  <si>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</si>
  <si>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</si>
  <si>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</si>
  <si>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</si>
  <si>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</si>
  <si>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</si>
  <si>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</si>
  <si>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</si>
  <si>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</si>
  <si>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</si>
  <si>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</si>
  <si>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</si>
  <si>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</si>
  <si>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</si>
  <si>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</si>
  <si>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</si>
  <si>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</si>
  <si>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</si>
  <si>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</si>
  <si>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</si>
  <si>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</si>
  <si>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</si>
  <si>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</si>
  <si>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</si>
  <si>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</si>
  <si>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</si>
  <si>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</si>
  <si>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</si>
  <si>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</si>
  <si>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</si>
  <si>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</si>
  <si>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</si>
  <si>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</si>
  <si>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</si>
  <si>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</si>
  <si>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</si>
  <si>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</si>
  <si>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</si>
  <si>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</si>
  <si>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</si>
  <si>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</si>
  <si>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</si>
  <si>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</si>
  <si>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</si>
  <si>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</si>
  <si>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</si>
  <si>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</si>
  <si>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</si>
  <si>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</si>
  <si>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</si>
  <si>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</si>
  <si>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</si>
  <si>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</si>
  <si>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</si>
  <si>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</si>
  <si>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</si>
  <si>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</si>
  <si>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</si>
  <si>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</si>
  <si>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</si>
  <si>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</si>
  <si>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</si>
  <si>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</si>
  <si>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</si>
  <si>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</si>
  <si>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</si>
  <si>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</si>
  <si>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</si>
  <si>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</si>
  <si>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</si>
  <si>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</si>
  <si>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</si>
  <si>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</si>
  <si>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</si>
  <si>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</si>
  <si>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</si>
  <si>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</si>
  <si>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</si>
  <si>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</si>
  <si>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</si>
  <si>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</si>
  <si>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</si>
  <si>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</si>
  <si>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</si>
  <si>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</si>
  <si>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</si>
  <si>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</si>
  <si>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</si>
  <si>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</si>
  <si>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</si>
  <si>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</si>
  <si>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</si>
  <si>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</si>
  <si>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</si>
  <si>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</si>
  <si>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</si>
  <si>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</si>
  <si>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</si>
  <si>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</si>
  <si>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</si>
  <si>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</si>
  <si>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</si>
  <si>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</si>
  <si>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</si>
  <si>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</si>
  <si>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</si>
  <si>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</si>
  <si>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</si>
  <si>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</si>
  <si>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</si>
  <si>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</si>
  <si>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</si>
  <si>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</si>
  <si>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</si>
  <si>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</si>
  <si>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</si>
  <si>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</si>
  <si>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</si>
  <si>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</si>
  <si>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</si>
  <si>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</si>
  <si>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</si>
  <si>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</si>
  <si>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</si>
  <si>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</si>
  <si>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</si>
  <si>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</si>
  <si>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</si>
  <si>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</si>
  <si>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</si>
  <si>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</si>
  <si>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</si>
  <si>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</si>
  <si>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</si>
  <si>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</si>
  <si>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</si>
  <si>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</si>
  <si>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</si>
  <si>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</si>
  <si>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</si>
  <si>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</si>
  <si>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</si>
  <si>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</si>
  <si>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</si>
  <si>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</si>
  <si>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</si>
  <si>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</si>
  <si>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</si>
  <si>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</si>
  <si>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</si>
  <si>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</si>
  <si>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</si>
  <si>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</si>
  <si>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</si>
  <si>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</si>
  <si>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</si>
  <si>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</si>
  <si>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</si>
  <si>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</si>
  <si>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</si>
  <si>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</si>
  <si>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</si>
  <si>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</si>
  <si>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</si>
  <si>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</si>
  <si>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</si>
  <si>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</si>
  <si>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</si>
  <si>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</si>
  <si>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</si>
  <si>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</si>
  <si>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</si>
  <si>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</si>
  <si>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</si>
  <si>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</si>
  <si>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</si>
  <si>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</si>
  <si>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</si>
  <si>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</si>
  <si>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</si>
  <si>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</si>
  <si>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</si>
  <si>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</si>
  <si>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</si>
  <si>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</si>
  <si>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</si>
  <si>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</si>
  <si>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</si>
  <si>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</si>
  <si>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</si>
  <si>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</si>
  <si>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</si>
  <si>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</si>
  <si>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</si>
  <si>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</si>
  <si>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</si>
  <si>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</si>
  <si>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</si>
  <si>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</si>
  <si>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</si>
  <si>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</si>
  <si>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</si>
  <si>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</si>
  <si>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</si>
  <si>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</si>
  <si>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</si>
  <si>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</si>
  <si>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</si>
  <si>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</si>
  <si>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</si>
  <si>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</si>
  <si>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</si>
  <si>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</si>
  <si>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</si>
  <si>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</si>
  <si>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</si>
  <si>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</si>
  <si>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</si>
  <si>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</si>
  <si>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</si>
  <si>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</si>
  <si>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</si>
  <si>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</si>
  <si>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</si>
  <si>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</si>
  <si>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</si>
  <si>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</si>
  <si>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</si>
  <si>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</si>
  <si>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</si>
  <si>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</si>
  <si>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</si>
  <si>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</si>
  <si>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</si>
  <si>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</si>
  <si>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</si>
  <si>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</si>
  <si>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</si>
  <si>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</si>
  <si>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</si>
  <si>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</si>
  <si>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</si>
  <si>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</si>
  <si>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</si>
  <si>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</si>
  <si>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</si>
  <si>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</si>
  <si>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</si>
  <si>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</si>
  <si>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</si>
  <si>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</si>
  <si>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</si>
  <si>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</si>
  <si>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</si>
  <si>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</si>
  <si>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</si>
  <si>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</si>
  <si>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</si>
  <si>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</si>
  <si>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</si>
  <si>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</si>
  <si>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</si>
  <si>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</si>
  <si>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</si>
  <si>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</si>
  <si>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</si>
  <si>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</si>
  <si>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</si>
  <si>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</si>
  <si>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</si>
  <si>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</si>
  <si>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</si>
  <si>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</si>
  <si>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</si>
  <si>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</si>
  <si>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</si>
  <si>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</si>
  <si>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</si>
  <si>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</si>
  <si>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</si>
  <si>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</si>
  <si>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</si>
  <si>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</si>
  <si>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</si>
  <si>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</si>
  <si>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</si>
  <si>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</si>
  <si>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</si>
  <si>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</si>
  <si>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</si>
  <si>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</si>
  <si>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</si>
  <si>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</si>
  <si>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</si>
  <si>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</si>
  <si>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</si>
  <si>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</si>
  <si>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</si>
  <si>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</si>
  <si>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</si>
  <si>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</si>
  <si>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</si>
  <si>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</si>
  <si>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</si>
  <si>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</si>
  <si>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</si>
  <si>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</si>
  <si>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</si>
  <si>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</si>
  <si>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</si>
  <si>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</si>
  <si>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</si>
  <si>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</si>
  <si>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</si>
  <si>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</si>
  <si>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</si>
  <si>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</si>
  <si>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</si>
  <si>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</si>
  <si>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</si>
  <si>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</si>
  <si>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</si>
  <si>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</si>
  <si>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</si>
  <si>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</si>
  <si>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</si>
  <si>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</si>
  <si>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</si>
  <si>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</si>
  <si>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</si>
  <si>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</si>
  <si>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</si>
  <si>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</si>
  <si>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</si>
  <si>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</si>
  <si>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</si>
  <si>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</si>
  <si>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</si>
  <si>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</si>
  <si>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</si>
  <si>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</si>
  <si>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</si>
  <si>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</si>
  <si>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</si>
  <si>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</si>
  <si>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</si>
  <si>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</si>
  <si>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</si>
  <si>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</si>
  <si>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</si>
  <si>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</si>
  <si>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</si>
  <si>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</si>
  <si>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</si>
  <si>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</si>
  <si>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</si>
  <si>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</si>
  <si>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</si>
  <si>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</si>
  <si>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</si>
  <si>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</si>
  <si>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</si>
  <si>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</si>
  <si>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</si>
  <si>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</si>
  <si>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</si>
  <si>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</si>
  <si>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</si>
  <si>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</si>
  <si>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</si>
  <si>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</si>
  <si>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</si>
  <si>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</si>
  <si>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</si>
  <si>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</si>
  <si>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</si>
  <si>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</si>
  <si>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</si>
  <si>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</si>
  <si>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</si>
  <si>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</si>
  <si>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</si>
  <si>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</si>
  <si>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</si>
  <si>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</si>
  <si>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</si>
  <si>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</si>
  <si>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</si>
  <si>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</si>
  <si>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</si>
  <si>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</si>
  <si>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</si>
  <si>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</si>
  <si>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</si>
  <si>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</si>
  <si>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</si>
  <si>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</si>
  <si>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</si>
  <si>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</si>
  <si>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</si>
  <si>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</si>
  <si>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</si>
  <si>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</si>
  <si>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</si>
  <si>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</si>
  <si>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</si>
  <si>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</si>
  <si>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</si>
  <si>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</si>
  <si>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</si>
  <si>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</si>
  <si>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</si>
  <si>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</si>
  <si>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</si>
  <si>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</si>
  <si>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</si>
  <si>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</si>
  <si>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</si>
  <si>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</si>
  <si>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</si>
  <si>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</si>
  <si>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</si>
  <si>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</si>
  <si>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</si>
  <si>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</si>
  <si>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</si>
  <si>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</si>
  <si>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</si>
  <si>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</si>
  <si>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</si>
  <si>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</si>
  <si>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</si>
  <si>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</si>
  <si>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</si>
  <si>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</si>
  <si>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</si>
  <si>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</si>
  <si>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</si>
  <si>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</si>
  <si>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</si>
  <si>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</si>
  <si>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</si>
  <si>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</si>
  <si>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</si>
  <si>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</si>
  <si>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</si>
  <si>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</si>
  <si>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</si>
  <si>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</si>
  <si>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</si>
  <si>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</si>
  <si>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</si>
  <si>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</si>
  <si>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</si>
  <si>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</si>
  <si>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</si>
  <si>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</si>
  <si>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</si>
  <si>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</si>
  <si>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</si>
  <si>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</si>
  <si>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</si>
  <si>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</si>
  <si>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</si>
  <si>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</si>
  <si>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</si>
  <si>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</si>
  <si>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</si>
  <si>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</si>
  <si>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</si>
  <si>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</si>
  <si>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</si>
  <si>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</si>
  <si>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</si>
  <si>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</si>
  <si>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</si>
  <si>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</si>
  <si>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</si>
  <si>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</si>
  <si>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</si>
  <si>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</si>
  <si>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</si>
  <si>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</si>
  <si>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</si>
  <si>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</si>
  <si>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</si>
  <si>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</si>
  <si>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</si>
  <si>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</si>
  <si>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</si>
  <si>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</si>
  <si>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</si>
  <si>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</si>
  <si>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</si>
  <si>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</si>
  <si>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</si>
  <si>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</si>
  <si>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</si>
  <si>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</si>
  <si>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</si>
  <si>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</si>
  <si>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</si>
  <si>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</si>
  <si>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</si>
  <si>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</si>
  <si>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</si>
  <si>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</si>
  <si>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</si>
  <si>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</si>
  <si>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</si>
  <si>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</si>
  <si>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</si>
  <si>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</si>
  <si>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</si>
  <si>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</si>
  <si>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</si>
  <si>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</si>
  <si>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</si>
  <si>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</si>
  <si>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</si>
  <si>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</si>
  <si>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</si>
  <si>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</si>
  <si>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</si>
  <si>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</si>
  <si>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</si>
  <si>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</si>
  <si>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</si>
  <si>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</si>
  <si>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</si>
  <si>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</si>
  <si>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</si>
  <si>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</si>
  <si>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</si>
  <si>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</si>
  <si>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</si>
  <si>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</si>
  <si>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</si>
  <si>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</si>
  <si>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</si>
  <si>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</si>
  <si>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</si>
  <si>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</si>
  <si>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</si>
  <si>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</si>
  <si>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</si>
  <si>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</si>
  <si>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</si>
  <si>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</si>
  <si>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</si>
  <si>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</si>
  <si>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</si>
  <si>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</si>
  <si>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</si>
  <si>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</si>
  <si>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</si>
  <si>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</si>
  <si>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</si>
  <si>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</si>
  <si>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</si>
  <si>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</si>
  <si>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</si>
  <si>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</si>
  <si>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</si>
  <si>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</si>
  <si>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</si>
  <si>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</si>
  <si>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</si>
  <si>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</si>
  <si>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</si>
  <si>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</si>
  <si>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</si>
  <si>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</si>
  <si>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</si>
  <si>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</si>
  <si>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</si>
  <si>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</si>
  <si>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</si>
  <si>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</si>
  <si>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</si>
  <si>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</si>
  <si>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</si>
  <si>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</si>
  <si>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</si>
  <si>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</si>
  <si>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</si>
  <si>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</si>
  <si>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</si>
  <si>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</si>
  <si>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</si>
  <si>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</si>
  <si>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</si>
  <si>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</si>
  <si>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</si>
  <si>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</si>
  <si>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</si>
  <si>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</si>
  <si>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</si>
  <si>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</si>
  <si>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</si>
  <si>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</si>
  <si>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</si>
  <si>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</si>
  <si>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</si>
  <si>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</si>
  <si>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</si>
  <si>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</si>
  <si>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</si>
  <si>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</si>
  <si>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</si>
  <si>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</si>
  <si>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</si>
  <si>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</si>
  <si>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</si>
  <si>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</si>
  <si>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</si>
  <si>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</si>
  <si>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</si>
  <si>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</si>
  <si>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</si>
  <si>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</si>
  <si>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</si>
  <si>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</si>
  <si>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</si>
  <si>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</si>
  <si>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</si>
  <si>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</si>
  <si>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</si>
  <si>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</si>
  <si>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</si>
  <si>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</si>
  <si>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</si>
  <si>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</si>
  <si>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</si>
  <si>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</si>
  <si>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</si>
  <si>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</si>
  <si>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</si>
  <si>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</si>
  <si>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</si>
  <si>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</si>
  <si>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</si>
  <si>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</si>
  <si>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</si>
  <si>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</si>
  <si>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</si>
  <si>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</si>
  <si>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</si>
  <si>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</si>
  <si>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</si>
  <si>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</si>
  <si>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</si>
  <si>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</si>
  <si>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</si>
  <si>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</si>
  <si>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</si>
  <si>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</si>
  <si>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</si>
  <si>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</si>
  <si>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</si>
  <si>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</si>
  <si>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</si>
  <si>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</si>
  <si>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</si>
  <si>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</si>
  <si>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</si>
  <si>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</si>
  <si>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</si>
  <si>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</si>
  <si>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</si>
  <si>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</si>
  <si>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</si>
  <si>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</si>
  <si>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</si>
  <si>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</si>
  <si>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</si>
  <si>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</si>
  <si>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</si>
  <si>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</si>
  <si>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</si>
  <si>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</si>
  <si>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</si>
  <si>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</si>
  <si>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</si>
  <si>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</si>
  <si>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</si>
  <si>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</si>
  <si>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</si>
  <si>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</si>
  <si>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</si>
  <si>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</si>
  <si>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</si>
  <si>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</si>
  <si>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</si>
  <si>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</si>
  <si>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</si>
  <si>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</si>
  <si>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</si>
  <si>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</si>
  <si>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</si>
  <si>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</si>
  <si>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</si>
  <si>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</si>
  <si>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</si>
  <si>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</si>
  <si>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</si>
  <si>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</si>
  <si>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</si>
  <si>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</si>
  <si>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</si>
  <si>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</si>
  <si>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</si>
  <si>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</si>
  <si>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</si>
  <si>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</si>
  <si>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</si>
  <si>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</si>
  <si>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</si>
  <si>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</si>
  <si>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</si>
  <si>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</si>
  <si>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</si>
  <si>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</si>
  <si>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</si>
  <si>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</si>
  <si>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</si>
  <si>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</si>
  <si>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</si>
  <si>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</si>
  <si>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</si>
  <si>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</si>
  <si>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</si>
  <si>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</si>
  <si>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</si>
  <si>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</si>
  <si>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</si>
  <si>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</si>
  <si>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</si>
  <si>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</si>
  <si>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</si>
  <si>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</si>
  <si>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</si>
  <si>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</si>
  <si>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</si>
  <si>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</si>
  <si>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</si>
  <si>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</si>
  <si>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</si>
  <si>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</si>
  <si>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</si>
  <si>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</si>
  <si>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</si>
  <si>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</si>
  <si>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</si>
  <si>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</si>
  <si>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</si>
  <si>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</si>
  <si>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</si>
  <si>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</si>
  <si>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</si>
  <si>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</si>
  <si>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</si>
  <si>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</si>
  <si>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</si>
  <si>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</si>
  <si>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</si>
  <si>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</si>
  <si>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</si>
  <si>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</si>
  <si>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</si>
  <si>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</si>
  <si>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</si>
  <si>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</si>
  <si>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</si>
  <si>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</si>
  <si>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</si>
  <si>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</si>
  <si>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</si>
  <si>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</si>
  <si>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</si>
  <si>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</si>
  <si>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</si>
  <si>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</si>
  <si>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</si>
  <si>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</si>
  <si>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</si>
  <si>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</si>
  <si>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</si>
  <si>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</si>
  <si>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</si>
  <si>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</si>
  <si>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</si>
  <si>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</si>
  <si>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</si>
  <si>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</si>
  <si>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</si>
  <si>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</si>
  <si>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</si>
  <si>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</si>
  <si>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</si>
  <si>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</si>
  <si>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</si>
  <si>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</si>
  <si>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</si>
  <si>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</si>
  <si>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</si>
  <si>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</si>
  <si>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</si>
  <si>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</si>
  <si>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</si>
  <si>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</si>
  <si>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</si>
  <si>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</si>
  <si>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</si>
  <si>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</si>
  <si>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</si>
  <si>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</si>
  <si>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</si>
  <si>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</si>
  <si>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</si>
  <si>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</si>
  <si>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</si>
  <si>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</si>
  <si>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</si>
  <si>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</si>
  <si>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</si>
  <si>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</si>
  <si>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</si>
  <si>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</si>
  <si>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</si>
  <si>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</si>
  <si>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</si>
  <si>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</si>
  <si>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</si>
  <si>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</si>
  <si>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</si>
  <si>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</si>
  <si>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</si>
  <si>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</si>
  <si>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</si>
  <si>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</si>
  <si>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</si>
  <si>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</si>
  <si>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</si>
  <si>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</si>
  <si>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</si>
  <si>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</si>
  <si>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</si>
  <si>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</si>
  <si>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</si>
  <si>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</si>
  <si>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</si>
  <si>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</si>
  <si>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</si>
  <si>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</si>
  <si>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</si>
  <si>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</si>
  <si>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</si>
  <si>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</si>
  <si>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</si>
  <si>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</si>
  <si>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</si>
  <si>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</si>
  <si>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</si>
  <si>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</si>
  <si>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</si>
  <si>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</si>
  <si>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</si>
  <si>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</si>
  <si>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</si>
  <si>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</si>
  <si>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</si>
  <si>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</si>
  <si>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</si>
  <si>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</si>
  <si>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</si>
  <si>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</si>
  <si>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</si>
  <si>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</si>
  <si>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</si>
  <si>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</si>
  <si>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</si>
  <si>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</si>
  <si>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</si>
  <si>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</si>
  <si>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</si>
  <si>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</si>
  <si>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</si>
  <si>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</si>
  <si>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</si>
  <si>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</si>
  <si>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</si>
  <si>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</si>
  <si>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</si>
  <si>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</si>
  <si>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</si>
  <si>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</si>
  <si>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</si>
  <si>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</si>
  <si>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</si>
  <si>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</si>
  <si>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</si>
  <si>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</si>
  <si>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</si>
  <si>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</si>
  <si>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</si>
  <si>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</si>
  <si>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</si>
  <si>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</si>
  <si>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</si>
  <si>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</si>
  <si>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</si>
  <si>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</si>
  <si>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</si>
  <si>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</si>
  <si>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</si>
  <si>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</si>
  <si>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</si>
  <si>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</si>
  <si>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</si>
  <si>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</si>
  <si>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</si>
  <si>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</si>
  <si>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</si>
  <si>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</si>
  <si>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</si>
  <si>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</si>
  <si>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</si>
  <si>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</si>
  <si>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</si>
  <si>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</si>
  <si>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</si>
  <si>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</si>
  <si>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</si>
  <si>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</si>
  <si>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</si>
  <si>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</si>
  <si>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</si>
  <si>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</si>
  <si>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</si>
  <si>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</si>
  <si>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</si>
  <si>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</si>
  <si>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</si>
  <si>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</si>
  <si>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</si>
  <si>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</si>
  <si>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</si>
  <si>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</si>
  <si>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</si>
  <si>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</si>
  <si>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</si>
  <si>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</si>
  <si>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</si>
  <si>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</si>
  <si>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</si>
  <si>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</si>
  <si>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</si>
  <si>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</si>
  <si>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</si>
  <si>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</si>
  <si>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</si>
  <si>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</si>
  <si>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</si>
  <si>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</si>
  <si>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</si>
  <si>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</si>
  <si>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</si>
  <si>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</si>
  <si>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</si>
  <si>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</si>
  <si>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</si>
  <si>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</si>
  <si>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</si>
  <si>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</si>
  <si>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</si>
  <si>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</si>
  <si>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</si>
  <si>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</si>
  <si>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</si>
  <si>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</si>
  <si>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</si>
  <si>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</si>
  <si>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</si>
  <si>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</si>
  <si>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</si>
  <si>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</si>
  <si>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</si>
  <si>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</si>
  <si>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</si>
  <si>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</si>
  <si>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</si>
  <si>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</si>
  <si>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</si>
  <si>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</si>
  <si>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</si>
  <si>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</si>
  <si>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</si>
  <si>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</si>
  <si>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</si>
  <si>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</si>
  <si>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</si>
  <si>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</si>
  <si>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</si>
  <si>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</si>
  <si>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</si>
  <si>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</si>
  <si>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</si>
  <si>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</si>
  <si>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</si>
  <si>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</si>
  <si>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</si>
  <si>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</si>
  <si>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</si>
  <si>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</si>
  <si>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</si>
  <si>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</si>
  <si>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</si>
  <si>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</si>
  <si>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</si>
  <si>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</si>
  <si>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</si>
  <si>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</si>
  <si>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</si>
  <si>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</si>
  <si>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</si>
  <si>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</si>
  <si>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</si>
  <si>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</si>
  <si>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</si>
  <si>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</si>
  <si>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</si>
  <si>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</si>
  <si>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</si>
  <si>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</si>
  <si>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</si>
  <si>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</si>
  <si>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</si>
  <si>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</si>
  <si>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</si>
  <si>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</si>
  <si>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</si>
  <si>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</si>
  <si>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</si>
  <si>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</si>
  <si>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</si>
  <si>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</si>
  <si>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</si>
  <si>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</si>
  <si>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</si>
  <si>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</si>
  <si>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</si>
  <si>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</si>
  <si>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</si>
  <si>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</si>
  <si>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</si>
  <si>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</si>
  <si>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</si>
  <si>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</si>
  <si>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</si>
  <si>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</si>
  <si>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</si>
  <si>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</si>
  <si>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</si>
  <si>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</si>
  <si>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</si>
  <si>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</si>
  <si>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</si>
  <si>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</si>
  <si>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</si>
  <si>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</si>
  <si>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</si>
  <si>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</si>
  <si>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</si>
  <si>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</si>
  <si>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</si>
  <si>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</si>
  <si>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</si>
  <si>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</si>
  <si>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</si>
  <si>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</si>
  <si>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</si>
  <si>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</si>
  <si>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</si>
  <si>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</si>
  <si>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</si>
  <si>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</si>
  <si>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</si>
  <si>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</si>
  <si>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</si>
  <si>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</si>
  <si>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</si>
  <si>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</si>
  <si>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</si>
  <si>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</si>
  <si>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</si>
  <si>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</si>
  <si>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</si>
  <si>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</si>
  <si>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</si>
  <si>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</si>
  <si>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</si>
  <si>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</si>
  <si>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</si>
  <si>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</si>
  <si>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</si>
  <si>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</si>
  <si>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</si>
  <si>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</si>
  <si>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</si>
  <si>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</si>
  <si>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</si>
  <si>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</si>
  <si>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</si>
  <si>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</si>
  <si>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</si>
  <si>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</si>
  <si>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</si>
  <si>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</si>
  <si>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</si>
  <si>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</si>
  <si>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</si>
  <si>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</si>
  <si>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</si>
  <si>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</si>
  <si>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</si>
  <si>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</si>
  <si>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</si>
  <si>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</si>
  <si>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</si>
  <si>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</si>
  <si>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</si>
  <si>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</si>
  <si>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</si>
  <si>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</si>
  <si>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</si>
  <si>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</si>
  <si>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</si>
  <si>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</si>
  <si>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</si>
  <si>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</si>
  <si>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</si>
  <si>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</si>
  <si>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</si>
  <si>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</si>
  <si>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</si>
  <si>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</si>
  <si>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</si>
  <si>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</si>
  <si>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</si>
  <si>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</si>
  <si>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</si>
  <si>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</si>
  <si>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</si>
  <si>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</si>
  <si>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</si>
  <si>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</si>
  <si>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</si>
  <si>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</si>
  <si>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</si>
  <si>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</si>
  <si>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</si>
  <si>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</si>
  <si>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</si>
  <si>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</si>
  <si>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</si>
  <si>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</si>
  <si>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</si>
  <si>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</si>
  <si>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</si>
  <si>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</si>
  <si>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</si>
  <si>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</si>
  <si>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</si>
  <si>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</si>
  <si>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</si>
  <si>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</si>
  <si>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</si>
  <si>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</si>
  <si>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</si>
  <si>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</si>
  <si>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</si>
  <si>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</si>
  <si>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</si>
  <si>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</si>
  <si>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</si>
  <si>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</si>
  <si>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</si>
  <si>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</si>
  <si>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</si>
  <si>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</si>
  <si>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</si>
  <si>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</si>
  <si>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</si>
  <si>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</si>
  <si>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</si>
  <si>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</si>
  <si>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</si>
  <si>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</si>
  <si>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</si>
  <si>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</si>
  <si>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</si>
  <si>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</si>
  <si>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</si>
  <si>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</si>
  <si>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</si>
  <si>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</si>
  <si>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</si>
  <si>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</si>
  <si>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</si>
  <si>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</si>
  <si>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</si>
  <si>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</si>
  <si>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</si>
  <si>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</si>
  <si>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</si>
  <si>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</si>
  <si>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</si>
  <si>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</si>
  <si>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</si>
  <si>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</si>
  <si>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</si>
  <si>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</si>
  <si>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</si>
  <si>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</si>
  <si>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</si>
  <si>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</si>
  <si>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</si>
  <si>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</si>
  <si>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</si>
  <si>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</si>
  <si>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</si>
  <si>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</si>
  <si>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</si>
  <si>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</si>
  <si>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</si>
  <si>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</si>
  <si>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</si>
  <si>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</si>
  <si>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</si>
  <si>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</si>
  <si>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</si>
  <si>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</si>
  <si>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</si>
  <si>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</si>
  <si>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</si>
  <si>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</si>
  <si>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</si>
  <si>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</si>
  <si>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</si>
  <si>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</si>
  <si>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</si>
  <si>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</si>
  <si>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</si>
  <si>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</si>
  <si>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</si>
  <si>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</si>
  <si>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</si>
  <si>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</si>
  <si>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</si>
  <si>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</si>
  <si>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</si>
  <si>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</si>
  <si>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</si>
  <si>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</si>
  <si>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</si>
  <si>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</si>
  <si>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</si>
  <si>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</si>
  <si>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</si>
  <si>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</si>
  <si>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</si>
  <si>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</si>
  <si>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</si>
  <si>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</si>
  <si>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</si>
  <si>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</si>
  <si>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</si>
  <si>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</si>
  <si>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</si>
  <si>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</si>
  <si>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</si>
  <si>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</si>
  <si>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</si>
  <si>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</si>
  <si>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</si>
  <si>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</si>
  <si>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</si>
  <si>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</si>
  <si>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</si>
  <si>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</si>
  <si>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</si>
  <si>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</si>
  <si>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</si>
  <si>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</si>
  <si>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</si>
  <si>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</si>
  <si>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</si>
  <si>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</si>
  <si>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</si>
  <si>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</si>
  <si>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</si>
  <si>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</si>
  <si>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</si>
  <si>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</si>
  <si>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</si>
  <si>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</si>
  <si>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</si>
  <si>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</si>
  <si>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</si>
  <si>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</si>
  <si>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</si>
  <si>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</si>
  <si>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</si>
  <si>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</si>
  <si>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</si>
  <si>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</si>
  <si>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</si>
  <si>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</si>
  <si>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</si>
  <si>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</si>
  <si>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</si>
  <si>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</si>
  <si>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</si>
  <si>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</si>
  <si>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</si>
  <si>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</si>
  <si>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</si>
  <si>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</si>
  <si>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</si>
  <si>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</si>
  <si>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</si>
  <si>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</si>
  <si>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</si>
  <si>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</si>
  <si>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</si>
  <si>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</si>
  <si>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</si>
  <si>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</si>
  <si>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</si>
  <si>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</si>
  <si>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</si>
  <si>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</si>
  <si>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</si>
  <si>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</si>
  <si>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</si>
  <si>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</si>
  <si>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</si>
  <si>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</si>
  <si>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</si>
  <si>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</si>
  <si>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</si>
  <si>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</si>
  <si>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</si>
  <si>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</si>
  <si>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</si>
  <si>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</si>
  <si>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</si>
  <si>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</si>
  <si>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</si>
  <si>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</si>
  <si>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</si>
  <si>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</si>
  <si>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</si>
  <si>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</si>
  <si>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</si>
  <si>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</si>
  <si>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</si>
  <si>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</si>
  <si>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</si>
  <si>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</si>
  <si>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</si>
  <si>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</si>
  <si>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</si>
  <si>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</si>
  <si>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</si>
  <si>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</si>
  <si>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</si>
  <si>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</si>
  <si>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</si>
  <si>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</si>
  <si>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</si>
  <si>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</si>
  <si>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</si>
  <si>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</si>
  <si>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</si>
  <si>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</si>
  <si>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</si>
  <si>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</si>
  <si>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</si>
  <si>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</si>
  <si>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</si>
  <si>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</si>
  <si>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</si>
  <si>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</si>
  <si>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</si>
  <si>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</si>
  <si>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</si>
  <si>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</si>
  <si>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</si>
  <si>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</si>
  <si>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</si>
  <si>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</si>
  <si>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</si>
  <si>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</si>
  <si>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</si>
  <si>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</si>
  <si>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</si>
  <si>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</si>
  <si>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</si>
  <si>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</si>
  <si>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</si>
  <si>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</si>
  <si>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</si>
  <si>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</si>
  <si>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</si>
  <si>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</si>
  <si>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</si>
  <si>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</si>
  <si>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</si>
  <si>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</si>
  <si>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</si>
  <si>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</si>
  <si>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</si>
  <si>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</si>
  <si>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</si>
  <si>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</si>
  <si>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</si>
  <si>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</si>
  <si>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</si>
  <si>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</si>
  <si>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</si>
  <si>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</si>
  <si>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</si>
  <si>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</si>
  <si>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</si>
  <si>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</si>
  <si>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</si>
  <si>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</si>
  <si>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</si>
  <si>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</si>
  <si>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</si>
  <si>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</si>
  <si>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</si>
  <si>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</si>
  <si>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</si>
  <si>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</si>
  <si>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</si>
  <si>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</si>
  <si>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</si>
  <si>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</si>
  <si>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</si>
  <si>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</si>
  <si>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</si>
  <si>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</si>
  <si>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</si>
  <si>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</si>
  <si>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</si>
  <si>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</si>
  <si>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</si>
  <si>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</si>
  <si>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</si>
  <si>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</si>
  <si>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</si>
  <si>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</si>
  <si>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</si>
  <si>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</si>
  <si>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</si>
  <si>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</si>
  <si>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</si>
  <si>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</si>
  <si>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</si>
  <si>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</si>
  <si>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</si>
  <si>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</si>
  <si>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</si>
  <si>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</si>
  <si>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</si>
  <si>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</si>
  <si>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</si>
  <si>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</si>
  <si>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</si>
  <si>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</si>
  <si>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</si>
  <si>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</si>
  <si>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</si>
  <si>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</si>
  <si>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</si>
  <si>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</si>
  <si>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</si>
  <si>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</si>
  <si>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</si>
  <si>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</si>
  <si>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</si>
  <si>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</si>
  <si>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</si>
  <si>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</si>
  <si>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</si>
  <si>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</si>
  <si>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</si>
  <si>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</si>
  <si>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</si>
  <si>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</si>
  <si>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</si>
  <si>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</si>
  <si>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</si>
  <si>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</si>
  <si>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</si>
  <si>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</si>
  <si>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</si>
  <si>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</si>
  <si>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</si>
  <si>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</si>
  <si>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</si>
  <si>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</si>
  <si>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</si>
  <si>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</si>
  <si>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</si>
  <si>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</si>
  <si>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</si>
  <si>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</si>
  <si>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</si>
  <si>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</si>
  <si>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</si>
  <si>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</si>
  <si>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</si>
  <si>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</si>
  <si>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</si>
  <si>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</si>
  <si>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</si>
  <si>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</si>
  <si>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</si>
  <si>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</si>
  <si>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</si>
  <si>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</si>
  <si>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</si>
  <si>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</si>
  <si>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</si>
  <si>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</si>
  <si>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</si>
  <si>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</si>
  <si>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</si>
  <si>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</si>
  <si>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</si>
  <si>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</si>
  <si>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</si>
  <si>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</si>
  <si>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</si>
  <si>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</si>
  <si>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</si>
  <si>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</si>
  <si>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</si>
  <si>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</si>
  <si>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</si>
  <si>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</si>
  <si>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</si>
  <si>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</si>
  <si>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</si>
  <si>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</si>
  <si>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</si>
  <si>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</si>
  <si>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</si>
  <si>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</si>
  <si>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</si>
  <si>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</si>
  <si>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</si>
  <si>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</si>
  <si>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</si>
  <si>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</si>
  <si>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</si>
  <si>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</si>
  <si>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</si>
  <si>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</si>
  <si>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</si>
  <si>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</si>
  <si>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</si>
  <si>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</si>
  <si>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</si>
  <si>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</si>
  <si>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</si>
  <si>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</si>
  <si>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</si>
  <si>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</si>
  <si>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</si>
  <si>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</si>
  <si>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</si>
  <si>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</si>
  <si>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</si>
  <si>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</si>
  <si>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</si>
  <si>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</si>
  <si>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</si>
  <si>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</si>
  <si>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</si>
  <si>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</si>
  <si>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</si>
  <si>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</si>
  <si>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</si>
  <si>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</si>
  <si>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</si>
  <si>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</si>
  <si>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</si>
  <si>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</si>
  <si>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</si>
  <si>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</si>
  <si>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</si>
  <si>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</si>
  <si>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</si>
  <si>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</si>
  <si>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</si>
  <si>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</si>
  <si>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</si>
  <si>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</si>
  <si>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</si>
  <si>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</si>
  <si>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</si>
  <si>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</si>
  <si>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</si>
  <si>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</si>
  <si>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</si>
  <si>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</si>
  <si>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</si>
  <si>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</si>
  <si>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</si>
  <si>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</si>
  <si>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</si>
  <si>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</si>
  <si>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</si>
  <si>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</si>
  <si>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</si>
  <si>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</si>
  <si>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</si>
  <si>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</si>
  <si>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</si>
  <si>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</si>
  <si>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</si>
  <si>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</si>
  <si>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</si>
  <si>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</si>
  <si>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</si>
  <si>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</si>
  <si>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</si>
  <si>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</si>
  <si>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</si>
  <si>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</si>
  <si>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</si>
  <si>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</si>
  <si>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</si>
  <si>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</si>
  <si>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</si>
  <si>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</si>
  <si>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</si>
  <si>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</si>
  <si>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</si>
  <si>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</si>
  <si>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</si>
  <si>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</si>
  <si>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</si>
  <si>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</si>
  <si>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</si>
  <si>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</si>
  <si>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</si>
  <si>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</si>
  <si>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</si>
  <si>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</si>
  <si>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</si>
  <si>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</si>
  <si>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</si>
  <si>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</si>
  <si>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</si>
  <si>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</si>
  <si>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</si>
  <si>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</si>
  <si>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</si>
  <si>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</si>
  <si>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</si>
  <si>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</si>
  <si>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</si>
  <si>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</si>
  <si>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</si>
  <si>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</si>
  <si>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</si>
  <si>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</si>
  <si>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</si>
  <si>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</si>
  <si>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</si>
  <si>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</si>
  <si>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</si>
  <si>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</si>
  <si>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</si>
  <si>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</si>
  <si>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</si>
  <si>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</si>
  <si>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</si>
  <si>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</si>
  <si>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</si>
  <si>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</si>
  <si>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</si>
  <si>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</si>
  <si>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</si>
  <si>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</si>
  <si>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</si>
  <si>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</si>
  <si>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</si>
  <si>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</si>
  <si>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</si>
  <si>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</si>
  <si>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</si>
  <si>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</si>
  <si>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</si>
  <si>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</si>
  <si>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</si>
  <si>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</si>
  <si>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</si>
  <si>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</si>
  <si>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</si>
  <si>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</si>
  <si>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</si>
  <si>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</si>
  <si>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</si>
  <si>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</si>
  <si>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</si>
  <si>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</si>
  <si>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</si>
  <si>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</si>
  <si>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</si>
  <si>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</si>
  <si>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</si>
  <si>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</si>
  <si>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</si>
  <si>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</si>
  <si>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</si>
  <si>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</si>
  <si>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</si>
  <si>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</si>
  <si>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</si>
  <si>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</si>
  <si>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</si>
  <si>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</si>
  <si>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</si>
  <si>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</si>
  <si>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</si>
  <si>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</si>
  <si>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</si>
  <si>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</si>
  <si>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</si>
  <si>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</si>
  <si>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</si>
  <si>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</si>
  <si>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</si>
  <si>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</si>
  <si>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</si>
  <si>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</si>
  <si>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</si>
  <si>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</si>
  <si>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</si>
  <si>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</si>
  <si>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</si>
  <si>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</si>
  <si>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</si>
  <si>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</si>
  <si>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</si>
  <si>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</si>
  <si>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</si>
  <si>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</si>
  <si>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</si>
  <si>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</si>
  <si>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</si>
  <si>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</si>
  <si>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</si>
  <si>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</si>
  <si>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</si>
  <si>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</si>
  <si>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</si>
  <si>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</si>
  <si>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</si>
  <si>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</si>
  <si>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</si>
  <si>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</si>
  <si>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</si>
  <si>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</si>
  <si>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</si>
  <si>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</si>
  <si>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</si>
  <si>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</si>
  <si>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</si>
  <si>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</si>
  <si>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</si>
  <si>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</si>
  <si>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</si>
  <si>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</si>
  <si>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</si>
  <si>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</si>
  <si>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</si>
  <si>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</si>
  <si>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</si>
  <si>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</si>
  <si>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</si>
  <si>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</si>
  <si>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</si>
  <si>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</si>
  <si>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</si>
  <si>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</si>
  <si>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</si>
  <si>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</si>
  <si>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</si>
  <si>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</si>
  <si>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</si>
  <si>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</si>
  <si>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</si>
  <si>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</si>
  <si>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</si>
  <si>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</si>
  <si>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</si>
  <si>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</si>
  <si>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</si>
  <si>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</si>
  <si>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</si>
  <si>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</si>
  <si>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</si>
  <si>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</si>
  <si>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</si>
  <si>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</si>
  <si>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</si>
  <si>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</si>
  <si>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</si>
  <si>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</si>
  <si>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</si>
  <si>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</si>
  <si>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</si>
  <si>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</si>
  <si>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</si>
  <si>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</si>
  <si>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</si>
  <si>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</si>
  <si>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</si>
  <si>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</si>
  <si>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</si>
  <si>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</si>
  <si>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</si>
  <si>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</si>
  <si>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</si>
  <si>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</si>
  <si>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</si>
  <si>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</si>
  <si>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</si>
  <si>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</si>
  <si>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</si>
  <si>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</si>
  <si>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</si>
  <si>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</si>
  <si>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</si>
  <si>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</si>
  <si>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</si>
  <si>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</si>
  <si>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</si>
  <si>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</si>
  <si>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</si>
  <si>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</si>
  <si>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</si>
  <si>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</si>
  <si>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</si>
  <si>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</si>
  <si>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</si>
  <si>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</si>
  <si>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</si>
  <si>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</si>
  <si>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</si>
  <si>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</si>
  <si>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</si>
  <si>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</si>
  <si>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</si>
  <si>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</si>
  <si>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</si>
  <si>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</si>
  <si>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</si>
  <si>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</si>
  <si>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</si>
  <si>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</si>
  <si>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</si>
  <si>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</si>
  <si>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</si>
  <si>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</si>
  <si>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</si>
  <si>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</si>
  <si>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</si>
  <si>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</si>
  <si>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</si>
  <si>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</si>
  <si>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</si>
  <si>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</si>
  <si>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</si>
  <si>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</si>
  <si>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</si>
  <si>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</si>
  <si>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</si>
  <si>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</si>
  <si>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</si>
  <si>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</si>
  <si>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</si>
  <si>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</si>
  <si>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</si>
  <si>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</si>
  <si>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</si>
  <si>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</si>
  <si>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</si>
  <si>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</si>
  <si>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</si>
  <si>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</si>
  <si>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</si>
  <si>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</si>
  <si>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</si>
  <si>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</si>
  <si>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</si>
  <si>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</si>
  <si>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</si>
  <si>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</si>
  <si>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</si>
  <si>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</si>
  <si>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</si>
  <si>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</si>
  <si>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</si>
  <si>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</si>
  <si>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</si>
  <si>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</si>
  <si>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</si>
  <si>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</si>
  <si>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</si>
  <si>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</si>
  <si>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</si>
  <si>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</si>
  <si>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</si>
  <si>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</si>
  <si>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</si>
  <si>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</si>
  <si>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</si>
  <si>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</si>
  <si>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</si>
  <si>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</si>
  <si>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</si>
  <si>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</si>
  <si>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</si>
  <si>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</si>
  <si>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</si>
  <si>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</si>
  <si>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</si>
  <si>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</si>
  <si>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</si>
  <si>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</si>
  <si>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</si>
  <si>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</si>
  <si>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</si>
  <si>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</si>
  <si>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</si>
  <si>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</si>
  <si>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</si>
  <si>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</si>
  <si>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</si>
  <si>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</si>
  <si>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</si>
  <si>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</si>
  <si>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</si>
  <si>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</si>
  <si>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</si>
  <si>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</si>
  <si>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</si>
  <si>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</si>
  <si>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</si>
  <si>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</si>
  <si>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</si>
  <si>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</si>
  <si>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</si>
  <si>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</si>
  <si>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</si>
  <si>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</si>
  <si>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</si>
  <si>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</si>
  <si>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</si>
  <si>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</si>
  <si>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</si>
  <si>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</si>
  <si>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</si>
  <si>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</si>
  <si>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</si>
  <si>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</si>
  <si>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</si>
  <si>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</si>
  <si>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</si>
  <si>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</si>
  <si>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</si>
  <si>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</si>
  <si>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</si>
  <si>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</si>
  <si>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</si>
  <si>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</si>
  <si>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</si>
  <si>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</si>
  <si>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</si>
  <si>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</si>
  <si>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</si>
  <si>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</si>
  <si>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</si>
  <si>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</si>
  <si>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</si>
  <si>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</si>
  <si>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</si>
  <si>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</si>
  <si>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</si>
  <si>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</si>
  <si>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</si>
  <si>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</si>
  <si>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</si>
  <si>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</si>
  <si>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</si>
  <si>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</si>
  <si>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</si>
  <si>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</si>
  <si>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</si>
  <si>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</si>
  <si>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</si>
  <si>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</si>
  <si>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</si>
  <si>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</si>
  <si>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</si>
  <si>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</si>
  <si>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</si>
  <si>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</si>
  <si>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</si>
  <si>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</si>
  <si>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</si>
  <si>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</si>
  <si>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</si>
  <si>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</si>
  <si>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</si>
  <si>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</si>
  <si>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</si>
  <si>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</si>
  <si>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</si>
  <si>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</si>
  <si>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</si>
  <si>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</si>
  <si>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</si>
  <si>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</si>
  <si>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</si>
  <si>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</si>
  <si>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</si>
  <si>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</si>
  <si>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</si>
  <si>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</si>
  <si>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</si>
  <si>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</si>
  <si>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</si>
  <si>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</si>
  <si>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</si>
  <si>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</si>
  <si>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</si>
  <si>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</si>
  <si>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</si>
  <si>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</si>
  <si>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</si>
  <si>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</si>
  <si>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</si>
  <si>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</si>
  <si>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</si>
  <si>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</si>
  <si>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</si>
  <si>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</si>
  <si>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</si>
  <si>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</si>
  <si>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</si>
  <si>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</si>
  <si>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</si>
  <si>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</si>
  <si>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</si>
  <si>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</si>
  <si>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</si>
  <si>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</si>
  <si>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</si>
  <si>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</si>
  <si>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</si>
  <si>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</si>
  <si>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</si>
  <si>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</si>
  <si>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</si>
  <si>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</si>
  <si>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</si>
  <si>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</si>
  <si>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</si>
  <si>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</si>
  <si>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</si>
  <si>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</si>
  <si>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</si>
  <si>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</si>
  <si>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</si>
  <si>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</si>
  <si>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</si>
  <si>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</si>
  <si>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</si>
  <si>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</si>
  <si>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</si>
  <si>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</si>
  <si>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</si>
  <si>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</si>
  <si>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</si>
  <si>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</si>
  <si>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</si>
  <si>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</si>
  <si>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</si>
  <si>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</si>
  <si>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</si>
  <si>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</si>
  <si>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</si>
  <si>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</si>
  <si>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</si>
  <si>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</si>
  <si>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</si>
  <si>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</si>
  <si>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</si>
  <si>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</si>
  <si>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</si>
  <si>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</si>
  <si>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</si>
  <si>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</si>
  <si>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</si>
  <si>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</si>
  <si>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</si>
  <si>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</si>
  <si>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</si>
  <si>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</si>
  <si>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</si>
  <si>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</si>
  <si>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</si>
  <si>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</si>
  <si>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</si>
  <si>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</si>
  <si>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</si>
  <si>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</si>
  <si>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</si>
  <si>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</si>
  <si>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</si>
  <si>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</si>
  <si>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</si>
  <si>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</si>
  <si>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</si>
  <si>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</si>
  <si>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</si>
  <si>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</si>
  <si>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</si>
  <si>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</si>
  <si>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</si>
  <si>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</si>
  <si>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</si>
  <si>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</si>
  <si>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</si>
  <si>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</si>
  <si>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</si>
  <si>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</si>
  <si>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</si>
  <si>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</si>
  <si>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</si>
  <si>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</si>
  <si>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</si>
  <si>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</si>
  <si>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</si>
  <si>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</si>
  <si>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</si>
  <si>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</si>
  <si>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</si>
  <si>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</si>
  <si>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</si>
  <si>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</si>
  <si>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</si>
  <si>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</si>
  <si>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</si>
  <si>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</si>
  <si>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</si>
  <si>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</si>
  <si>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</si>
  <si>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</si>
  <si>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</si>
  <si>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</si>
  <si>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</si>
  <si>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</si>
  <si>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</si>
  <si>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</si>
  <si>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</si>
  <si>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</si>
  <si>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</si>
  <si>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</si>
  <si>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</si>
  <si>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</si>
  <si>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</si>
  <si>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</si>
  <si>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</si>
  <si>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</si>
  <si>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</si>
  <si>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</si>
  <si>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</si>
  <si>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</si>
  <si>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</si>
  <si>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</si>
  <si>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</si>
  <si>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</si>
  <si>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</si>
  <si>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</si>
  <si>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</si>
  <si>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</si>
  <si>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</si>
  <si>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</si>
  <si>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</si>
  <si>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</si>
  <si>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</si>
  <si>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</si>
  <si>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</si>
  <si>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</si>
  <si>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</si>
  <si>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</si>
  <si>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</si>
  <si>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</si>
  <si>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</si>
  <si>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</si>
  <si>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</si>
  <si>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</si>
  <si>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</si>
  <si>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</si>
  <si>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</si>
  <si>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</si>
  <si>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</si>
  <si>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</si>
  <si>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</si>
  <si>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</si>
  <si>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</si>
  <si>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</si>
  <si>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</si>
  <si>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</si>
  <si>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</si>
  <si>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</si>
  <si>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</si>
  <si>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</si>
  <si>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</si>
  <si>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</si>
  <si>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</si>
  <si>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</si>
  <si>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</si>
  <si>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</si>
  <si>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</si>
  <si>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</si>
  <si>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</si>
  <si>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</si>
  <si>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</si>
  <si>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</si>
  <si>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</si>
  <si>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</si>
  <si>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</si>
  <si>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</si>
  <si>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</si>
  <si>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</si>
  <si>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</si>
  <si>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</si>
  <si>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</si>
  <si>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</si>
  <si>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</si>
  <si>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</si>
  <si>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</si>
  <si>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</si>
  <si>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</si>
  <si>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</si>
  <si>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</si>
  <si>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</si>
  <si>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</si>
  <si>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</si>
  <si>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</si>
  <si>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</si>
  <si>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</si>
  <si>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</si>
  <si>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</si>
  <si>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</si>
  <si>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</si>
  <si>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</si>
  <si>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</si>
  <si>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</si>
  <si>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</si>
  <si>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</si>
  <si>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</si>
  <si>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</si>
  <si>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</si>
  <si>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</si>
  <si>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</si>
  <si>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</si>
  <si>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</si>
  <si>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</si>
  <si>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</si>
  <si>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</si>
  <si>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</si>
  <si>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</si>
  <si>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</si>
  <si>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</si>
  <si>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</si>
  <si>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</si>
  <si>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</si>
  <si>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</si>
  <si>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</si>
  <si>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</si>
  <si>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</si>
  <si>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</si>
  <si>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</si>
  <si>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</si>
  <si>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</si>
  <si>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</si>
  <si>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</si>
  <si>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</si>
  <si>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</si>
  <si>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</si>
  <si>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</si>
  <si>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</si>
  <si>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</si>
  <si>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</si>
  <si>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</si>
  <si>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</si>
  <si>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</si>
  <si>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</si>
  <si>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</si>
  <si>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</si>
  <si>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</si>
  <si>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</si>
  <si>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</si>
  <si>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</si>
  <si>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</si>
  <si>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</si>
  <si>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</si>
  <si>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</si>
  <si>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</si>
  <si>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</si>
  <si>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</si>
  <si>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</si>
  <si>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</si>
  <si>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</si>
  <si>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</si>
  <si>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</si>
  <si>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</si>
  <si>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</si>
  <si>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</si>
  <si>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</si>
  <si>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</si>
  <si>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</si>
  <si>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</si>
  <si>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</si>
  <si>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</si>
  <si>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</si>
  <si>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</si>
  <si>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</si>
  <si>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</si>
  <si>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</si>
  <si>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</si>
  <si>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</si>
  <si>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</si>
  <si>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</si>
  <si>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</si>
  <si>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</si>
  <si>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</si>
  <si>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</si>
  <si>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</si>
  <si>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</si>
  <si>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</si>
  <si>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</si>
  <si>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</si>
  <si>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</si>
  <si>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</si>
  <si>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</si>
  <si>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</si>
  <si>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</si>
  <si>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</si>
  <si>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</si>
  <si>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</si>
  <si>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</si>
  <si>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</si>
  <si>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</si>
  <si>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</si>
  <si>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</si>
  <si>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</si>
  <si>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</si>
  <si>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</si>
  <si>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</si>
  <si>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</si>
  <si>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</si>
  <si>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</si>
  <si>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</si>
  <si>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</si>
  <si>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</si>
  <si>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</si>
  <si>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</si>
  <si>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</si>
  <si>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</si>
  <si>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</si>
  <si>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</si>
  <si>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</si>
  <si>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</si>
  <si>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</si>
  <si>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</si>
  <si>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</si>
  <si>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</si>
  <si>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</si>
  <si>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</si>
  <si>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</si>
  <si>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</si>
  <si>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</si>
  <si>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</si>
  <si>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</si>
  <si>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</si>
  <si>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</si>
  <si>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</si>
  <si>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</si>
  <si>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</si>
  <si>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</si>
  <si>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</si>
  <si>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</si>
  <si>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</si>
  <si>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</si>
  <si>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</si>
  <si>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</si>
  <si>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</si>
  <si>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</si>
  <si>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</si>
  <si>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</si>
  <si>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</si>
  <si>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</si>
  <si>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</si>
  <si>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</si>
  <si>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</si>
  <si>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</si>
  <si>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</si>
  <si>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</si>
  <si>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</si>
  <si>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</si>
  <si>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</si>
  <si>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</si>
  <si>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</si>
  <si>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</si>
  <si>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</si>
  <si>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</si>
  <si>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</si>
  <si>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</si>
  <si>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</si>
  <si>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</si>
  <si>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</si>
  <si>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</si>
  <si>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</si>
  <si>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</si>
  <si>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</si>
  <si>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</si>
  <si>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</si>
  <si>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</si>
  <si>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</si>
  <si>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</si>
  <si>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</si>
  <si>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</si>
  <si>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</si>
  <si>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</si>
  <si>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</si>
  <si>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</si>
  <si>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</si>
  <si>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</si>
  <si>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</si>
  <si>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</si>
  <si>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</si>
  <si>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</si>
  <si>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</si>
  <si>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</si>
  <si>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</si>
  <si>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</si>
  <si>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</si>
  <si>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</si>
  <si>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</si>
  <si>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</si>
  <si>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</si>
  <si>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</si>
  <si>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</si>
  <si>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</si>
  <si>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</si>
  <si>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</si>
  <si>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</si>
  <si>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</si>
  <si>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</si>
  <si>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</si>
  <si>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</si>
  <si>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</si>
  <si>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</si>
  <si>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</si>
  <si>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</si>
  <si>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</si>
  <si>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</si>
  <si>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</si>
  <si>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</si>
  <si>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</si>
  <si>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</si>
  <si>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</si>
  <si>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</si>
  <si>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</si>
  <si>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</si>
  <si>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</si>
  <si>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</si>
  <si>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</si>
  <si>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</si>
  <si>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</si>
  <si>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</si>
  <si>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</si>
  <si>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</si>
  <si>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</si>
  <si>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</si>
  <si>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</si>
  <si>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</si>
  <si>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</si>
  <si>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</si>
  <si>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</si>
  <si>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</si>
  <si>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</si>
  <si>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</si>
  <si>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</si>
  <si>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</si>
  <si>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</si>
  <si>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</si>
  <si>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</si>
  <si>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</si>
  <si>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</si>
  <si>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</si>
  <si>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</si>
  <si>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</si>
  <si>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</si>
  <si>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</si>
  <si>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</si>
  <si>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</si>
  <si>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</si>
  <si>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</si>
  <si>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</si>
  <si>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</si>
  <si>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</si>
  <si>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</si>
  <si>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</si>
  <si>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</si>
  <si>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</si>
  <si>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</si>
  <si>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</si>
  <si>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</si>
  <si>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</si>
  <si>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</si>
  <si>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</si>
  <si>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</si>
  <si>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</si>
  <si>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</si>
  <si>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</si>
  <si>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</si>
  <si>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</si>
  <si>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</si>
  <si>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</si>
  <si>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</si>
  <si>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</si>
  <si>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</si>
  <si>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</si>
  <si>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</si>
  <si>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</si>
  <si>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</si>
  <si>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</si>
  <si>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</si>
  <si>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</si>
  <si>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</si>
  <si>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</si>
  <si>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</si>
  <si>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</si>
  <si>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</si>
  <si>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</si>
  <si>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</si>
  <si>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</si>
  <si>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</si>
  <si>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</si>
  <si>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</si>
  <si>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</si>
  <si>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</si>
  <si>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</si>
  <si>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</si>
  <si>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</si>
  <si>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</si>
  <si>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</si>
  <si>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</si>
  <si>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</si>
  <si>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</si>
  <si>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</si>
  <si>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</si>
  <si>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</si>
  <si>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</si>
  <si>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</si>
  <si>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</si>
  <si>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</si>
  <si>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</si>
  <si>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</si>
  <si>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</si>
  <si>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</si>
  <si>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</si>
  <si>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</si>
  <si>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</si>
  <si>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</si>
  <si>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</si>
  <si>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</si>
  <si>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</si>
  <si>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</si>
  <si>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</si>
  <si>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</si>
  <si>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</si>
  <si>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</si>
  <si>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</si>
  <si>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</si>
  <si>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</si>
  <si>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</si>
  <si>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</si>
  <si>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</si>
  <si>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</si>
  <si>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</si>
  <si>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</si>
  <si>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</si>
  <si>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</si>
  <si>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</si>
  <si>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</si>
  <si>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</si>
  <si>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</si>
  <si>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</si>
  <si>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</si>
  <si>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</si>
  <si>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</si>
  <si>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</si>
  <si>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</si>
  <si>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</si>
  <si>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</si>
  <si>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</si>
  <si>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</si>
  <si>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</si>
  <si>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</si>
  <si>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</si>
  <si>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</si>
  <si>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</si>
  <si>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</si>
  <si>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</si>
  <si>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</si>
  <si>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</si>
  <si>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</si>
  <si>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</si>
  <si>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</si>
  <si>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</si>
  <si>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</si>
  <si>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</si>
  <si>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</si>
  <si>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</si>
  <si>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</si>
  <si>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</si>
  <si>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</si>
  <si>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</si>
  <si>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</si>
  <si>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</si>
  <si>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</si>
  <si>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</si>
  <si>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</si>
  <si>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</si>
  <si>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</si>
  <si>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</si>
  <si>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</si>
  <si>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</si>
  <si>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</si>
  <si>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</si>
  <si>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</si>
  <si>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</si>
  <si>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</si>
  <si>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</si>
  <si>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</si>
  <si>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</si>
  <si>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</si>
  <si>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</si>
  <si>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</si>
  <si>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</si>
  <si>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</si>
  <si>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</si>
  <si>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</si>
  <si>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</si>
  <si>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</si>
  <si>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</si>
  <si>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</si>
  <si>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</si>
  <si>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</si>
  <si>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</si>
  <si>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</si>
  <si>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</si>
  <si>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</si>
  <si>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</si>
  <si>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</si>
  <si>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</si>
  <si>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</si>
  <si>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</si>
  <si>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</si>
  <si>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</si>
  <si>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</si>
  <si>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</si>
  <si>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</si>
  <si>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</si>
  <si>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</si>
  <si>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</si>
  <si>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</si>
  <si>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</si>
  <si>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</si>
  <si>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</si>
  <si>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</si>
  <si>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</si>
  <si>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</si>
  <si>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</si>
  <si>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</si>
  <si>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</si>
  <si>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</si>
  <si>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</si>
  <si>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</si>
  <si>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</si>
  <si>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</si>
  <si>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</si>
  <si>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</si>
  <si>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</si>
  <si>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</si>
  <si>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</si>
  <si>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</si>
  <si>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</si>
  <si>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</si>
  <si>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</si>
  <si>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</si>
  <si>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</si>
  <si>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</si>
  <si>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</si>
  <si>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</si>
  <si>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</si>
  <si>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</si>
  <si>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</si>
  <si>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</si>
  <si>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</si>
  <si>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</si>
  <si>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</si>
  <si>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</si>
  <si>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</si>
  <si>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</si>
  <si>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</si>
  <si>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</si>
  <si>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</si>
  <si>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</si>
  <si>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</si>
  <si>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</si>
  <si>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</si>
  <si>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</si>
  <si>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</si>
  <si>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</si>
  <si>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</si>
  <si>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</si>
  <si>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</si>
  <si>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</si>
  <si>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</si>
  <si>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</si>
  <si>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</si>
  <si>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</si>
  <si>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</si>
  <si>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</si>
  <si>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</si>
  <si>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</si>
  <si>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</si>
  <si>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</si>
  <si>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</si>
  <si>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</si>
  <si>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</si>
  <si>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</si>
  <si>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</si>
  <si>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</si>
  <si>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</si>
  <si>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</si>
  <si>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</si>
  <si>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</si>
  <si>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</si>
  <si>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</si>
  <si>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</si>
  <si>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</si>
  <si>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</si>
  <si>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</si>
  <si>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</si>
  <si>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</si>
  <si>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</si>
  <si>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</si>
  <si>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</si>
  <si>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</si>
  <si>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</si>
  <si>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</si>
  <si>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</si>
  <si>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</si>
  <si>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</si>
  <si>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</si>
  <si>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</si>
  <si>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</si>
  <si>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</si>
  <si>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</si>
  <si>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</si>
  <si>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</si>
  <si>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</si>
  <si>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</si>
  <si>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</si>
  <si>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</si>
  <si>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</si>
  <si>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</si>
  <si>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</si>
  <si>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</si>
  <si>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</si>
  <si>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</si>
  <si>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</si>
  <si>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</si>
  <si>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</si>
  <si>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</si>
  <si>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</si>
  <si>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</si>
  <si>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</si>
  <si>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</si>
  <si>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</si>
  <si>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</si>
  <si>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</si>
  <si>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</si>
  <si>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</si>
  <si>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</si>
  <si>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</si>
  <si>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</si>
  <si>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</si>
  <si>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</si>
  <si>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</si>
  <si>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</si>
  <si>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</si>
  <si>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</si>
  <si>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</si>
  <si>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</si>
  <si>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</si>
  <si>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</si>
  <si>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</si>
  <si>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</si>
  <si>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</si>
  <si>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</si>
  <si>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</si>
  <si>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</si>
  <si>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</si>
  <si>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</si>
  <si>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</si>
  <si>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</si>
  <si>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</si>
  <si>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</si>
  <si>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</si>
  <si>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</si>
  <si>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</si>
  <si>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</si>
  <si>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</si>
  <si>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</si>
  <si>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</si>
  <si>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</si>
  <si>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</si>
  <si>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</si>
  <si>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</si>
  <si>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</si>
  <si>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</si>
  <si>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</si>
  <si>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</si>
  <si>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</si>
  <si>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</si>
  <si>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</si>
  <si>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</si>
  <si>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</si>
  <si>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</si>
  <si>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</si>
  <si>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</si>
  <si>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</si>
  <si>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</si>
  <si>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</si>
  <si>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</si>
  <si>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</si>
  <si>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</si>
  <si>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</si>
  <si>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</si>
  <si>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</si>
  <si>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</si>
  <si>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</si>
  <si>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</si>
  <si>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</si>
  <si>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</si>
  <si>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</si>
  <si>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</si>
  <si>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</si>
  <si>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</si>
  <si>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</si>
  <si>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</si>
  <si>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</si>
  <si>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</si>
  <si>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</si>
  <si>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</si>
  <si>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</si>
  <si>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</si>
  <si>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</si>
  <si>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</si>
  <si>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</si>
  <si>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</si>
  <si>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</si>
  <si>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</si>
  <si>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</si>
  <si>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</si>
  <si>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</si>
  <si>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</si>
  <si>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</si>
  <si>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</si>
  <si>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</si>
  <si>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</si>
  <si>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</si>
  <si>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</si>
  <si>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</si>
  <si>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</si>
  <si>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</si>
  <si>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</si>
  <si>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</si>
  <si>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</si>
  <si>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</si>
  <si>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</si>
  <si>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</si>
  <si>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</si>
  <si>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</si>
  <si>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</si>
  <si>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</si>
  <si>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</si>
  <si>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</si>
  <si>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</si>
  <si>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</si>
  <si>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</si>
  <si>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</si>
  <si>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</si>
  <si>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</si>
  <si>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</si>
  <si>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</si>
  <si>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</si>
  <si>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</si>
  <si>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</si>
  <si>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</si>
  <si>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</si>
  <si>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</si>
  <si>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</si>
  <si>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</si>
  <si>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</si>
  <si>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</si>
  <si>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</si>
  <si>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</si>
  <si>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</si>
  <si>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</si>
  <si>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</si>
  <si>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</si>
  <si>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</si>
  <si>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</si>
  <si>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</si>
  <si>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</si>
  <si>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</si>
  <si>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</si>
  <si>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</si>
  <si>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</si>
  <si>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</si>
  <si>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</si>
  <si>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</si>
  <si>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</si>
  <si>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</si>
  <si>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</si>
  <si>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</si>
  <si>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</si>
  <si>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</si>
  <si>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</si>
  <si>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</si>
  <si>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</si>
  <si>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</si>
  <si>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</si>
  <si>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</si>
  <si>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</si>
  <si>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</si>
  <si>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</si>
  <si>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</si>
  <si>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</si>
  <si>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</si>
  <si>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</si>
  <si>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</si>
  <si>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</si>
  <si>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</si>
  <si>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</si>
  <si>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</si>
  <si>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</si>
  <si>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</si>
  <si>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</si>
  <si>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</si>
  <si>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</si>
  <si>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</si>
  <si>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</si>
  <si>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</si>
  <si>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</si>
  <si>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</si>
  <si>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</si>
  <si>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</si>
  <si>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</si>
  <si>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</si>
  <si>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</si>
  <si>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</si>
  <si>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</si>
  <si>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</si>
  <si>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</si>
  <si>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</si>
  <si>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</si>
  <si>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</si>
  <si>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</si>
  <si>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</si>
  <si>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</si>
  <si>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</si>
  <si>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</si>
  <si>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</si>
  <si>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</si>
  <si>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</si>
  <si>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</si>
  <si>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</si>
  <si>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</si>
  <si>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</si>
  <si>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</si>
  <si>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</si>
  <si>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</si>
  <si>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</si>
  <si>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</si>
  <si>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</si>
  <si>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</si>
  <si>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</si>
  <si>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</si>
  <si>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</si>
  <si>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</si>
  <si>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</si>
  <si>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</si>
  <si>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</si>
  <si>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</si>
  <si>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</si>
  <si>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</si>
  <si>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</si>
  <si>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</si>
  <si>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</si>
  <si>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</si>
  <si>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</si>
  <si>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</si>
  <si>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</si>
  <si>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</si>
  <si>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</si>
  <si>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</si>
  <si>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</si>
  <si>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</si>
  <si>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</si>
  <si>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</si>
  <si>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</si>
  <si>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</si>
  <si>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</si>
  <si>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</si>
  <si>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</si>
  <si>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</si>
  <si>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</si>
  <si>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</si>
  <si>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</si>
  <si>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</si>
  <si>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</si>
  <si>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</si>
  <si>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</si>
  <si>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</si>
  <si>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</si>
  <si>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</si>
  <si>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</si>
  <si>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</si>
  <si>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</si>
  <si>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</si>
  <si>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</si>
  <si>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</si>
  <si>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</si>
  <si>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</si>
  <si>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</si>
  <si>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</si>
  <si>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</si>
  <si>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</si>
  <si>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</si>
  <si>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</si>
  <si>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</si>
  <si>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</si>
  <si>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</si>
  <si>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</si>
  <si>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</si>
  <si>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</si>
  <si>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</si>
  <si>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</si>
  <si>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</si>
  <si>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</si>
  <si>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</si>
  <si>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</si>
  <si>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</si>
  <si>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</si>
  <si>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</si>
  <si>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</si>
  <si>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</si>
  <si>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</si>
  <si>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</si>
  <si>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</si>
  <si>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</si>
  <si>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</si>
  <si>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</si>
  <si>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</si>
  <si>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</si>
  <si>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</si>
  <si>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</si>
  <si>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</si>
  <si>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</si>
  <si>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</si>
  <si>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</si>
  <si>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</si>
  <si>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</si>
  <si>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</si>
  <si>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</si>
  <si>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</si>
  <si>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</si>
  <si>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</si>
  <si>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</si>
  <si>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</si>
  <si>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</si>
  <si>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</si>
  <si>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</si>
  <si>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</si>
  <si>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</si>
  <si>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</si>
  <si>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</si>
  <si>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</si>
  <si>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</si>
  <si>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</si>
  <si>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</si>
  <si>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</si>
  <si>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</si>
  <si>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</si>
  <si>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</si>
  <si>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</si>
  <si>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</si>
  <si>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</si>
  <si>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</si>
  <si>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</si>
  <si>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</si>
  <si>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</si>
  <si>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</si>
  <si>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</si>
  <si>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</si>
  <si>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</si>
  <si>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</si>
  <si>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</si>
  <si>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</si>
  <si>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</si>
  <si>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</si>
  <si>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</si>
  <si>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</si>
  <si>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</si>
  <si>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</si>
  <si>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</si>
  <si>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</si>
  <si>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</si>
  <si>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</si>
  <si>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</si>
  <si>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</si>
  <si>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</si>
  <si>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</si>
  <si>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</si>
  <si>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</si>
  <si>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</si>
  <si>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</si>
  <si>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</si>
  <si>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</si>
  <si>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</si>
  <si>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</si>
  <si>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</si>
  <si>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</si>
  <si>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</si>
  <si>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</si>
  <si>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</si>
  <si>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</si>
  <si>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</si>
  <si>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</si>
  <si>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</si>
  <si>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</si>
  <si>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</si>
  <si>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</si>
  <si>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</si>
  <si>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</si>
  <si>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</si>
  <si>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</si>
  <si>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</si>
  <si>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</si>
  <si>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</si>
  <si>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</si>
  <si>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</si>
  <si>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</si>
  <si>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</si>
  <si>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</si>
  <si>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</si>
  <si>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</si>
  <si>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</si>
  <si>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</si>
  <si>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</si>
  <si>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</si>
  <si>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</si>
  <si>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</si>
  <si>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</si>
  <si>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</si>
  <si>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</si>
  <si>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</si>
  <si>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</si>
  <si>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</si>
  <si>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</si>
  <si>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</si>
  <si>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</si>
  <si>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</si>
  <si>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</si>
  <si>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</si>
  <si>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</si>
  <si>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</si>
  <si>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</si>
  <si>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</si>
  <si>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</si>
  <si>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</si>
  <si>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</si>
  <si>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</si>
  <si>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</si>
  <si>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</si>
  <si>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</si>
  <si>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</si>
  <si>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</si>
  <si>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</si>
  <si>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</si>
  <si>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</si>
  <si>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</si>
  <si>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</si>
  <si>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</si>
  <si>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</si>
  <si>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</si>
  <si>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</si>
  <si>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</si>
  <si>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</si>
  <si>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</si>
  <si>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</si>
  <si>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</si>
  <si>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</si>
  <si>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</si>
  <si>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</si>
  <si>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</si>
  <si>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</si>
  <si>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</si>
  <si>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</si>
  <si>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</si>
  <si>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</si>
  <si>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</si>
  <si>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</si>
  <si>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</si>
  <si>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</si>
  <si>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</si>
  <si>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</si>
  <si>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</si>
  <si>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</si>
  <si>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</si>
  <si>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</si>
  <si>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</si>
  <si>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</si>
  <si>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</si>
  <si>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</si>
  <si>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</si>
  <si>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</si>
  <si>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</si>
  <si>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</si>
  <si>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</si>
  <si>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</si>
  <si>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</si>
  <si>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</si>
  <si>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</si>
  <si>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</si>
  <si>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</si>
  <si>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</si>
  <si>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</si>
  <si>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</si>
  <si>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</si>
  <si>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</si>
  <si>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</si>
  <si>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</si>
  <si>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</si>
  <si>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</si>
  <si>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</si>
  <si>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</si>
  <si>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</si>
  <si>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</si>
  <si>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</si>
  <si>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</si>
  <si>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</si>
  <si>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</si>
  <si>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</si>
  <si>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</si>
  <si>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</si>
  <si>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</si>
  <si>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</si>
  <si>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</si>
  <si>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</si>
  <si>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</si>
  <si>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</si>
  <si>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</si>
  <si>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</si>
  <si>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</si>
  <si>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</si>
  <si>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</si>
  <si>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</si>
  <si>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</si>
  <si>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</si>
  <si>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</si>
  <si>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</si>
  <si>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</si>
  <si>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</si>
  <si>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</si>
  <si>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</si>
  <si>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</si>
  <si>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</si>
  <si>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</si>
  <si>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</si>
  <si>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</si>
  <si>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</si>
  <si>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</si>
  <si>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</si>
  <si>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</si>
  <si>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</si>
  <si>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</si>
  <si>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</si>
  <si>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</si>
  <si>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</si>
  <si>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</si>
  <si>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</si>
  <si>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</si>
  <si>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</si>
  <si>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</si>
  <si>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</si>
  <si>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</si>
  <si>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</si>
  <si>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</si>
  <si>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</si>
  <si>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</si>
  <si>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</si>
  <si>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</si>
  <si>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</si>
  <si>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</si>
  <si>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</si>
  <si>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</si>
  <si>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</si>
  <si>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</si>
  <si>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</si>
  <si>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</si>
  <si>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</si>
  <si>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</si>
  <si>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</si>
  <si>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</si>
  <si>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</si>
  <si>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</si>
  <si>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</si>
  <si>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</si>
  <si>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</si>
  <si>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</si>
  <si>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</si>
  <si>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</si>
  <si>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</si>
  <si>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</si>
  <si>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</si>
  <si>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</si>
  <si>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</si>
  <si>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</si>
  <si>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</si>
  <si>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</si>
  <si>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</si>
  <si>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</si>
  <si>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</si>
  <si>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</si>
  <si>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</si>
  <si>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</si>
  <si>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</si>
  <si>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</si>
  <si>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</si>
  <si>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</si>
  <si>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</si>
  <si>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</si>
  <si>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</si>
  <si>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</si>
  <si>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</si>
  <si>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</si>
  <si>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</si>
  <si>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</si>
  <si>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</si>
  <si>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</si>
  <si>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</si>
  <si>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</si>
  <si>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</si>
  <si>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</si>
  <si>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</si>
  <si>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</si>
  <si>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</si>
  <si>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</si>
  <si>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</si>
  <si>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</si>
  <si>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</si>
  <si>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</si>
  <si>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</si>
  <si>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</si>
  <si>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</si>
  <si>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</si>
  <si>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</si>
  <si>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</si>
  <si>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</si>
  <si>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</si>
  <si>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</si>
  <si>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</si>
  <si>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</si>
  <si>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</si>
  <si>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</si>
  <si>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</si>
  <si>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</si>
  <si>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</si>
  <si>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</si>
  <si>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</si>
  <si>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</si>
  <si>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</si>
  <si>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</si>
  <si>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</si>
  <si>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</si>
  <si>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</si>
  <si>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</si>
  <si>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</si>
  <si>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</si>
  <si>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</si>
  <si>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</si>
  <si>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</si>
  <si>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</si>
  <si>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</si>
  <si>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</si>
  <si>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</si>
  <si>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</si>
  <si>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</si>
  <si>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</si>
  <si>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</si>
  <si>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</si>
  <si>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</si>
  <si>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</si>
  <si>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</si>
  <si>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</si>
  <si>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</si>
  <si>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</si>
  <si>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</si>
  <si>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</si>
  <si>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</si>
  <si>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</si>
  <si>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</si>
  <si>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</si>
  <si>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</si>
  <si>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</si>
  <si>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</si>
  <si>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</si>
  <si>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</si>
  <si>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</si>
  <si>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</si>
  <si>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</si>
  <si>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</si>
  <si>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</si>
  <si>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</si>
  <si>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</si>
  <si>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</si>
  <si>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</si>
  <si>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</si>
  <si>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</si>
  <si>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</si>
  <si>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</si>
  <si>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</si>
  <si>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</si>
  <si>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</si>
  <si>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</si>
  <si>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</si>
  <si>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</si>
  <si>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</si>
  <si>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</si>
  <si>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</si>
  <si>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</si>
  <si>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</si>
  <si>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</si>
  <si>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</si>
  <si>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</si>
  <si>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</si>
  <si>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</si>
  <si>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</si>
  <si>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</si>
  <si>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</si>
  <si>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</si>
  <si>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</si>
  <si>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</si>
  <si>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</si>
  <si>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</si>
  <si>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</si>
  <si>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</si>
  <si>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</si>
  <si>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</si>
  <si>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</si>
  <si>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</si>
  <si>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</si>
  <si>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</si>
  <si>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</si>
  <si>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</si>
  <si>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</si>
  <si>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</si>
  <si>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</si>
  <si>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</si>
  <si>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</si>
  <si>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</si>
  <si>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</si>
  <si>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</si>
  <si>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</si>
  <si>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</si>
  <si>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</si>
  <si>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</si>
  <si>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</si>
  <si>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</si>
  <si>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</si>
  <si>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</si>
  <si>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</si>
  <si>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</si>
  <si>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</si>
  <si>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</si>
  <si>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</si>
  <si>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</si>
  <si>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</si>
  <si>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</si>
  <si>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</si>
  <si>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</si>
  <si>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</si>
  <si>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</si>
  <si>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</si>
  <si>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</si>
  <si>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</si>
  <si>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</si>
  <si>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</si>
  <si>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</si>
  <si>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</si>
  <si>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</si>
  <si>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</si>
  <si>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</si>
  <si>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</si>
  <si>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</si>
  <si>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</si>
  <si>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</si>
  <si>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</si>
  <si>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</si>
  <si>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</si>
  <si>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</si>
  <si>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</si>
  <si>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</si>
  <si>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</si>
  <si>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</si>
  <si>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</si>
  <si>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</si>
  <si>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</si>
  <si>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</si>
  <si>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</si>
  <si>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</si>
  <si>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</si>
  <si>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</si>
  <si>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</si>
  <si>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</si>
  <si>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</si>
  <si>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</si>
  <si>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</si>
  <si>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</si>
  <si>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</si>
  <si>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</si>
  <si>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</si>
  <si>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</si>
  <si>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</si>
  <si>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</si>
  <si>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</si>
  <si>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</si>
  <si>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</si>
  <si>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</si>
  <si>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</si>
  <si>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</si>
  <si>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</si>
  <si>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</si>
  <si>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</si>
  <si>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</si>
  <si>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</si>
  <si>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</si>
  <si>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</si>
  <si>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</si>
  <si>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</si>
  <si>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</si>
  <si>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</si>
  <si>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</si>
  <si>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</si>
  <si>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</si>
  <si>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</si>
  <si>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</si>
  <si>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</si>
  <si>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</si>
  <si>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</si>
  <si>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</si>
  <si>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</si>
  <si>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</si>
  <si>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</si>
  <si>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</si>
  <si>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</si>
  <si>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</si>
  <si>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</si>
  <si>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</si>
  <si>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</si>
  <si>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</si>
  <si>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</si>
  <si>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</si>
  <si>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</si>
  <si>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</si>
  <si>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</si>
  <si>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</si>
  <si>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</si>
  <si>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</si>
  <si>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</si>
  <si>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</si>
  <si>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</si>
  <si>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</si>
  <si>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</si>
  <si>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</si>
  <si>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</si>
  <si>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</si>
  <si>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</si>
  <si>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</si>
  <si>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</si>
  <si>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</si>
  <si>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</si>
  <si>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</si>
  <si>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</si>
  <si>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</si>
  <si>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</si>
  <si>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</si>
  <si>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</si>
  <si>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</si>
  <si>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</si>
  <si>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</si>
  <si>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</si>
  <si>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</si>
  <si>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</si>
  <si>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</si>
  <si>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</si>
  <si>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</si>
  <si>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</si>
  <si>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</si>
  <si>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</si>
  <si>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</si>
  <si>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</si>
  <si>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</si>
  <si>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</si>
  <si>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</si>
  <si>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</si>
  <si>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</si>
  <si>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</si>
  <si>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</si>
  <si>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</si>
  <si>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</si>
  <si>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</si>
  <si>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</si>
  <si>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</si>
  <si>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</si>
  <si>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</si>
  <si>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</si>
  <si>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</si>
  <si>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</si>
  <si>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</si>
  <si>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</si>
  <si>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</si>
  <si>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</si>
  <si>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</si>
  <si>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</si>
  <si>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</si>
  <si>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</si>
  <si>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</si>
  <si>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</si>
  <si>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</si>
  <si>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</si>
  <si>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</si>
  <si>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</si>
  <si>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</si>
  <si>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</si>
  <si>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</si>
  <si>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</si>
  <si>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</si>
  <si>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</si>
  <si>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</si>
  <si>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</si>
  <si>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</si>
  <si>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</si>
  <si>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</si>
  <si>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</si>
  <si>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</si>
  <si>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</si>
  <si>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</si>
  <si>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</si>
  <si>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</si>
  <si>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</si>
  <si>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</si>
  <si>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</si>
  <si>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</si>
  <si>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</si>
  <si>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</si>
  <si>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</si>
  <si>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</si>
  <si>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</si>
  <si>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</si>
  <si>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</si>
  <si>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</si>
  <si>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</si>
  <si>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</si>
  <si>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</si>
  <si>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</si>
  <si>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</si>
  <si>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</si>
  <si>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</si>
  <si>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</si>
  <si>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</si>
  <si>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</si>
  <si>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</si>
  <si>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</si>
  <si>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</si>
  <si>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</si>
  <si>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</si>
  <si>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</si>
  <si>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</si>
  <si>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</si>
  <si>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</si>
  <si>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</si>
  <si>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</si>
  <si>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</si>
  <si>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</si>
  <si>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</si>
  <si>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</si>
  <si>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</si>
  <si>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</si>
  <si>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</si>
  <si>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</si>
  <si>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</si>
  <si>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</si>
  <si>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</si>
  <si>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</si>
  <si>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</si>
  <si>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</si>
  <si>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</si>
  <si>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</si>
  <si>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</si>
  <si>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</si>
  <si>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</si>
  <si>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</si>
  <si>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</si>
  <si>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</si>
  <si>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</si>
  <si>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</si>
  <si>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</si>
  <si>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</si>
  <si>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</si>
  <si>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</si>
  <si>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</si>
  <si>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</si>
  <si>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</si>
  <si>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</si>
  <si>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</si>
  <si>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</si>
  <si>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</si>
  <si>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</si>
  <si>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</si>
  <si>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</si>
  <si>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</si>
  <si>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</si>
  <si>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</si>
  <si>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</si>
  <si>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</si>
  <si>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</si>
  <si>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</si>
  <si>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</si>
  <si>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</si>
  <si>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</si>
  <si>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</si>
  <si>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</si>
  <si>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</si>
  <si>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</si>
  <si>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</si>
  <si>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</si>
  <si>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</si>
  <si>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</si>
  <si>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</si>
  <si>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</si>
  <si>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</si>
  <si>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</si>
  <si>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</si>
  <si>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</si>
  <si>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</si>
  <si>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</si>
  <si>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</si>
  <si>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</si>
  <si>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</si>
  <si>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</si>
  <si>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</si>
  <si>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</si>
  <si>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</si>
  <si>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</si>
  <si>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</si>
  <si>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</si>
  <si>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</si>
  <si>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</si>
  <si>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</si>
  <si>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</si>
  <si>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</si>
  <si>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</si>
  <si>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</si>
  <si>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</si>
  <si>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</si>
  <si>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</si>
  <si>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</si>
  <si>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</si>
  <si>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</si>
  <si>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</si>
  <si>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</si>
  <si>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</si>
  <si>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</si>
  <si>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</si>
  <si>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</si>
  <si>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</si>
  <si>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</si>
  <si>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</si>
  <si>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</si>
  <si>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</si>
  <si>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</si>
  <si>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</si>
  <si>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</si>
  <si>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</si>
  <si>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</si>
  <si>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</si>
  <si>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</si>
  <si>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</si>
  <si>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</si>
  <si>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</si>
  <si>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</si>
  <si>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</si>
  <si>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</si>
  <si>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</si>
  <si>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</si>
  <si>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</si>
  <si>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</si>
  <si>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</si>
  <si>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</si>
  <si>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</si>
  <si>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</si>
  <si>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</si>
  <si>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</si>
  <si>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</si>
  <si>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</si>
  <si>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</si>
  <si>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</si>
  <si>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</si>
  <si>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</si>
  <si>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</si>
  <si>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</si>
  <si>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</si>
  <si>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</si>
  <si>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</si>
  <si>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</si>
  <si>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</si>
  <si>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</si>
  <si>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</si>
  <si>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</si>
  <si>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</si>
  <si>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</si>
  <si>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</si>
  <si>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</si>
  <si>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</si>
  <si>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</si>
  <si>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</si>
  <si>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</si>
  <si>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</si>
  <si>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</si>
  <si>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</si>
  <si>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</si>
  <si>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</si>
  <si>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</si>
  <si>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</si>
  <si>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</si>
  <si>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</si>
  <si>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</si>
  <si>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</si>
  <si>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</si>
  <si>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</si>
  <si>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</si>
  <si>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</si>
  <si>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</si>
  <si>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</si>
  <si>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</si>
  <si>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</si>
  <si>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</si>
  <si>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</si>
  <si>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</si>
  <si>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</si>
  <si>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</si>
  <si>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</si>
  <si>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</si>
  <si>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</si>
  <si>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</si>
  <si>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</si>
  <si>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</si>
  <si>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</si>
  <si>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</si>
  <si>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</si>
  <si>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</si>
  <si>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</si>
  <si>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</si>
  <si>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</si>
  <si>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</si>
  <si>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</si>
  <si>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</si>
  <si>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</si>
  <si>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</si>
  <si>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</si>
  <si>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</si>
  <si>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</si>
  <si>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</si>
  <si>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</si>
  <si>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</si>
  <si>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</si>
  <si>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</si>
  <si>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</si>
  <si>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</si>
  <si>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</si>
  <si>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</si>
  <si>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</si>
  <si>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</si>
  <si>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</si>
  <si>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</si>
  <si>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</si>
  <si>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</si>
  <si>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</si>
  <si>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</si>
  <si>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</si>
  <si>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</si>
  <si>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</si>
  <si>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</si>
  <si>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</si>
  <si>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</si>
  <si>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</si>
  <si>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</si>
  <si>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</si>
  <si>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</si>
  <si>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</si>
  <si>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</si>
  <si>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</si>
  <si>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</si>
  <si>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</si>
  <si>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</si>
  <si>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</si>
  <si>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</si>
  <si>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</si>
  <si>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</si>
  <si>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</si>
  <si>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</si>
  <si>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</si>
  <si>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</si>
  <si>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</si>
  <si>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</si>
  <si>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</si>
  <si>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</si>
  <si>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</si>
  <si>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</si>
  <si>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</si>
  <si>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</si>
  <si>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</si>
  <si>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</si>
  <si>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</si>
  <si>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</si>
  <si>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</si>
  <si>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</si>
  <si>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</si>
  <si>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</si>
  <si>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</si>
  <si>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</si>
  <si>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</si>
  <si>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</si>
  <si>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</si>
  <si>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</si>
  <si>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</si>
  <si>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</si>
  <si>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</si>
  <si>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</si>
  <si>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</si>
  <si>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</si>
  <si>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</si>
  <si>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</si>
  <si>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</si>
  <si>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</si>
  <si>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</si>
  <si>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</si>
  <si>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</si>
  <si>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</si>
  <si>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</si>
  <si>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</si>
  <si>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</si>
  <si>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</si>
  <si>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</si>
  <si>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</si>
  <si>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</si>
  <si>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</si>
  <si>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</si>
  <si>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</si>
  <si>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</si>
  <si>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</si>
  <si>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</si>
  <si>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</si>
  <si>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</si>
  <si>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</si>
  <si>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</si>
  <si>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</si>
  <si>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</si>
  <si>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</si>
  <si>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</si>
  <si>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</si>
  <si>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</si>
  <si>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</si>
  <si>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</si>
  <si>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</si>
  <si>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</si>
  <si>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</si>
  <si>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</si>
  <si>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</si>
  <si>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</si>
  <si>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</si>
  <si>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</si>
  <si>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</si>
  <si>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</si>
  <si>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</si>
  <si>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</si>
  <si>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</si>
  <si>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</si>
  <si>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</si>
  <si>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</si>
  <si>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</si>
  <si>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</si>
  <si>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</si>
  <si>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</si>
  <si>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</si>
  <si>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</si>
  <si>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</si>
  <si>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</si>
  <si>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</si>
  <si>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</si>
  <si>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</si>
  <si>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</si>
  <si>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</si>
  <si>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</si>
  <si>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</si>
  <si>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</si>
  <si>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</si>
  <si>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</si>
  <si>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</si>
  <si>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</si>
  <si>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</si>
  <si>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</si>
  <si>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</si>
  <si>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</si>
  <si>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</si>
  <si>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</si>
  <si>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</si>
  <si>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</si>
  <si>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</si>
  <si>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</si>
  <si>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</si>
  <si>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</si>
  <si>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</si>
  <si>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</si>
  <si>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</si>
  <si>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</si>
  <si>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</si>
  <si>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</si>
  <si>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</si>
  <si>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</si>
  <si>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</si>
  <si>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</si>
  <si>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</si>
  <si>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</si>
  <si>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</si>
  <si>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</si>
  <si>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</si>
  <si>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</si>
  <si>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</si>
  <si>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</si>
  <si>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</si>
  <si>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</si>
  <si>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</si>
  <si>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</si>
  <si>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</si>
  <si>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</si>
  <si>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</si>
  <si>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</si>
  <si>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</si>
  <si>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</si>
  <si>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</si>
  <si>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</si>
  <si>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</si>
  <si>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</si>
  <si>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</si>
  <si>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</si>
  <si>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</si>
  <si>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</si>
  <si>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</si>
  <si>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</si>
  <si>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</si>
  <si>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</si>
  <si>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</si>
  <si>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</si>
  <si>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</si>
  <si>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</si>
  <si>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</si>
  <si>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</si>
  <si>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</si>
  <si>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</si>
  <si>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</si>
  <si>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</si>
  <si>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</si>
  <si>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</si>
  <si>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</si>
  <si>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</si>
  <si>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</si>
  <si>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</si>
  <si>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</si>
  <si>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</si>
  <si>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</si>
  <si>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</si>
  <si>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</si>
  <si>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</si>
  <si>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</si>
  <si>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</si>
  <si>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</si>
  <si>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</si>
  <si>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</si>
  <si>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</si>
  <si>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</si>
  <si>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</si>
  <si>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</si>
  <si>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</si>
  <si>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</si>
  <si>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</si>
  <si>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</si>
  <si>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</si>
  <si>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</si>
  <si>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</si>
  <si>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</si>
  <si>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</si>
  <si>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</si>
  <si>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</si>
  <si>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</si>
  <si>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</si>
  <si>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</si>
  <si>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</si>
  <si>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</si>
  <si>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</si>
  <si>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</si>
  <si>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</si>
  <si>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</si>
  <si>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</si>
  <si>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</si>
  <si>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</si>
  <si>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</si>
  <si>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</si>
  <si>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</si>
  <si>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</si>
  <si>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</si>
  <si>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</si>
  <si>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</si>
  <si>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</si>
  <si>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</si>
  <si>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</si>
  <si>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</si>
  <si>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</si>
  <si>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</si>
  <si>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</si>
  <si>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</si>
  <si>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</si>
  <si>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</si>
  <si>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</si>
  <si>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</si>
  <si>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</si>
  <si>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</si>
  <si>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</si>
  <si>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</si>
  <si>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</si>
  <si>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</si>
  <si>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</si>
  <si>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</si>
  <si>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</si>
  <si>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</si>
  <si>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</si>
  <si>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</si>
  <si>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</si>
  <si>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</si>
  <si>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</si>
  <si>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</si>
  <si>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</si>
  <si>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</si>
  <si>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</si>
  <si>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</si>
  <si>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</si>
  <si>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</si>
  <si>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</si>
  <si>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</si>
  <si>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</si>
  <si>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</si>
  <si>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</si>
  <si>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</si>
  <si>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</si>
  <si>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</si>
  <si>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</si>
  <si>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</si>
  <si>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</si>
  <si>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</si>
  <si>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</si>
  <si>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</si>
  <si>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</si>
  <si>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</si>
  <si>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</si>
  <si>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</si>
  <si>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</si>
  <si>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</si>
  <si>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</si>
  <si>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</si>
  <si>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</si>
  <si>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</si>
  <si>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</si>
  <si>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</si>
  <si>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</si>
  <si>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</si>
  <si>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</si>
  <si>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</si>
  <si>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</si>
  <si>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</si>
  <si>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</si>
  <si>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</si>
  <si>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</si>
  <si>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</si>
  <si>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</si>
  <si>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</si>
  <si>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</si>
  <si>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</si>
  <si>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</si>
  <si>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</si>
  <si>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</si>
  <si>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</si>
  <si>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</si>
  <si>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</si>
  <si>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</si>
  <si>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</si>
  <si>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</si>
  <si>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</si>
  <si>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</si>
  <si>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</si>
  <si>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</si>
  <si>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</si>
  <si>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</si>
  <si>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</si>
  <si>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</si>
  <si>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</si>
  <si>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</si>
  <si>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</si>
  <si>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</si>
  <si>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</si>
  <si>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</si>
  <si>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</si>
  <si>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</si>
  <si>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</si>
  <si>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</si>
  <si>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</si>
  <si>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</si>
  <si>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</si>
  <si>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</si>
  <si>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</si>
  <si>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</si>
  <si>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</si>
  <si>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</si>
  <si>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</si>
  <si>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</si>
  <si>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</si>
  <si>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</si>
  <si>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</si>
  <si>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</si>
  <si>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</si>
  <si>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</si>
  <si>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</si>
  <si>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</si>
  <si>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</si>
  <si>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</si>
  <si>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</si>
  <si>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</si>
  <si>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</si>
  <si>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</si>
  <si>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</si>
  <si>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</si>
  <si>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</si>
  <si>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</si>
  <si>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</si>
  <si>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</si>
  <si>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</si>
  <si>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</si>
  <si>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</si>
  <si>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</si>
  <si>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</si>
  <si>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</si>
  <si>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</si>
  <si>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</si>
  <si>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</si>
  <si>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</si>
  <si>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</si>
  <si>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</si>
  <si>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</si>
  <si>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</si>
  <si>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</si>
  <si>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</si>
  <si>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</si>
  <si>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</si>
  <si>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</si>
  <si>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</si>
  <si>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</si>
  <si>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</si>
  <si>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</si>
  <si>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</si>
  <si>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</si>
  <si>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</si>
  <si>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</si>
  <si>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</si>
  <si>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</si>
  <si>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</si>
  <si>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</si>
  <si>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</si>
  <si>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</si>
  <si>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</si>
  <si>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</si>
  <si>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</si>
  <si>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</si>
  <si>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</si>
  <si>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</si>
  <si>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</si>
  <si>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</si>
  <si>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</si>
  <si>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</si>
  <si>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</si>
  <si>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</si>
  <si>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</si>
  <si>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</si>
  <si>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</si>
  <si>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</si>
  <si>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</si>
  <si>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</si>
  <si>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</si>
  <si>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</si>
  <si>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</si>
  <si>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</si>
  <si>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</si>
  <si>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</si>
  <si>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</si>
  <si>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</si>
  <si>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</si>
  <si>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</si>
  <si>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</si>
  <si>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</si>
  <si>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</si>
  <si>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</si>
  <si>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</si>
  <si>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</si>
  <si>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</si>
  <si>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</si>
  <si>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</si>
  <si>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</si>
  <si>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</si>
  <si>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</si>
  <si>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</si>
  <si>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</si>
  <si>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</si>
  <si>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</si>
  <si>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</si>
  <si>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</si>
  <si>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</si>
  <si>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</si>
  <si>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</si>
  <si>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</si>
  <si>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</si>
  <si>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</si>
  <si>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</si>
  <si>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</si>
  <si>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</si>
  <si>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</si>
  <si>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</si>
  <si>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</si>
  <si>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</si>
  <si>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</si>
  <si>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</si>
  <si>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</si>
  <si>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</si>
  <si>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</si>
  <si>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</si>
  <si>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</si>
  <si>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</si>
  <si>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</si>
  <si>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</si>
  <si>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</si>
  <si>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</si>
  <si>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</si>
  <si>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</si>
  <si>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</si>
  <si>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</si>
  <si>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</si>
  <si>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</si>
  <si>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</si>
  <si>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</si>
  <si>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</si>
  <si>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</si>
  <si>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</si>
  <si>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</si>
  <si>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</si>
  <si>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</si>
  <si>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</si>
  <si>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</si>
  <si>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</si>
  <si>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</si>
  <si>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</si>
  <si>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</si>
  <si>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</si>
  <si>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</si>
  <si>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</si>
  <si>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</si>
  <si>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</si>
  <si>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</si>
  <si>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</si>
  <si>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</si>
  <si>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</si>
  <si>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</si>
  <si>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</si>
  <si>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</si>
  <si>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</si>
  <si>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</si>
  <si>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</si>
  <si>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</si>
  <si>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</si>
  <si>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</si>
  <si>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</si>
  <si>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</si>
  <si>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</si>
  <si>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</si>
  <si>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</si>
  <si>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</si>
  <si>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</si>
  <si>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</si>
  <si>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</si>
  <si>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</si>
  <si>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</si>
  <si>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</si>
  <si>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</si>
  <si>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</si>
  <si>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</si>
  <si>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</si>
  <si>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</si>
  <si>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</si>
  <si>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</si>
  <si>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</si>
  <si>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</si>
  <si>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</si>
  <si>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</si>
  <si>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</si>
  <si>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</si>
  <si>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</si>
  <si>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</si>
  <si>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</si>
  <si>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</si>
  <si>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</si>
  <si>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</si>
  <si>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</si>
  <si>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</si>
  <si>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</si>
  <si>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</si>
  <si>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</si>
  <si>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</si>
  <si>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</si>
  <si>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</si>
  <si>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</si>
  <si>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</si>
  <si>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</si>
  <si>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</si>
  <si>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</si>
  <si>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</si>
  <si>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</si>
  <si>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</si>
  <si>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</si>
  <si>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</si>
  <si>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</si>
  <si>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</si>
  <si>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</si>
  <si>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</si>
  <si>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</si>
  <si>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</si>
  <si>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</si>
  <si>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</si>
  <si>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</si>
  <si>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</si>
  <si>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</si>
  <si>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</si>
  <si>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</si>
  <si>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</si>
  <si>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</si>
  <si>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</si>
  <si>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</si>
  <si>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</si>
  <si>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</si>
  <si>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</si>
  <si>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</si>
  <si>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</si>
  <si>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</si>
  <si>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</si>
  <si>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</si>
  <si>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</si>
  <si>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</si>
  <si>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</si>
  <si>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</si>
  <si>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</si>
  <si>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</si>
  <si>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</si>
  <si>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</si>
  <si>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</si>
  <si>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</si>
  <si>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</si>
  <si>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</si>
  <si>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</si>
  <si>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</si>
  <si>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</si>
  <si>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</si>
  <si>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</si>
  <si>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</si>
  <si>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</si>
  <si>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</si>
  <si>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</si>
  <si>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</si>
  <si>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</si>
  <si>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</si>
  <si>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</si>
  <si>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</si>
  <si>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</si>
  <si>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</si>
  <si>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</si>
  <si>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</si>
  <si>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</si>
  <si>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</si>
  <si>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</si>
  <si>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</si>
  <si>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</si>
  <si>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</si>
  <si>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</si>
  <si>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</si>
  <si>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</si>
  <si>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</si>
  <si>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</si>
  <si>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</si>
  <si>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</si>
  <si>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</si>
  <si>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</si>
  <si>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</si>
  <si>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</si>
  <si>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</si>
  <si>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</si>
  <si>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</si>
  <si>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</si>
  <si>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</si>
  <si>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</si>
  <si>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</si>
  <si>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</si>
  <si>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</si>
  <si>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</si>
  <si>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</si>
  <si>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</si>
  <si>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</si>
  <si>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</si>
  <si>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</si>
  <si>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</si>
  <si>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</si>
  <si>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</si>
  <si>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</si>
  <si>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</si>
  <si>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</si>
  <si>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</si>
  <si>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</si>
  <si>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</si>
  <si>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</si>
  <si>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</si>
  <si>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</si>
  <si>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</si>
  <si>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</si>
  <si>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</si>
  <si>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</si>
  <si>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</si>
  <si>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</si>
  <si>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</si>
  <si>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</si>
  <si>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</si>
  <si>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</si>
  <si>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</si>
  <si>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</si>
  <si>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</si>
  <si>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</si>
  <si>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</si>
  <si>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</si>
  <si>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</si>
  <si>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</si>
  <si>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</si>
  <si>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</si>
  <si>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</si>
  <si>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</si>
  <si>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</si>
  <si>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</si>
  <si>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</si>
  <si>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</si>
  <si>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</si>
  <si>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</si>
  <si>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</si>
  <si>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</si>
  <si>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</si>
  <si>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</si>
  <si>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</si>
  <si>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</si>
  <si>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</si>
  <si>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</si>
  <si>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</si>
  <si>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</si>
  <si>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</si>
  <si>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</si>
  <si>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</si>
  <si>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</si>
  <si>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</si>
  <si>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</si>
  <si>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</si>
  <si>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</si>
  <si>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</si>
  <si>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</si>
  <si>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</si>
  <si>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</si>
  <si>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</si>
  <si>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</si>
  <si>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</si>
  <si>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</si>
  <si>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</si>
  <si>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</si>
  <si>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</si>
  <si>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</si>
  <si>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</si>
  <si>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</si>
  <si>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</si>
  <si>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</si>
  <si>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</si>
  <si>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</si>
  <si>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</si>
  <si>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</si>
  <si>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</si>
  <si>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</si>
  <si>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</si>
  <si>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</si>
  <si>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</si>
  <si>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</si>
  <si>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</si>
  <si>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</si>
  <si>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</si>
  <si>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</si>
  <si>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</si>
  <si>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</si>
  <si>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</si>
  <si>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</si>
  <si>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</si>
  <si>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</si>
  <si>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</si>
  <si>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</si>
  <si>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</si>
  <si>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</si>
  <si>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</si>
  <si>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</si>
  <si>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</si>
  <si>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</si>
  <si>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</si>
  <si>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</si>
  <si>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</si>
  <si>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</si>
  <si>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</si>
  <si>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</si>
  <si>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</si>
  <si>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</si>
  <si>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</si>
  <si>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</si>
  <si>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</si>
  <si>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</si>
  <si>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</si>
  <si>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</si>
  <si>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</si>
  <si>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</si>
  <si>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</si>
  <si>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</si>
  <si>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</si>
  <si>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</si>
  <si>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</si>
  <si>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</si>
  <si>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</si>
  <si>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</si>
  <si>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</si>
  <si>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</si>
  <si>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</si>
  <si>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</si>
  <si>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</si>
  <si>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</si>
  <si>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</si>
  <si>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</si>
  <si>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</si>
  <si>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</si>
  <si>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</si>
  <si>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</si>
  <si>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</si>
  <si>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</si>
  <si>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</si>
  <si>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</si>
  <si>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</si>
  <si>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</si>
  <si>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</si>
  <si>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</si>
  <si>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</si>
  <si>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</si>
  <si>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</si>
  <si>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</si>
  <si>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</si>
  <si>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</si>
  <si>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</si>
  <si>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</si>
  <si>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</si>
  <si>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</si>
  <si>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</si>
  <si>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</si>
  <si>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</si>
  <si>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</si>
  <si>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</si>
  <si>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</si>
  <si>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</si>
  <si>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</si>
  <si>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</si>
  <si>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</si>
  <si>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</si>
  <si>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</si>
  <si>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</si>
  <si>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</si>
  <si>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</si>
  <si>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</si>
  <si>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</si>
  <si>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</si>
  <si>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</si>
  <si>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</si>
  <si>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</si>
  <si>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</si>
  <si>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</si>
  <si>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</si>
  <si>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</si>
  <si>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</si>
  <si>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</si>
  <si>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</si>
  <si>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</si>
  <si>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</si>
  <si>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</si>
  <si>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</si>
  <si>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</si>
  <si>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</si>
  <si>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</si>
  <si>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</si>
  <si>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</si>
  <si>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</si>
  <si>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</si>
  <si>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</si>
  <si>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</si>
  <si>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</si>
  <si>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</si>
  <si>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</si>
  <si>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</si>
  <si>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</si>
  <si>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</si>
  <si>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</si>
  <si>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</si>
  <si>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</si>
  <si>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</si>
  <si>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</si>
  <si>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</si>
  <si>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</si>
  <si>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</si>
  <si>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</si>
  <si>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</si>
  <si>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</si>
  <si>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</si>
  <si>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</si>
  <si>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</si>
  <si>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</si>
  <si>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</si>
  <si>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</si>
  <si>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</si>
  <si>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</si>
  <si>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</si>
  <si>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</si>
  <si>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</si>
  <si>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</si>
  <si>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</si>
  <si>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</si>
  <si>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</si>
  <si>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</si>
  <si>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</si>
  <si>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</si>
  <si>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</si>
  <si>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</si>
  <si>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</si>
  <si>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</si>
  <si>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</si>
  <si>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</si>
  <si>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</si>
  <si>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</si>
  <si>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</si>
  <si>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</si>
  <si>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</si>
  <si>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</si>
  <si>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</si>
  <si>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</si>
  <si>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</si>
  <si>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</si>
  <si>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</si>
  <si>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</si>
  <si>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</si>
  <si>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</si>
  <si>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</si>
  <si>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</si>
  <si>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</si>
  <si>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</si>
  <si>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</si>
  <si>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</si>
  <si>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</si>
  <si>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</si>
  <si>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</si>
  <si>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</si>
  <si>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</si>
  <si>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</si>
  <si>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</si>
  <si>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</si>
  <si>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</si>
  <si>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</si>
  <si>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</si>
  <si>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</si>
  <si>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</si>
  <si>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</si>
  <si>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</si>
  <si>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</si>
  <si>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</si>
  <si>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</si>
  <si>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</si>
  <si>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</si>
  <si>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</si>
  <si>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</si>
  <si>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</si>
  <si>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</si>
  <si>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</si>
  <si>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</si>
  <si>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</si>
  <si>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</si>
  <si>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</si>
  <si>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</si>
  <si>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</si>
  <si>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</si>
  <si>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</si>
  <si>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</si>
  <si>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</si>
  <si>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</si>
  <si>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</si>
  <si>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</si>
  <si>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</si>
  <si>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</si>
  <si>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</si>
  <si>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</si>
  <si>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</si>
  <si>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</si>
  <si>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</si>
  <si>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</si>
  <si>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</si>
  <si>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</si>
  <si>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</si>
  <si>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</si>
  <si>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</si>
  <si>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</si>
  <si>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</si>
  <si>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</si>
  <si>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</si>
  <si>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</si>
  <si>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</si>
  <si>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</si>
  <si>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</si>
  <si>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</si>
  <si>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</si>
  <si>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</si>
  <si>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</si>
  <si>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</si>
  <si>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</si>
  <si>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</si>
  <si>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</si>
  <si>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</si>
  <si>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</si>
  <si>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</si>
  <si>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</si>
  <si>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</si>
  <si>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</si>
  <si>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</si>
  <si>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</si>
  <si>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</si>
  <si>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</si>
  <si>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</si>
  <si>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</si>
  <si>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</si>
  <si>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</si>
  <si>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</si>
  <si>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</si>
  <si>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</si>
  <si>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</si>
  <si>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</si>
  <si>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</si>
  <si>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</si>
  <si>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</si>
  <si>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</si>
  <si>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</si>
  <si>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</si>
  <si>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</si>
  <si>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</si>
  <si>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</si>
  <si>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</si>
  <si>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</si>
  <si>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</si>
  <si>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</si>
  <si>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</si>
  <si>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</si>
  <si>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</si>
  <si>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</si>
  <si>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</si>
  <si>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</si>
  <si>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</si>
  <si>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</si>
  <si>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</si>
  <si>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</si>
  <si>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</si>
  <si>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</si>
  <si>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</si>
  <si>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</si>
  <si>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</si>
  <si>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</si>
  <si>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</si>
  <si>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</si>
  <si>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</si>
  <si>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</si>
  <si>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</si>
  <si>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</si>
  <si>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</si>
  <si>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</si>
  <si>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</si>
  <si>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</si>
  <si>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</si>
  <si>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</si>
  <si>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</si>
  <si>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</si>
  <si>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</si>
  <si>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</si>
  <si>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</si>
  <si>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</si>
  <si>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</si>
  <si>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</si>
  <si>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</si>
  <si>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</si>
  <si>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</si>
  <si>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</si>
  <si>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</si>
  <si>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</si>
  <si>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</si>
  <si>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</si>
  <si>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</si>
  <si>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</si>
  <si>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</si>
  <si>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</si>
  <si>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</si>
  <si>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</si>
  <si>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</si>
  <si>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</si>
  <si>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</si>
  <si>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</si>
  <si>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</si>
  <si>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</si>
  <si>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</si>
  <si>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</si>
  <si>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</si>
  <si>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</si>
  <si>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</si>
  <si>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</si>
  <si>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</si>
  <si>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</si>
  <si>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</si>
  <si>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</si>
  <si>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</si>
  <si>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</si>
  <si>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</si>
  <si>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</si>
  <si>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</si>
  <si>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</si>
  <si>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</si>
  <si>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</si>
  <si>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</si>
  <si>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</si>
  <si>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</si>
  <si>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</si>
  <si>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</si>
  <si>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</si>
  <si>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</si>
  <si>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</si>
  <si>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</si>
  <si>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</si>
  <si>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</si>
  <si>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</si>
  <si>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</si>
  <si>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</si>
  <si>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</si>
  <si>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</si>
  <si>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</si>
  <si>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</si>
  <si>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</si>
  <si>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</si>
  <si>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</si>
  <si>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</si>
  <si>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</si>
  <si>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</si>
  <si>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</si>
  <si>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</si>
  <si>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</si>
  <si>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</si>
  <si>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</si>
  <si>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</si>
  <si>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</si>
  <si>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</si>
  <si>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</si>
  <si>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</si>
  <si>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</si>
  <si>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</si>
  <si>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</si>
  <si>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</si>
  <si>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</si>
  <si>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</si>
  <si>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</si>
  <si>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</si>
  <si>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</si>
  <si>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</si>
  <si>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</si>
  <si>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</si>
  <si>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</si>
  <si>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</si>
  <si>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</si>
  <si>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</si>
  <si>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</si>
  <si>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</si>
  <si>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</si>
  <si>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</si>
  <si>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</si>
  <si>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</si>
  <si>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</si>
  <si>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</si>
  <si>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</si>
  <si>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</si>
  <si>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</si>
  <si>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</si>
  <si>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</si>
  <si>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</si>
  <si>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</si>
  <si>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</si>
  <si>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</si>
  <si>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</si>
  <si>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</si>
  <si>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</si>
  <si>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</si>
  <si>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</si>
  <si>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</si>
  <si>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</si>
  <si>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</si>
  <si>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</si>
  <si>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</si>
  <si>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</si>
  <si>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</si>
  <si>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</si>
  <si>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</si>
  <si>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</si>
  <si>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</si>
  <si>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</si>
  <si>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</si>
  <si>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</si>
  <si>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</si>
  <si>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</si>
  <si>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</si>
  <si>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</si>
  <si>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</si>
  <si>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</si>
  <si>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</si>
  <si>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</si>
  <si>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</si>
  <si>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</si>
  <si>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</si>
  <si>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</si>
  <si>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</si>
  <si>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</si>
  <si>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</si>
  <si>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</si>
  <si>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</si>
  <si>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</si>
  <si>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</si>
  <si>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</si>
  <si>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</si>
  <si>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</si>
  <si>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</si>
  <si>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</si>
  <si>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</si>
  <si>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</si>
  <si>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</si>
  <si>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</si>
  <si>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</si>
  <si>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</si>
  <si>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</si>
  <si>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</si>
  <si>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</si>
  <si>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</si>
  <si>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</si>
  <si>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</si>
  <si>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</si>
  <si>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</si>
  <si>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</si>
  <si>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</si>
  <si>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</si>
  <si>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</si>
  <si>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</si>
  <si>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</si>
  <si>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</si>
  <si>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</si>
  <si>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</si>
  <si>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</si>
  <si>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</si>
  <si>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</si>
  <si>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</si>
  <si>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</si>
  <si>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</si>
  <si>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</si>
  <si>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</si>
  <si>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</si>
  <si>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</si>
  <si>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</si>
  <si>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</si>
  <si>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</si>
  <si>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</si>
  <si>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</si>
  <si>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</si>
  <si>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</si>
  <si>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</si>
  <si>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</si>
  <si>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</si>
  <si>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</si>
  <si>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</si>
  <si>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</si>
  <si>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</si>
  <si>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</si>
  <si>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</si>
  <si>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</si>
  <si>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</si>
  <si>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</si>
  <si>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</si>
  <si>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</si>
  <si>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</si>
  <si>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</si>
  <si>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</si>
  <si>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</si>
  <si>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</si>
  <si>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</si>
  <si>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</si>
  <si>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</si>
  <si>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</si>
  <si>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</si>
  <si>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</si>
  <si>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</si>
  <si>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</si>
  <si>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</si>
  <si>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</si>
  <si>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</si>
  <si>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</si>
  <si>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</si>
  <si>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</si>
  <si>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</si>
  <si>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</si>
  <si>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</si>
  <si>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</si>
  <si>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</si>
  <si>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</si>
  <si>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</si>
  <si>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</si>
  <si>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</si>
  <si>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</si>
  <si>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</si>
  <si>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</si>
  <si>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</si>
  <si>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</si>
  <si>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</si>
  <si>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</si>
  <si>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</si>
  <si>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</si>
  <si>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</si>
  <si>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</si>
  <si>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</si>
  <si>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</si>
  <si>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</si>
  <si>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</si>
  <si>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</si>
  <si>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</si>
  <si>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</si>
  <si>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</si>
  <si>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</si>
  <si>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</si>
  <si>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</si>
  <si>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</si>
  <si>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</si>
  <si>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</si>
  <si>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</si>
  <si>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</si>
  <si>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</si>
  <si>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</si>
  <si>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</si>
  <si>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</si>
  <si>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</si>
  <si>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</si>
  <si>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</si>
  <si>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</si>
  <si>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</si>
  <si>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</si>
  <si>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</si>
  <si>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</si>
  <si>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</si>
  <si>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</si>
  <si>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</si>
  <si>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</si>
  <si>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</si>
  <si>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</si>
  <si>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</si>
  <si>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</si>
  <si>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</si>
  <si>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</si>
  <si>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</si>
  <si>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</si>
  <si>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</si>
  <si>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</si>
  <si>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</si>
  <si>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</si>
  <si>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</si>
  <si>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</si>
  <si>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</si>
  <si>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</si>
  <si>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</si>
  <si>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</si>
  <si>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</si>
  <si>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</si>
  <si>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</si>
  <si>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</si>
  <si>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</si>
  <si>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</si>
  <si>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</si>
  <si>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</si>
  <si>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</si>
  <si>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</si>
  <si>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</si>
  <si>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</si>
  <si>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</si>
  <si>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</si>
  <si>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</si>
  <si>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</si>
  <si>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</si>
  <si>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</si>
  <si>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</si>
  <si>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</si>
  <si>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</si>
  <si>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</si>
  <si>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</si>
  <si>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</si>
  <si>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</si>
  <si>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</si>
  <si>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</si>
  <si>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</si>
  <si>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</si>
  <si>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</si>
  <si>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</si>
  <si>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</si>
  <si>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</si>
  <si>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</si>
  <si>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</si>
  <si>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</si>
  <si>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</si>
  <si>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</si>
  <si>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</si>
  <si>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</si>
  <si>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</si>
  <si>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</si>
  <si>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</si>
  <si>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</si>
  <si>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</si>
  <si>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</si>
  <si>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</si>
  <si>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</si>
  <si>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</si>
  <si>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</si>
  <si>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</si>
  <si>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</si>
  <si>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</si>
  <si>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</si>
  <si>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</si>
  <si>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</si>
  <si>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</si>
  <si>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</si>
  <si>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</si>
  <si>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</si>
  <si>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</si>
  <si>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</si>
  <si>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</si>
  <si>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</si>
  <si>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</si>
  <si>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</si>
  <si>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</si>
  <si>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</si>
  <si>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</si>
  <si>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</si>
  <si>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</si>
  <si>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</si>
  <si>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</si>
  <si>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</si>
  <si>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</si>
  <si>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</si>
  <si>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</si>
  <si>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</si>
  <si>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</si>
  <si>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</si>
  <si>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</si>
  <si>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</si>
  <si>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</si>
  <si>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</si>
  <si>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</si>
  <si>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</si>
  <si>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</si>
  <si>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</si>
  <si>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</si>
  <si>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</si>
  <si>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</si>
  <si>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</si>
  <si>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</si>
  <si>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</si>
  <si>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</si>
  <si>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</si>
  <si>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</si>
  <si>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</si>
  <si>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</si>
  <si>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</si>
  <si>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</si>
  <si>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</si>
  <si>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</si>
  <si>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</si>
  <si>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</si>
  <si>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</si>
  <si>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</si>
  <si>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</si>
  <si>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</si>
  <si>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</si>
  <si>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</si>
  <si>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</si>
  <si>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</si>
  <si>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</si>
  <si>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</si>
  <si>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</si>
  <si>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</si>
  <si>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</si>
  <si>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</si>
  <si>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</si>
  <si>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</si>
  <si>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</si>
  <si>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</si>
  <si>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</si>
  <si>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</si>
  <si>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</si>
  <si>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</si>
  <si>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</si>
  <si>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</si>
  <si>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</si>
  <si>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</si>
  <si>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</si>
  <si>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</si>
  <si>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</si>
  <si>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</si>
  <si>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</si>
  <si>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</si>
  <si>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</si>
  <si>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</si>
  <si>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</si>
  <si>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</si>
  <si>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</si>
  <si>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</si>
  <si>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</si>
  <si>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</si>
  <si>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</si>
  <si>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</si>
  <si>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</si>
  <si>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</si>
  <si>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</si>
  <si>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</si>
  <si>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</si>
  <si>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</si>
  <si>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</si>
  <si>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</si>
  <si>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</si>
  <si>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</si>
  <si>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</si>
  <si>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</si>
  <si>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</si>
  <si>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</si>
  <si>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</si>
  <si>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</si>
  <si>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</si>
  <si>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</si>
  <si>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</si>
  <si>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</si>
  <si>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</si>
  <si>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</si>
  <si>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</si>
  <si>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</si>
  <si>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</si>
  <si>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</si>
  <si>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</si>
  <si>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</si>
  <si>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</si>
  <si>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</si>
  <si>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</si>
  <si>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</si>
  <si>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</si>
  <si>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</si>
  <si>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</si>
  <si>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</si>
  <si>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</si>
  <si>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</si>
  <si>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</si>
  <si>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</si>
  <si>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</si>
  <si>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</si>
  <si>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</si>
  <si>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</si>
  <si>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</si>
  <si>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</si>
  <si>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</si>
  <si>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</si>
  <si>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</si>
  <si>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</si>
  <si>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</si>
  <si>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</si>
  <si>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</si>
  <si>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</si>
  <si>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</si>
  <si>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</si>
  <si>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</si>
  <si>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</si>
  <si>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</si>
  <si>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</si>
  <si>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</si>
  <si>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</si>
  <si>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</si>
  <si>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</si>
  <si>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</si>
  <si>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</si>
  <si>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</si>
  <si>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</si>
  <si>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</si>
  <si>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</si>
  <si>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</si>
  <si>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</si>
  <si>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</si>
  <si>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</si>
  <si>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</si>
  <si>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</si>
  <si>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</si>
  <si>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</si>
  <si>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</si>
  <si>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</si>
  <si>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</si>
  <si>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</si>
  <si>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</si>
  <si>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</si>
  <si>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</si>
  <si>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</si>
  <si>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</si>
  <si>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</si>
  <si>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</si>
  <si>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</si>
  <si>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</si>
  <si>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</si>
  <si>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</si>
  <si>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</si>
  <si>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</si>
  <si>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</si>
  <si>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</si>
  <si>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</si>
  <si>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</si>
  <si>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</si>
  <si>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</si>
  <si>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</si>
  <si>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</si>
  <si>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</si>
  <si>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</si>
  <si>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</si>
  <si>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</si>
  <si>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</si>
  <si>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</si>
  <si>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</si>
  <si>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</si>
  <si>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</si>
  <si>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</si>
  <si>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</si>
  <si>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</si>
  <si>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</si>
  <si>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</si>
  <si>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</si>
  <si>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</si>
  <si>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</si>
  <si>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</si>
  <si>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</si>
  <si>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</si>
  <si>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</si>
  <si>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</si>
  <si>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</si>
  <si>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</si>
  <si>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</si>
  <si>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</si>
  <si>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</si>
  <si>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</si>
  <si>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</si>
  <si>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</si>
  <si>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</si>
  <si>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</si>
  <si>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</si>
  <si>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</si>
  <si>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</si>
  <si>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</si>
  <si>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</si>
  <si>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</si>
  <si>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</si>
  <si>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</si>
  <si>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</si>
  <si>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</si>
  <si>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</si>
  <si>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</si>
  <si>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</si>
  <si>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</si>
  <si>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</si>
  <si>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</si>
  <si>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</si>
  <si>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</si>
  <si>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</si>
  <si>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</si>
  <si>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</si>
  <si>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</si>
  <si>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</si>
  <si>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</si>
  <si>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</si>
  <si>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</si>
  <si>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</si>
  <si>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</si>
  <si>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</si>
  <si>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</si>
  <si>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</si>
  <si>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</si>
  <si>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</si>
  <si>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</si>
  <si>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</si>
  <si>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</si>
  <si>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</si>
  <si>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</si>
  <si>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</si>
  <si>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</si>
  <si>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</si>
  <si>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</si>
  <si>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</si>
  <si>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</si>
  <si>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</si>
  <si>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</si>
  <si>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</si>
  <si>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</si>
  <si>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</si>
  <si>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</si>
  <si>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</si>
  <si>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</si>
  <si>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</si>
  <si>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</si>
  <si>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</si>
  <si>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</si>
  <si>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</si>
  <si>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</si>
  <si>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</si>
  <si>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</si>
  <si>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</si>
  <si>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</si>
  <si>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</si>
  <si>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</si>
  <si>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</si>
  <si>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</si>
  <si>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</si>
  <si>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</si>
  <si>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</si>
  <si>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</si>
  <si>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</si>
  <si>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</si>
  <si>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</si>
  <si>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</si>
  <si>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</si>
  <si>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</si>
  <si>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</si>
  <si>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</si>
  <si>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</si>
  <si>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</si>
  <si>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</si>
  <si>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</si>
  <si>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</si>
  <si>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</si>
  <si>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</si>
  <si>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</si>
  <si>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</si>
  <si>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</si>
  <si>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</si>
  <si>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</si>
  <si>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</si>
  <si>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</si>
  <si>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</si>
  <si>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</si>
  <si>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</si>
  <si>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</si>
  <si>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</si>
  <si>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</si>
  <si>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</si>
  <si>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</si>
  <si>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</si>
  <si>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</si>
  <si>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</si>
  <si>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</si>
  <si>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</si>
  <si>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</si>
  <si>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</si>
  <si>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</si>
  <si>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</si>
  <si>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</si>
  <si>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</si>
  <si>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</si>
  <si>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</si>
  <si>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</si>
  <si>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</si>
  <si>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</si>
  <si>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</si>
  <si>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</si>
  <si>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</si>
  <si>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</si>
  <si>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</si>
  <si>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</si>
  <si>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</si>
  <si>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</si>
  <si>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</si>
  <si>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</si>
  <si>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</si>
  <si>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</si>
  <si>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</si>
  <si>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</si>
  <si>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</si>
  <si>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</si>
  <si>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</si>
  <si>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</si>
  <si>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</si>
  <si>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</si>
  <si>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</si>
  <si>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</si>
  <si>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</si>
  <si>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</si>
  <si>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</si>
  <si>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</si>
  <si>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</si>
  <si>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</si>
  <si>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</si>
  <si>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</si>
  <si>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</si>
  <si>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</si>
  <si>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</si>
  <si>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</si>
  <si>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</si>
  <si>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</si>
  <si>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</si>
  <si>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</si>
  <si>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</si>
  <si>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</si>
  <si>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</si>
  <si>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</si>
  <si>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</si>
  <si>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</si>
  <si>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</si>
  <si>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</si>
  <si>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</si>
  <si>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</si>
  <si>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</si>
  <si>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</si>
  <si>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</si>
  <si>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</si>
  <si>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</si>
  <si>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</si>
  <si>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</si>
  <si>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</si>
  <si>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</si>
  <si>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</si>
  <si>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</si>
  <si>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</si>
  <si>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</si>
  <si>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</si>
  <si>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</si>
  <si>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</si>
  <si>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</si>
  <si>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</si>
  <si>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</si>
  <si>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</si>
  <si>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</si>
  <si>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</si>
  <si>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</si>
  <si>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</si>
  <si>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</si>
  <si>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</si>
  <si>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</si>
  <si>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</si>
  <si>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</si>
  <si>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</si>
  <si>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</si>
  <si>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</si>
  <si>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</si>
  <si>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</si>
  <si>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</si>
  <si>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</si>
  <si>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</si>
  <si>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</si>
  <si>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</si>
  <si>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</si>
  <si>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</si>
  <si>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</si>
  <si>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</si>
  <si>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</si>
  <si>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</si>
  <si>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</si>
  <si>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</si>
  <si>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</si>
  <si>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</si>
  <si>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</si>
  <si>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</si>
  <si>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</si>
  <si>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</si>
  <si>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</si>
  <si>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</si>
  <si>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</si>
  <si>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</si>
  <si>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</si>
  <si>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</si>
  <si>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</si>
  <si>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</si>
  <si>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</si>
  <si>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</si>
  <si>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</si>
  <si>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</si>
  <si>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</si>
  <si>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</si>
  <si>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</si>
  <si>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</si>
  <si>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</si>
  <si>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</si>
  <si>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</si>
  <si>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</si>
  <si>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</si>
  <si>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</si>
  <si>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</si>
  <si>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</si>
  <si>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</si>
  <si>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</si>
  <si>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</si>
  <si>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</si>
  <si>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</si>
  <si>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</si>
  <si>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</si>
  <si>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</si>
  <si>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</si>
  <si>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</si>
  <si>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</si>
  <si>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</si>
  <si>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</si>
  <si>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</si>
  <si>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</si>
  <si>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</si>
  <si>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</si>
  <si>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</si>
  <si>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</si>
  <si>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</si>
  <si>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</si>
  <si>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</si>
  <si>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</si>
  <si>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</si>
  <si>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</si>
  <si>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</si>
  <si>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</si>
  <si>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</si>
  <si>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</si>
  <si>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</si>
  <si>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</si>
  <si>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</si>
  <si>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</si>
  <si>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</si>
  <si>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</si>
  <si>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</si>
  <si>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</si>
  <si>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</si>
  <si>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</si>
  <si>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</si>
  <si>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</si>
  <si>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</si>
  <si>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</si>
  <si>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</si>
  <si>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</si>
  <si>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</si>
  <si>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</si>
  <si>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</si>
  <si>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</si>
  <si>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</si>
  <si>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</si>
  <si>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</si>
  <si>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</si>
  <si>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</si>
  <si>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</si>
  <si>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</si>
  <si>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</si>
  <si>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</si>
  <si>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</si>
  <si>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</si>
  <si>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</si>
  <si>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</si>
  <si>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</si>
  <si>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</si>
  <si>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</si>
  <si>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</si>
  <si>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</si>
  <si>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</si>
  <si>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</si>
  <si>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</si>
  <si>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</si>
  <si>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</si>
  <si>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</si>
  <si>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</si>
  <si>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</si>
  <si>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</si>
  <si>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</si>
  <si>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</si>
  <si>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</si>
  <si>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</si>
  <si>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</si>
  <si>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</si>
  <si>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</si>
  <si>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</si>
  <si>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</si>
  <si>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</si>
  <si>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</si>
  <si>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</si>
  <si>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</si>
  <si>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</si>
  <si>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</si>
  <si>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</si>
  <si>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</si>
  <si>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</si>
  <si>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</si>
  <si>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</si>
  <si>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</si>
  <si>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</si>
  <si>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</si>
  <si>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</si>
  <si>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</si>
  <si>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</si>
  <si>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</si>
  <si>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</si>
  <si>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</si>
  <si>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</si>
  <si>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</si>
  <si>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</si>
  <si>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</si>
  <si>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</si>
  <si>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</si>
  <si>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</si>
  <si>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</si>
  <si>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</si>
  <si>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</si>
  <si>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</si>
  <si>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</si>
  <si>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</si>
  <si>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</si>
  <si>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</si>
  <si>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</si>
  <si>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</si>
  <si>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</si>
  <si>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</si>
  <si>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</si>
  <si>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</si>
  <si>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</si>
  <si>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</si>
  <si>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</si>
  <si>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</si>
  <si>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</si>
  <si>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</si>
  <si>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</si>
  <si>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</si>
  <si>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</si>
  <si>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</si>
  <si>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</si>
  <si>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</si>
  <si>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</si>
  <si>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</si>
  <si>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</si>
  <si>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</si>
  <si>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</si>
  <si>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</si>
  <si>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</si>
  <si>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</si>
  <si>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</si>
  <si>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</si>
  <si>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</si>
  <si>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</si>
  <si>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</si>
  <si>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</si>
  <si>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</si>
  <si>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</si>
  <si>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</si>
  <si>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</si>
  <si>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</si>
  <si>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</si>
  <si>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</si>
  <si>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</si>
  <si>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</si>
  <si>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</si>
  <si>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</si>
  <si>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</si>
  <si>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</si>
  <si>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</si>
  <si>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</si>
  <si>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</si>
  <si>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</si>
  <si>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</si>
  <si>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</si>
  <si>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</si>
  <si>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</si>
  <si>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</si>
  <si>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</si>
  <si>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</si>
  <si>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</si>
  <si>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</si>
  <si>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</si>
  <si>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</si>
  <si>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</si>
  <si>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</si>
  <si>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</si>
  <si>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</si>
  <si>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</si>
  <si>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</si>
  <si>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</si>
  <si>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</si>
  <si>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</si>
  <si>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</si>
  <si>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</si>
  <si>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</si>
  <si>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</si>
  <si>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</si>
  <si>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</si>
  <si>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</si>
  <si>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</si>
  <si>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</si>
  <si>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</si>
  <si>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</si>
  <si>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</si>
  <si>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</si>
  <si>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</si>
  <si>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</si>
  <si>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</si>
  <si>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</si>
  <si>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</si>
  <si>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</si>
  <si>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</si>
  <si>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</si>
  <si>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</si>
  <si>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</si>
  <si>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</si>
  <si>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</si>
  <si>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</si>
  <si>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</si>
  <si>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</si>
  <si>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</si>
  <si>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</si>
  <si>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</si>
  <si>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</si>
  <si>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</si>
  <si>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</si>
  <si>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</si>
  <si>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</si>
  <si>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</si>
  <si>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</si>
  <si>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</si>
  <si>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</si>
  <si>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</si>
  <si>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</si>
  <si>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</si>
  <si>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</si>
  <si>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</si>
  <si>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</si>
  <si>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</si>
  <si>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</si>
  <si>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</si>
  <si>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</si>
  <si>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</si>
  <si>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</si>
  <si>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</si>
  <si>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</si>
  <si>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</si>
  <si>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</si>
  <si>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</si>
  <si>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</si>
  <si>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</si>
  <si>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</si>
  <si>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</si>
  <si>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</si>
  <si>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</si>
  <si>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</si>
  <si>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</si>
  <si>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</si>
  <si>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</si>
  <si>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</si>
  <si>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</si>
  <si>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</si>
  <si>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</si>
  <si>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</si>
  <si>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</si>
  <si>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</si>
  <si>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</si>
  <si>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</si>
  <si>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</si>
  <si>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</si>
  <si>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</si>
  <si>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</si>
  <si>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</si>
  <si>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</si>
  <si>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</si>
  <si>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</si>
  <si>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</si>
  <si>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</si>
  <si>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</si>
  <si>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</si>
  <si>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</si>
  <si>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</si>
  <si>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</si>
  <si>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</si>
  <si>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</si>
  <si>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</si>
  <si>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</si>
  <si>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</si>
  <si>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</si>
  <si>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</si>
  <si>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</si>
  <si>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</si>
  <si>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</si>
  <si>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</si>
  <si>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</si>
  <si>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</si>
  <si>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</si>
  <si>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</si>
  <si>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</si>
  <si>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</si>
  <si>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</si>
  <si>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</si>
  <si>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</si>
  <si>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</si>
  <si>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</si>
  <si>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</si>
  <si>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</si>
  <si>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</si>
  <si>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</si>
  <si>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</si>
  <si>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</si>
  <si>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</si>
  <si>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</si>
  <si>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</si>
  <si>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</si>
  <si>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</si>
  <si>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</si>
  <si>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</si>
  <si>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</si>
  <si>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</si>
  <si>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</si>
  <si>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</si>
  <si>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</si>
  <si>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</si>
  <si>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</si>
  <si>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</si>
  <si>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</si>
  <si>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</si>
  <si>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</si>
  <si>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</si>
  <si>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</si>
  <si>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</si>
  <si>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</si>
  <si>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</si>
  <si>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</si>
  <si>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</si>
  <si>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</si>
  <si>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</si>
  <si>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</si>
  <si>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</si>
  <si>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</si>
  <si>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</si>
  <si>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</si>
  <si>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</si>
  <si>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</si>
  <si>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</si>
  <si>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</si>
  <si>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</si>
  <si>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</si>
  <si>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</si>
  <si>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</si>
  <si>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</si>
  <si>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</si>
  <si>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</si>
  <si>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</si>
  <si>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</si>
  <si>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</si>
  <si>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</si>
  <si>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</si>
  <si>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</si>
  <si>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</si>
  <si>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</si>
  <si>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</si>
  <si>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</si>
  <si>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</si>
  <si>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</si>
  <si>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</si>
  <si>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</si>
  <si>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</si>
  <si>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</si>
  <si>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</si>
  <si>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</si>
  <si>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</si>
  <si>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</si>
  <si>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</si>
  <si>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</si>
  <si>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</si>
  <si>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</si>
  <si>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</si>
  <si>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</si>
  <si>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</si>
  <si>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</si>
  <si>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</si>
  <si>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</si>
  <si>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</si>
  <si>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</si>
  <si>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</si>
  <si>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</si>
  <si>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</si>
  <si>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</si>
  <si>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</si>
  <si>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</si>
  <si>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</si>
  <si>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</si>
  <si>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</si>
  <si>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</si>
  <si>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</si>
  <si>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</si>
  <si>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</si>
  <si>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</si>
  <si>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</si>
  <si>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</si>
  <si>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</si>
  <si>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</si>
  <si>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</si>
  <si>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</si>
  <si>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</si>
  <si>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</si>
  <si>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</si>
  <si>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</si>
  <si>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</si>
  <si>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</si>
  <si>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</si>
  <si>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</si>
  <si>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</si>
  <si>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</si>
  <si>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</si>
  <si>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</si>
  <si>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</si>
  <si>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</si>
  <si>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</si>
  <si>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</si>
  <si>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</si>
  <si>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</si>
  <si>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</si>
  <si>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</si>
  <si>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</si>
  <si>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</si>
  <si>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</si>
  <si>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</si>
  <si>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</si>
  <si>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</si>
  <si>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</si>
  <si>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</si>
  <si>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</si>
  <si>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</si>
  <si>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</si>
  <si>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</si>
  <si>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</si>
  <si>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</si>
  <si>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</si>
  <si>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</si>
  <si>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</si>
  <si>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</si>
  <si>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</si>
  <si>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</si>
  <si>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</si>
  <si>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</si>
  <si>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</si>
  <si>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</si>
  <si>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</si>
  <si>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</si>
  <si>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</si>
  <si>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</si>
  <si>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</si>
  <si>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</si>
  <si>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</si>
  <si>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</si>
  <si>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</si>
  <si>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</si>
  <si>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</si>
  <si>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</si>
  <si>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</si>
  <si>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</si>
  <si>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</si>
  <si>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</si>
  <si>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</si>
  <si>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</si>
  <si>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</si>
  <si>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</si>
  <si>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</si>
  <si>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</si>
  <si>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</si>
  <si>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</si>
  <si>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</si>
  <si>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</si>
  <si>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</si>
  <si>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</si>
  <si>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</si>
  <si>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</si>
  <si>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</si>
  <si>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</si>
  <si>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</si>
  <si>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</si>
  <si>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</si>
  <si>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</si>
  <si>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</si>
  <si>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</si>
  <si>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</si>
  <si>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</si>
  <si>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</si>
  <si>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</si>
  <si>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</si>
  <si>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</si>
  <si>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</si>
  <si>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</si>
  <si>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</si>
  <si>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</si>
  <si>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</si>
  <si>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</si>
  <si>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</si>
  <si>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</si>
  <si>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</si>
  <si>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</si>
  <si>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</si>
  <si>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</si>
  <si>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</si>
  <si>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</si>
  <si>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</si>
  <si>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</si>
  <si>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</si>
  <si>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</si>
  <si>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</si>
  <si>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</si>
  <si>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</si>
  <si>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</si>
  <si>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</si>
  <si>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</si>
  <si>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</si>
  <si>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</si>
  <si>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</si>
  <si>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</si>
  <si>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</si>
  <si>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</si>
  <si>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</si>
  <si>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</si>
  <si>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</si>
  <si>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</si>
  <si>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</si>
  <si>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</si>
  <si>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</si>
  <si>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</si>
  <si>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</si>
  <si>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</si>
  <si>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</si>
  <si>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</si>
  <si>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</si>
  <si>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</si>
  <si>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</si>
  <si>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</si>
  <si>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</si>
  <si>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</si>
  <si>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</si>
  <si>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</si>
  <si>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</si>
  <si>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</si>
  <si>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</si>
  <si>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</si>
  <si>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</si>
  <si>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</si>
  <si>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</si>
  <si>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</si>
  <si>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</si>
  <si>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</si>
  <si>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</si>
  <si>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</si>
  <si>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</si>
  <si>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</si>
  <si>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</si>
  <si>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</si>
  <si>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</si>
  <si>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</si>
  <si>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</si>
  <si>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</si>
  <si>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</si>
  <si>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</si>
  <si>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</si>
  <si>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</si>
  <si>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</si>
  <si>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</si>
  <si>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</si>
  <si>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</si>
  <si>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</si>
  <si>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</si>
  <si>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</si>
  <si>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</si>
  <si>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</si>
  <si>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</si>
  <si>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</si>
  <si>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</si>
  <si>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</si>
  <si>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</si>
  <si>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</si>
  <si>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</si>
  <si>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</si>
  <si>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</si>
  <si>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</si>
  <si>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</si>
  <si>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</si>
  <si>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</si>
  <si>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</si>
  <si>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</si>
  <si>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</si>
  <si>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</si>
  <si>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</si>
  <si>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</si>
  <si>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</si>
  <si>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</si>
  <si>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</si>
  <si>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</si>
  <si>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</si>
  <si>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</si>
  <si>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</si>
  <si>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</si>
  <si>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</si>
  <si>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</si>
  <si>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</si>
  <si>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</si>
  <si>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</si>
  <si>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</si>
  <si>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</si>
  <si>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</si>
  <si>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</si>
  <si>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</si>
  <si>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</si>
  <si>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</si>
  <si>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</si>
  <si>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</si>
  <si>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</si>
  <si>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</si>
  <si>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</si>
  <si>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</si>
  <si>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</si>
  <si>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</si>
  <si>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</si>
  <si>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</si>
  <si>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</si>
  <si>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</si>
  <si>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</si>
  <si>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</si>
  <si>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</si>
  <si>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</si>
  <si>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</si>
  <si>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</si>
  <si>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</si>
  <si>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</si>
  <si>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</si>
  <si>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</si>
  <si>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</si>
  <si>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</si>
  <si>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</si>
  <si>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</si>
  <si>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</si>
  <si>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</si>
  <si>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</si>
  <si>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</si>
  <si>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</si>
  <si>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</si>
  <si>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</si>
  <si>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</si>
  <si>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</si>
  <si>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</si>
  <si>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</si>
  <si>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</si>
  <si>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</si>
  <si>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</si>
  <si>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</si>
  <si>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</si>
  <si>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</si>
  <si>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</si>
  <si>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</si>
  <si>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</si>
  <si>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</si>
  <si>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</si>
  <si>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</si>
  <si>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</si>
  <si>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</si>
  <si>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</si>
  <si>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</si>
  <si>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</si>
  <si>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</si>
  <si>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</si>
  <si>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</si>
  <si>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</si>
  <si>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</si>
  <si>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</si>
  <si>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</si>
  <si>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</si>
  <si>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</si>
  <si>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</si>
  <si>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</si>
  <si>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</si>
  <si>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</si>
  <si>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</si>
  <si>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</si>
  <si>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</si>
  <si>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</si>
  <si>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</si>
  <si>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</si>
  <si>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</si>
  <si>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</si>
  <si>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</si>
  <si>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</si>
  <si>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</si>
  <si>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</si>
  <si>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</si>
  <si>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</si>
  <si>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</si>
  <si>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</si>
  <si>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</si>
  <si>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</si>
  <si>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</si>
  <si>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</si>
  <si>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</si>
  <si>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</si>
  <si>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</si>
  <si>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</si>
  <si>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</si>
  <si>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</si>
  <si>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</si>
  <si>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</si>
  <si>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</si>
  <si>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</si>
  <si>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</si>
  <si>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</si>
  <si>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</si>
  <si>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</si>
  <si>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</si>
  <si>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</si>
  <si>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</si>
  <si>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</si>
  <si>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</si>
  <si>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</si>
  <si>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</si>
  <si>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</si>
  <si>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</si>
  <si>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</si>
  <si>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</si>
  <si>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</si>
  <si>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</si>
  <si>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</si>
  <si>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</si>
  <si>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</si>
  <si>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</si>
  <si>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</si>
  <si>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</si>
  <si>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</si>
  <si>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</si>
  <si>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</si>
  <si>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</si>
  <si>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</si>
  <si>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</si>
  <si>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</si>
  <si>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</si>
  <si>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</si>
  <si>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</si>
  <si>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</si>
  <si>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</si>
  <si>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</si>
  <si>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</si>
  <si>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</si>
  <si>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</si>
  <si>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</si>
  <si>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</si>
  <si>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</si>
  <si>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</si>
  <si>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</si>
  <si>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</si>
  <si>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</si>
  <si>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</si>
  <si>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</si>
  <si>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</si>
  <si>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</si>
  <si>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</si>
  <si>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</si>
  <si>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</si>
  <si>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</si>
  <si>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</si>
  <si>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</si>
  <si>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</si>
  <si>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</si>
  <si>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</si>
  <si>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</si>
  <si>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</si>
  <si>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</si>
  <si>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</si>
  <si>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</si>
  <si>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</si>
  <si>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</si>
  <si>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</si>
  <si>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</si>
  <si>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</si>
  <si>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</si>
  <si>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</si>
  <si>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</si>
  <si>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</si>
  <si>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</si>
  <si>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</si>
  <si>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</si>
  <si>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</si>
  <si>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</si>
  <si>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</si>
  <si>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</si>
  <si>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</si>
  <si>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</si>
  <si>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</si>
  <si>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</si>
  <si>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</si>
  <si>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</si>
  <si>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</si>
  <si>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</si>
  <si>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</si>
  <si>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</si>
  <si>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</si>
  <si>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</si>
  <si>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</si>
  <si>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</si>
  <si>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</si>
  <si>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</si>
  <si>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</si>
  <si>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</si>
  <si>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</si>
  <si>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</si>
  <si>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</si>
  <si>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</si>
  <si>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</si>
  <si>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</si>
  <si>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</si>
  <si>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</si>
  <si>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</si>
  <si>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</si>
  <si>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</si>
  <si>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</si>
  <si>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</si>
  <si>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</si>
  <si>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</si>
  <si>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</si>
  <si>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</si>
  <si>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</si>
  <si>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</si>
  <si>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</si>
  <si>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</si>
  <si>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</si>
  <si>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</si>
  <si>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</si>
  <si>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</si>
  <si>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</si>
  <si>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</si>
  <si>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</si>
  <si>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</si>
  <si>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</si>
  <si>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</si>
  <si>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</si>
  <si>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</si>
  <si>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</si>
  <si>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</si>
  <si>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</si>
  <si>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</si>
  <si>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</si>
  <si>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</si>
  <si>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</si>
  <si>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</si>
  <si>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</si>
  <si>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</si>
  <si>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</si>
  <si>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</si>
  <si>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</si>
  <si>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</si>
  <si>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</si>
  <si>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</si>
  <si>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</si>
  <si>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</si>
  <si>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</si>
  <si>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</si>
  <si>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</si>
  <si>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</si>
  <si>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</si>
  <si>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</si>
  <si>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</si>
  <si>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</si>
  <si>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</si>
  <si>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</si>
  <si>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</si>
  <si>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</si>
  <si>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</si>
  <si>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</si>
  <si>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</si>
  <si>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</si>
  <si>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</si>
  <si>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</si>
  <si>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</si>
  <si>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</si>
  <si>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</si>
  <si>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</si>
  <si>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</si>
  <si>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</si>
  <si>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</si>
  <si>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</si>
  <si>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</si>
  <si>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</si>
  <si>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</si>
  <si>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</si>
  <si>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</si>
  <si>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</si>
  <si>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</si>
  <si>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</si>
  <si>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</si>
  <si>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</si>
  <si>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</si>
  <si>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</si>
  <si>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</si>
  <si>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</si>
  <si>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</si>
  <si>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</si>
  <si>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</si>
  <si>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</si>
  <si>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</si>
  <si>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</si>
  <si>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</si>
  <si>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</si>
  <si>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</si>
  <si>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</si>
  <si>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</si>
  <si>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</si>
  <si>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</si>
  <si>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</si>
  <si>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</si>
  <si>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</si>
  <si>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</si>
  <si>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</si>
  <si>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</si>
  <si>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</si>
  <si>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</si>
  <si>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</si>
  <si>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</si>
  <si>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</si>
  <si>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</si>
  <si>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</si>
  <si>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</si>
  <si>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</si>
  <si>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</si>
  <si>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</si>
  <si>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</si>
  <si>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</si>
  <si>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</si>
  <si>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</si>
  <si>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</si>
  <si>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</si>
  <si>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</si>
  <si>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</si>
  <si>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</si>
  <si>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</si>
  <si>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</si>
  <si>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</si>
  <si>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</si>
  <si>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</si>
  <si>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</si>
  <si>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</si>
  <si>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</si>
  <si>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</si>
  <si>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</si>
  <si>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</si>
  <si>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</si>
  <si>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</si>
  <si>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</si>
  <si>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</si>
  <si>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</si>
  <si>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</si>
  <si>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</si>
  <si>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</si>
  <si>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</si>
  <si>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</si>
  <si>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</si>
  <si>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</si>
  <si>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</si>
  <si>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</si>
  <si>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</si>
  <si>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</si>
  <si>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</si>
  <si>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</si>
  <si>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</si>
  <si>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</si>
  <si>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</si>
  <si>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</si>
  <si>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</si>
  <si>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</si>
  <si>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</si>
  <si>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</si>
  <si>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</si>
  <si>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</si>
  <si>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</si>
  <si>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</si>
  <si>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</si>
  <si>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</si>
  <si>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</si>
  <si>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</si>
  <si>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</si>
  <si>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</si>
  <si>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</si>
  <si>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</si>
  <si>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</si>
  <si>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</si>
  <si>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</si>
  <si>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</si>
  <si>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</si>
  <si>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</si>
  <si>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</si>
  <si>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</si>
  <si>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</si>
  <si>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</si>
  <si>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</si>
  <si>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</si>
  <si>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</si>
  <si>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</si>
  <si>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</si>
  <si>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</si>
  <si>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</si>
  <si>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</si>
  <si>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</si>
  <si>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</si>
  <si>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</si>
  <si>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</si>
  <si>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</si>
  <si>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</si>
  <si>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</si>
  <si>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</si>
  <si>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</si>
  <si>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</si>
  <si>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</si>
  <si>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</si>
  <si>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</si>
  <si>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</si>
  <si>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</si>
  <si>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</si>
  <si>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</si>
  <si>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</si>
  <si>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</si>
  <si>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</si>
  <si>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</si>
  <si>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</si>
  <si>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</si>
  <si>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</si>
  <si>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</si>
  <si>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</si>
  <si>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</si>
  <si>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</si>
  <si>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</si>
  <si>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</si>
  <si>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</si>
  <si>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</si>
  <si>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</si>
  <si>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</si>
  <si>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</si>
  <si>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</si>
  <si>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</si>
  <si>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</si>
  <si>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</si>
  <si>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</si>
  <si>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</si>
  <si>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</si>
  <si>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</si>
  <si>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</si>
  <si>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</si>
  <si>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</si>
  <si>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</si>
  <si>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</si>
  <si>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</si>
  <si>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</si>
  <si>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</si>
  <si>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</si>
  <si>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</si>
  <si>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</si>
  <si>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</si>
  <si>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</si>
  <si>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</si>
  <si>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</si>
  <si>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</si>
  <si>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</si>
  <si>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</si>
  <si>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</si>
  <si>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</si>
  <si>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</si>
  <si>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</si>
  <si>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</si>
  <si>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</si>
  <si>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</si>
  <si>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</si>
  <si>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</si>
  <si>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</si>
  <si>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</si>
  <si>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</si>
  <si>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</si>
  <si>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</si>
  <si>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</si>
  <si>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</si>
  <si>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</si>
  <si>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</si>
  <si>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</si>
  <si>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</si>
  <si>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</si>
  <si>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</si>
  <si>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</si>
  <si>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</si>
  <si>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</si>
  <si>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</si>
  <si>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</si>
  <si>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</si>
  <si>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</si>
  <si>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</si>
  <si>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</si>
  <si>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</si>
  <si>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</si>
  <si>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</si>
  <si>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</si>
  <si>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</si>
  <si>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</si>
  <si>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</si>
  <si>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</si>
  <si>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</si>
  <si>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</si>
  <si>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</si>
  <si>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</si>
  <si>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</si>
  <si>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</si>
  <si>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</si>
  <si>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</si>
  <si>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</si>
  <si>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</si>
  <si>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</si>
  <si>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</si>
  <si>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</si>
  <si>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</si>
  <si>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</si>
  <si>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</si>
  <si>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</si>
  <si>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</si>
  <si>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</si>
  <si>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</si>
  <si>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</si>
  <si>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</si>
  <si>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</si>
  <si>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</si>
  <si>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</si>
  <si>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</si>
  <si>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</si>
  <si>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</si>
  <si>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</si>
  <si>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</si>
  <si>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</si>
  <si>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</si>
  <si>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</si>
  <si>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</si>
  <si>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</si>
  <si>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</si>
  <si>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</si>
  <si>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</si>
  <si>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</si>
  <si>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</si>
  <si>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</si>
  <si>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</si>
  <si>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</si>
  <si>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</si>
  <si>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</si>
  <si>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</si>
  <si>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</si>
  <si>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</si>
  <si>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</si>
  <si>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</si>
  <si>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</si>
  <si>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</si>
  <si>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</si>
  <si>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</si>
  <si>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</si>
  <si>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</si>
  <si>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</si>
  <si>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</si>
  <si>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</si>
  <si>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</si>
  <si>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</si>
  <si>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</si>
  <si>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</si>
  <si>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</si>
  <si>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</si>
  <si>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</si>
  <si>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</si>
  <si>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</si>
  <si>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</si>
  <si>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</si>
  <si>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</si>
  <si>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</si>
  <si>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</si>
  <si>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</si>
  <si>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</si>
  <si>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</si>
  <si>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</si>
  <si>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</si>
  <si>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</si>
  <si>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</si>
  <si>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</si>
  <si>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</si>
  <si>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</si>
  <si>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</si>
  <si>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</si>
  <si>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</si>
  <si>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</si>
  <si>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</si>
  <si>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</si>
  <si>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</si>
  <si>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</si>
  <si>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</si>
  <si>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</si>
  <si>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</si>
  <si>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</si>
  <si>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</si>
  <si>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</si>
  <si>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</si>
  <si>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</si>
  <si>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</si>
  <si>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</si>
  <si>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</si>
  <si>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</si>
  <si>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</si>
  <si>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</si>
  <si>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</si>
  <si>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</si>
  <si>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</si>
  <si>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</si>
  <si>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</si>
  <si>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</si>
  <si>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</si>
  <si>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</si>
  <si>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</si>
  <si>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</si>
  <si>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</si>
  <si>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</si>
  <si>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</si>
  <si>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</si>
  <si>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</si>
  <si>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</si>
  <si>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</si>
  <si>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</si>
  <si>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</si>
  <si>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</si>
  <si>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</si>
  <si>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</si>
  <si>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</si>
  <si>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</si>
  <si>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</si>
  <si>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</si>
  <si>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</si>
  <si>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</si>
  <si>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</si>
  <si>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</si>
  <si>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</si>
  <si>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</si>
  <si>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</si>
  <si>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</si>
  <si>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</si>
  <si>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</si>
  <si>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</si>
  <si>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</si>
  <si>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</si>
  <si>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</si>
  <si>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</si>
  <si>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</si>
  <si>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</si>
  <si>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</si>
  <si>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</si>
  <si>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</si>
  <si>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</si>
  <si>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</si>
  <si>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</si>
  <si>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</si>
  <si>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</si>
  <si>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</si>
  <si>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</si>
  <si>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</si>
  <si>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</si>
  <si>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</si>
  <si>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</si>
  <si>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</si>
  <si>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</si>
  <si>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</si>
  <si>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</si>
  <si>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</si>
  <si>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</si>
  <si>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</si>
  <si>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</si>
  <si>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</si>
  <si>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</si>
  <si>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</si>
  <si>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</si>
  <si>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</si>
  <si>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</si>
  <si>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</si>
  <si>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</si>
  <si>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</si>
  <si>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</si>
  <si>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</si>
  <si>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</si>
  <si>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</si>
  <si>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</si>
  <si>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</si>
  <si>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</si>
  <si>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</si>
  <si>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</si>
  <si>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</si>
  <si>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</si>
  <si>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</si>
  <si>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</si>
  <si>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</si>
  <si>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</si>
  <si>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</si>
  <si>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</si>
  <si>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</si>
  <si>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</si>
  <si>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</si>
  <si>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</si>
  <si>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</si>
  <si>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</si>
  <si>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</si>
  <si>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</si>
  <si>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</si>
  <si>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</si>
  <si>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</si>
  <si>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</si>
  <si>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</si>
  <si>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</si>
  <si>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</si>
  <si>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</si>
  <si>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</si>
  <si>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</si>
  <si>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</si>
  <si>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</si>
  <si>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</si>
  <si>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</si>
  <si>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</si>
  <si>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</si>
  <si>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</si>
  <si>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</si>
  <si>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</si>
  <si>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</si>
  <si>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</si>
  <si>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</si>
  <si>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</si>
  <si>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</si>
  <si>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</si>
  <si>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</si>
  <si>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</si>
  <si>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</si>
  <si>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</si>
  <si>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</si>
  <si>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</si>
  <si>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</si>
  <si>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</si>
  <si>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</si>
  <si>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</si>
  <si>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</si>
  <si>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</si>
  <si>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</si>
  <si>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</si>
  <si>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</si>
  <si>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</si>
  <si>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</si>
  <si>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</si>
  <si>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</si>
  <si>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</si>
  <si>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</si>
  <si>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</si>
  <si>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</si>
  <si>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</si>
  <si>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</si>
  <si>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</si>
  <si>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</si>
  <si>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</si>
  <si>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</si>
  <si>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</si>
  <si>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</si>
  <si>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</si>
  <si>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</si>
  <si>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</si>
  <si>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</si>
  <si>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</si>
  <si>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</si>
  <si>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</si>
  <si>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</si>
  <si>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</si>
  <si>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</si>
  <si>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</si>
  <si>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</si>
  <si>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</si>
  <si>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</si>
  <si>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</si>
  <si>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</si>
  <si>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</si>
  <si>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</si>
  <si>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</si>
  <si>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</si>
  <si>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</si>
  <si>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</si>
  <si>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</si>
  <si>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</si>
  <si>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</si>
  <si>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</si>
  <si>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</si>
  <si>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</si>
  <si>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</si>
  <si>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</si>
  <si>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</si>
  <si>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</si>
  <si>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</si>
  <si>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</si>
  <si>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</si>
  <si>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</si>
  <si>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</si>
  <si>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</si>
  <si>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</si>
  <si>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</si>
  <si>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</si>
  <si>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</si>
  <si>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</si>
  <si>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</si>
  <si>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</si>
  <si>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</si>
  <si>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</si>
  <si>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</si>
  <si>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</si>
  <si>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</si>
  <si>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</si>
  <si>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</si>
  <si>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</si>
  <si>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</si>
  <si>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</si>
  <si>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</si>
  <si>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</si>
  <si>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</si>
  <si>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</si>
  <si>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</si>
  <si>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</si>
  <si>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</si>
  <si>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</si>
  <si>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</si>
  <si>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</si>
  <si>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</si>
  <si>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</si>
  <si>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</si>
  <si>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</si>
  <si>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</si>
  <si>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</si>
  <si>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</si>
  <si>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</si>
  <si>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</si>
  <si>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</si>
  <si>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</si>
  <si>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</si>
  <si>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</si>
  <si>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</si>
  <si>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</si>
  <si>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</si>
  <si>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</si>
  <si>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</si>
  <si>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</si>
  <si>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</si>
  <si>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</si>
  <si>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</si>
  <si>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</si>
  <si>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</si>
  <si>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</si>
  <si>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</si>
  <si>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</si>
  <si>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</si>
  <si>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</si>
  <si>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</si>
  <si>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</si>
  <si>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</si>
  <si>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</si>
  <si>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</si>
  <si>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</si>
  <si>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</si>
  <si>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</si>
  <si>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</si>
  <si>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</si>
  <si>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</si>
  <si>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</si>
  <si>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</si>
  <si>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</si>
  <si>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</si>
  <si>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</si>
  <si>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</si>
  <si>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</si>
  <si>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</si>
  <si>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</si>
  <si>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</si>
  <si>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</si>
  <si>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</si>
  <si>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</si>
  <si>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</si>
  <si>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</si>
  <si>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</si>
  <si>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</si>
  <si>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</si>
  <si>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</si>
  <si>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</si>
  <si>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</si>
  <si>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</si>
  <si>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</si>
  <si>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</si>
  <si>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</si>
  <si>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</si>
  <si>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</si>
  <si>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</si>
  <si>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</si>
  <si>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</si>
  <si>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</si>
  <si>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</si>
  <si>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</si>
  <si>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</si>
  <si>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</si>
  <si>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</si>
  <si>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</si>
  <si>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</si>
  <si>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</si>
  <si>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</si>
  <si>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</si>
  <si>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</si>
  <si>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</si>
  <si>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</si>
  <si>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</si>
  <si>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</si>
  <si>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</si>
  <si>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</si>
  <si>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</si>
  <si>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</si>
  <si>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</si>
  <si>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</si>
  <si>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</si>
  <si>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</si>
  <si>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</si>
  <si>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</si>
  <si>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</si>
  <si>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</si>
  <si>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</si>
  <si>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</si>
  <si>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</si>
  <si>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</si>
  <si>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</si>
  <si>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</si>
  <si>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</si>
  <si>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</si>
  <si>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</si>
  <si>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</si>
  <si>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</si>
  <si>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</si>
  <si>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</si>
  <si>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</si>
  <si>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</si>
  <si>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</si>
  <si>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</si>
  <si>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</si>
  <si>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</si>
  <si>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</si>
  <si>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</si>
  <si>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</si>
  <si>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</si>
  <si>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</si>
  <si>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</si>
  <si>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</si>
  <si>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</si>
  <si>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</si>
  <si>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</si>
  <si>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</si>
  <si>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</si>
  <si>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</si>
  <si>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</si>
  <si>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</si>
  <si>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</si>
  <si>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</si>
  <si>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</si>
  <si>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</si>
  <si>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</si>
  <si>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</si>
  <si>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</si>
  <si>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</si>
  <si>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</si>
  <si>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</si>
  <si>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</si>
  <si>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</si>
  <si>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</si>
  <si>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</si>
  <si>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</si>
  <si>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</si>
  <si>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</si>
  <si>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</si>
  <si>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</si>
  <si>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</si>
  <si>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</si>
  <si>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</si>
  <si>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</si>
  <si>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</si>
  <si>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</si>
  <si>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</si>
  <si>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</si>
  <si>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</si>
  <si>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</si>
  <si>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</si>
  <si>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</si>
  <si>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</si>
  <si>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</si>
  <si>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</si>
  <si>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</si>
  <si>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</si>
  <si>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</si>
  <si>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</si>
  <si>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</si>
  <si>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</si>
  <si>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</si>
  <si>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</si>
  <si>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</si>
  <si>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</si>
  <si>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</si>
  <si>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</si>
  <si>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</si>
  <si>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</si>
  <si>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</si>
  <si>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</si>
  <si>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</si>
  <si>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</si>
  <si>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</si>
  <si>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</si>
  <si>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</si>
  <si>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</si>
  <si>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</si>
  <si>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</si>
  <si>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</si>
  <si>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</si>
  <si>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</si>
  <si>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</si>
  <si>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</si>
  <si>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</si>
  <si>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</si>
  <si>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</si>
  <si>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</si>
  <si>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</si>
  <si>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</si>
  <si>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</si>
  <si>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</si>
  <si>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</si>
  <si>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</si>
  <si>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</si>
  <si>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</si>
  <si>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</si>
  <si>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</si>
  <si>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</si>
  <si>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</si>
  <si>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</si>
  <si>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</si>
  <si>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</si>
  <si>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</si>
  <si>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</si>
  <si>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</si>
  <si>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</si>
  <si>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</si>
  <si>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</si>
  <si>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</si>
  <si>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</si>
  <si>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</si>
  <si>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</si>
  <si>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</si>
  <si>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</si>
  <si>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</si>
  <si>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</si>
  <si>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</si>
  <si>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</si>
  <si>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</si>
  <si>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</si>
  <si>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</si>
  <si>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</si>
  <si>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</si>
  <si>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</si>
  <si>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</si>
  <si>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</si>
  <si>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</si>
  <si>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</si>
  <si>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</si>
  <si>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</si>
  <si>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</si>
  <si>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</si>
  <si>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</si>
  <si>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</si>
  <si>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</si>
  <si>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</si>
  <si>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</si>
  <si>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</si>
  <si>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</si>
  <si>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</si>
  <si>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</si>
  <si>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</si>
  <si>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</si>
  <si>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</si>
  <si>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</si>
  <si>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</si>
  <si>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</si>
  <si>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</si>
  <si>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</si>
  <si>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</si>
  <si>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</si>
  <si>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</si>
  <si>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</si>
  <si>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</si>
  <si>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</si>
  <si>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</si>
  <si>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</si>
  <si>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</si>
  <si>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</si>
  <si>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</si>
  <si>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</si>
  <si>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</si>
  <si>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</si>
  <si>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</si>
  <si>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</si>
  <si>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</si>
  <si>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</si>
  <si>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</si>
  <si>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</si>
  <si>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</si>
  <si>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</si>
  <si>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</si>
  <si>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</si>
  <si>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</si>
  <si>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</si>
  <si>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</si>
  <si>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</si>
  <si>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</si>
  <si>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</si>
  <si>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</si>
  <si>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</si>
  <si>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</si>
  <si>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</si>
  <si>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</si>
  <si>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</si>
  <si>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</si>
  <si>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</si>
  <si>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</si>
  <si>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</si>
  <si>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</si>
  <si>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</si>
  <si>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</si>
  <si>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</si>
  <si>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</si>
  <si>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</si>
  <si>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</si>
  <si>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</si>
  <si>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</si>
  <si>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</si>
  <si>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</si>
  <si>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</si>
  <si>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</si>
  <si>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</si>
  <si>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</si>
  <si>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</si>
  <si>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</si>
  <si>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</si>
  <si>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</si>
  <si>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</si>
  <si>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</si>
  <si>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</si>
  <si>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</si>
  <si>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</si>
  <si>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</si>
  <si>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</si>
  <si>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</si>
  <si>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</si>
  <si>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</si>
  <si>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</si>
  <si>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</si>
  <si>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</si>
  <si>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</si>
  <si>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</si>
  <si>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</si>
  <si>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</si>
  <si>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</si>
  <si>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</si>
  <si>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</si>
  <si>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</si>
  <si>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</si>
  <si>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</si>
  <si>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</si>
  <si>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</si>
  <si>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</si>
  <si>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</si>
  <si>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</si>
  <si>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</si>
  <si>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</si>
  <si>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</si>
  <si>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</si>
  <si>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</si>
  <si>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</si>
  <si>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</si>
  <si>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</si>
  <si>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</si>
  <si>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</si>
  <si>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</si>
  <si>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</si>
  <si>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</si>
  <si>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</si>
  <si>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</si>
  <si>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</si>
  <si>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</si>
  <si>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</si>
  <si>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</si>
  <si>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</si>
  <si>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</si>
  <si>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</si>
  <si>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</si>
  <si>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</si>
  <si>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</si>
  <si>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</si>
  <si>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</si>
  <si>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</si>
  <si>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</si>
  <si>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</si>
  <si>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</si>
  <si>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</si>
  <si>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</si>
  <si>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</si>
  <si>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</si>
  <si>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</si>
  <si>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</si>
  <si>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</si>
  <si>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</si>
  <si>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</si>
  <si>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</si>
  <si>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</si>
  <si>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</si>
  <si>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</si>
  <si>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</si>
  <si>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</si>
  <si>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</si>
  <si>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</si>
  <si>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</si>
  <si>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</si>
  <si>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</si>
  <si>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</si>
  <si>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</si>
  <si>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</si>
  <si>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</si>
  <si>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</si>
  <si>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</si>
  <si>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</si>
  <si>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</si>
  <si>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</si>
  <si>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</si>
  <si>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</si>
  <si>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</si>
  <si>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</si>
  <si>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</si>
  <si>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</si>
  <si>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</si>
  <si>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</si>
  <si>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</si>
  <si>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</si>
  <si>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</si>
  <si>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</si>
  <si>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</si>
  <si>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</si>
  <si>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</si>
  <si>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</si>
  <si>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</si>
  <si>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</si>
  <si>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</si>
  <si>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</si>
  <si>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</si>
  <si>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</si>
  <si>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</si>
  <si>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</si>
  <si>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</si>
  <si>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</si>
  <si>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</si>
  <si>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</si>
  <si>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</si>
  <si>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</si>
  <si>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</si>
  <si>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</si>
  <si>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</si>
  <si>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</si>
  <si>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</si>
  <si>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</si>
  <si>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</si>
  <si>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</si>
  <si>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</si>
  <si>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</si>
  <si>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</si>
  <si>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</si>
  <si>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</si>
  <si>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</si>
  <si>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</si>
  <si>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</si>
  <si>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</si>
  <si>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</si>
  <si>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</si>
  <si>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</si>
  <si>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</si>
  <si>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</si>
  <si>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</si>
  <si>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</si>
  <si>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</si>
  <si>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</si>
  <si>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</si>
  <si>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</si>
  <si>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</si>
  <si>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</si>
  <si>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</si>
  <si>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</si>
  <si>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</si>
  <si>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</si>
  <si>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</si>
  <si>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</si>
  <si>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</si>
  <si>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</si>
  <si>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</si>
  <si>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</si>
  <si>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</si>
  <si>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</si>
  <si>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</si>
  <si>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</si>
  <si>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</si>
  <si>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</si>
  <si>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</si>
  <si>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</si>
  <si>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</si>
  <si>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</si>
  <si>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</si>
  <si>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</si>
  <si>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</si>
  <si>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</si>
  <si>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</si>
  <si>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</si>
  <si>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</si>
  <si>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</si>
  <si>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</si>
  <si>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</si>
  <si>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</si>
  <si>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</si>
  <si>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</si>
  <si>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</si>
  <si>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</si>
  <si>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</si>
  <si>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</si>
  <si>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</si>
  <si>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</si>
  <si>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</si>
  <si>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</si>
  <si>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</si>
  <si>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</si>
  <si>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</si>
  <si>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</si>
  <si>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</si>
  <si>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</si>
  <si>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</si>
  <si>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</si>
  <si>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</si>
  <si>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</si>
  <si>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</si>
  <si>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</si>
  <si>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</si>
  <si>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</si>
  <si>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</si>
  <si>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</si>
  <si>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</si>
  <si>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</si>
  <si>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</si>
  <si>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</si>
  <si>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</si>
  <si>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</si>
  <si>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</si>
  <si>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</si>
  <si>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</si>
  <si>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</si>
  <si>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</si>
  <si>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</si>
  <si>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</si>
  <si>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</si>
  <si>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</si>
  <si>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</si>
  <si>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</si>
  <si>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</si>
  <si>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</si>
  <si>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</si>
  <si>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</si>
  <si>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</si>
  <si>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</si>
  <si>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</si>
  <si>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</si>
  <si>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</si>
  <si>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</si>
  <si>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</si>
  <si>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</si>
  <si>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</si>
  <si>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</si>
  <si>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</si>
  <si>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</si>
  <si>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</si>
  <si>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</si>
  <si>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</si>
  <si>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</si>
  <si>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</si>
  <si>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</si>
  <si>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</si>
  <si>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</si>
  <si>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</si>
  <si>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</si>
  <si>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</si>
  <si>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</si>
  <si>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</si>
  <si>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</si>
  <si>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</si>
  <si>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</si>
  <si>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</si>
  <si>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</si>
  <si>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</si>
  <si>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</si>
  <si>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</si>
  <si>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</si>
  <si>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</si>
  <si>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</si>
  <si>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</si>
  <si>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</si>
  <si>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</si>
  <si>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</si>
  <si>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</si>
  <si>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</si>
  <si>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</si>
  <si>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</si>
  <si>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</si>
  <si>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</si>
  <si>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</si>
  <si>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</si>
  <si>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</si>
  <si>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</si>
  <si>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</si>
  <si>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</si>
  <si>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</si>
  <si>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</si>
  <si>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</si>
  <si>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</si>
  <si>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</si>
  <si>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</si>
  <si>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</si>
  <si>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</si>
  <si>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</si>
  <si>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</si>
  <si>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</si>
  <si>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</si>
  <si>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</si>
  <si>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</si>
  <si>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</si>
  <si>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</si>
  <si>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</si>
  <si>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</si>
  <si>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</si>
  <si>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</si>
  <si>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</si>
  <si>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</si>
  <si>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</si>
  <si>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</si>
  <si>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</si>
  <si>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</si>
  <si>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</si>
  <si>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</si>
  <si>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</si>
  <si>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</si>
  <si>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</si>
  <si>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</si>
  <si>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</si>
  <si>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</si>
  <si>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</si>
  <si>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</si>
  <si>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</si>
  <si>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</si>
  <si>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</si>
  <si>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</si>
  <si>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</si>
  <si>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</si>
  <si>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</si>
  <si>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</si>
  <si>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</si>
  <si>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</si>
  <si>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</si>
  <si>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</si>
  <si>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</si>
  <si>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</si>
  <si>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</si>
  <si>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</si>
  <si>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</si>
  <si>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</si>
  <si>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</si>
  <si>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</si>
  <si>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</si>
  <si>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</si>
  <si>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</si>
  <si>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</si>
  <si>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</si>
  <si>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</si>
  <si>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</si>
  <si>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</si>
  <si>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</si>
  <si>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</si>
  <si>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</si>
  <si>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</si>
  <si>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</si>
  <si>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</si>
  <si>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</si>
  <si>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</si>
  <si>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</si>
  <si>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</si>
  <si>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</si>
  <si>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</si>
  <si>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</si>
  <si>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</si>
  <si>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</si>
  <si>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</si>
  <si>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</si>
  <si>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</si>
  <si>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</si>
  <si>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</si>
  <si>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</si>
  <si>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</si>
  <si>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</si>
  <si>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</si>
  <si>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</si>
  <si>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</si>
  <si>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</si>
  <si>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</si>
  <si>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</si>
  <si>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</si>
  <si>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</si>
  <si>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</si>
  <si>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</si>
  <si>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</si>
  <si>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</si>
  <si>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</si>
  <si>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</si>
  <si>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</si>
  <si>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</si>
  <si>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</si>
  <si>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</si>
  <si>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</si>
  <si>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</si>
  <si>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</si>
  <si>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</si>
  <si>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</si>
  <si>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</si>
  <si>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</si>
  <si>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</si>
  <si>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</si>
  <si>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</si>
  <si>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</si>
  <si>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</si>
  <si>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</si>
  <si>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</si>
  <si>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</si>
  <si>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</si>
  <si>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</si>
  <si>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</si>
  <si>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</si>
  <si>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</si>
  <si>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</si>
  <si>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</si>
  <si>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</si>
  <si>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</si>
  <si>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</si>
  <si>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</si>
  <si>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</si>
  <si>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</si>
  <si>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</si>
  <si>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</si>
  <si>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</si>
  <si>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</si>
  <si>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</si>
  <si>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</si>
  <si>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</si>
  <si>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</si>
  <si>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</si>
  <si>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</si>
  <si>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</si>
  <si>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</si>
  <si>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</si>
  <si>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</si>
  <si>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</si>
  <si>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</si>
  <si>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</si>
  <si>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</si>
  <si>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</si>
  <si>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</si>
  <si>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</si>
  <si>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</si>
  <si>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</si>
  <si>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</si>
  <si>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</si>
  <si>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</si>
  <si>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</si>
  <si>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</si>
  <si>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</si>
  <si>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</si>
  <si>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</si>
  <si>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</si>
  <si>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</si>
  <si>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</si>
  <si>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</si>
  <si>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</si>
  <si>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</si>
  <si>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</si>
  <si>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</si>
  <si>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</si>
  <si>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</si>
  <si>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</si>
  <si>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</si>
  <si>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</si>
  <si>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</si>
  <si>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</si>
  <si>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</si>
  <si>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</si>
  <si>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</si>
  <si>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</si>
  <si>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</si>
  <si>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</si>
  <si>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</si>
  <si>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</si>
  <si>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</si>
  <si>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</si>
  <si>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</si>
  <si>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</si>
  <si>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</si>
  <si>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</si>
  <si>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</si>
  <si>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</si>
  <si>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</si>
  <si>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</si>
  <si>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</si>
  <si>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</si>
  <si>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</si>
  <si>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</si>
  <si>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</si>
  <si>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</si>
  <si>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</si>
  <si>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</si>
  <si>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</si>
  <si>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</si>
  <si>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</si>
  <si>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</si>
  <si>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</si>
  <si>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</si>
  <si>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</si>
  <si>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</si>
  <si>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</si>
  <si>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</si>
  <si>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</si>
  <si>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</si>
  <si>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</si>
  <si>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</si>
  <si>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</si>
  <si>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</si>
  <si>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</si>
  <si>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</si>
  <si>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</si>
  <si>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</si>
  <si>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</si>
  <si>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</si>
  <si>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</si>
  <si>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</si>
  <si>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</si>
  <si>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</si>
  <si>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</si>
  <si>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</si>
  <si>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</si>
  <si>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</si>
  <si>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</si>
  <si>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</si>
  <si>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</si>
  <si>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</si>
  <si>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</si>
  <si>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</si>
  <si>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</si>
  <si>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</si>
  <si>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</si>
  <si>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</si>
  <si>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</si>
  <si>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</si>
  <si>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</si>
  <si>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</si>
  <si>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</si>
  <si>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</si>
  <si>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</si>
  <si>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</si>
  <si>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</si>
  <si>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</si>
  <si>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</si>
  <si>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</si>
  <si>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</si>
  <si>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</si>
  <si>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</si>
  <si>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</si>
  <si>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</si>
  <si>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</si>
  <si>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</si>
  <si>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</si>
  <si>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</si>
  <si>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</si>
  <si>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</si>
  <si>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</si>
  <si>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</si>
  <si>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</si>
  <si>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</si>
  <si>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</si>
  <si>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</si>
  <si>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</si>
  <si>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</si>
  <si>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</si>
  <si>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</si>
  <si>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</si>
  <si>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</si>
  <si>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</si>
  <si>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</si>
  <si>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</si>
  <si>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</si>
  <si>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</si>
  <si>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</si>
  <si>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</si>
  <si>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</si>
  <si>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</si>
  <si>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</si>
  <si>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</si>
  <si>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</si>
  <si>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</si>
  <si>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</si>
  <si>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</si>
  <si>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</si>
  <si>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</si>
  <si>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</si>
  <si>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</si>
  <si>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</si>
  <si>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</si>
  <si>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</si>
  <si>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</si>
  <si>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</si>
  <si>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</si>
  <si>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</si>
  <si>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</si>
  <si>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</si>
  <si>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</si>
  <si>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</si>
  <si>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</si>
  <si>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</si>
  <si>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</si>
  <si>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</si>
  <si>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</si>
  <si>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</si>
  <si>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</si>
  <si>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</si>
  <si>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</si>
  <si>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</si>
  <si>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</si>
  <si>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</si>
  <si>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</si>
  <si>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</si>
  <si>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</si>
  <si>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</si>
  <si>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</si>
  <si>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</si>
  <si>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</si>
  <si>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</si>
  <si>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</si>
  <si>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</si>
  <si>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</si>
  <si>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</si>
  <si>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</si>
  <si>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</si>
  <si>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</si>
  <si>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</si>
  <si>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</si>
  <si>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</si>
  <si>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</si>
  <si>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</si>
  <si>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</si>
  <si>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</si>
  <si>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</si>
  <si>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</si>
  <si>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</si>
  <si>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</si>
  <si>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</si>
  <si>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</si>
  <si>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</si>
  <si>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</si>
  <si>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</si>
  <si>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</si>
  <si>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</si>
  <si>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</si>
  <si>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</si>
  <si>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</si>
  <si>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</si>
  <si>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</si>
  <si>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</si>
  <si>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</si>
  <si>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</si>
  <si>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</si>
  <si>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</si>
  <si>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</si>
  <si>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</si>
  <si>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</si>
  <si>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</si>
  <si>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</si>
  <si>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</si>
  <si>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</si>
  <si>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</si>
  <si>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</si>
  <si>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</si>
  <si>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</si>
  <si>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</si>
  <si>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</si>
  <si>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</si>
  <si>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</si>
  <si>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</si>
  <si>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</si>
  <si>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</si>
  <si>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</si>
  <si>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</si>
  <si>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</si>
  <si>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</si>
  <si>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</si>
  <si>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</si>
  <si>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</si>
  <si>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</si>
  <si>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</si>
  <si>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</si>
  <si>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</si>
  <si>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</si>
  <si>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</si>
  <si>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</si>
  <si>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</si>
  <si>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</si>
  <si>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</si>
  <si>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</si>
  <si>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</si>
  <si>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</si>
  <si>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</si>
  <si>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</si>
  <si>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</si>
  <si>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</si>
  <si>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</si>
  <si>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</si>
  <si>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</si>
  <si>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</si>
  <si>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</si>
  <si>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</si>
  <si>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</si>
  <si>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</si>
  <si>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</si>
  <si>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</si>
  <si>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</si>
  <si>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</si>
  <si>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</si>
  <si>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</si>
  <si>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</si>
  <si>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</si>
  <si>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</si>
  <si>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</si>
  <si>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</si>
  <si>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</si>
  <si>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</si>
  <si>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</si>
  <si>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</si>
  <si>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</si>
  <si>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</si>
  <si>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</si>
  <si>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</si>
  <si>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</si>
  <si>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</si>
  <si>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</si>
  <si>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</si>
  <si>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</si>
  <si>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</si>
  <si>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</si>
  <si>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</si>
  <si>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</si>
  <si>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</si>
  <si>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</si>
  <si>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</si>
  <si>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</si>
  <si>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</si>
  <si>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</si>
  <si>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</si>
  <si>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</si>
  <si>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</si>
  <si>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</si>
  <si>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</si>
  <si>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</si>
  <si>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</si>
  <si>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</si>
  <si>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</si>
  <si>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</si>
  <si>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</si>
  <si>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</si>
  <si>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</si>
  <si>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</si>
  <si>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</si>
  <si>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</si>
  <si>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</si>
  <si>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</si>
  <si>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</si>
  <si>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</si>
  <si>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</si>
  <si>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</si>
  <si>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</si>
  <si>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</si>
  <si>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</si>
  <si>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</si>
  <si>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</si>
  <si>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</si>
  <si>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</si>
  <si>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</si>
  <si>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</si>
  <si>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</si>
  <si>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</si>
  <si>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</si>
  <si>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</si>
  <si>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</si>
  <si>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</si>
  <si>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</si>
  <si>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</si>
  <si>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</si>
  <si>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</si>
  <si>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</si>
  <si>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</si>
  <si>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</si>
  <si>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</si>
  <si>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</si>
  <si>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</si>
  <si>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</si>
  <si>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</si>
  <si>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</si>
  <si>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</si>
  <si>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</si>
  <si>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</si>
  <si>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</si>
  <si>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</si>
  <si>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</si>
  <si>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</si>
  <si>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</si>
  <si>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</si>
  <si>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</si>
  <si>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</si>
  <si>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</si>
  <si>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</si>
  <si>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</si>
  <si>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</si>
  <si>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</si>
  <si>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</si>
  <si>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</si>
  <si>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</si>
  <si>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</si>
  <si>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</si>
  <si>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</si>
  <si>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</si>
  <si>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</si>
  <si>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</si>
  <si>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</si>
  <si>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</si>
  <si>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</si>
  <si>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</si>
  <si>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</si>
  <si>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</si>
  <si>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</si>
  <si>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</si>
  <si>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</si>
  <si>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</si>
  <si>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</si>
  <si>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</si>
  <si>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</si>
  <si>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</si>
  <si>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</si>
  <si>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</si>
  <si>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</si>
  <si>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</si>
  <si>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</si>
  <si>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</si>
  <si>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</si>
  <si>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</si>
  <si>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</si>
  <si>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</si>
  <si>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</si>
  <si>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</si>
  <si>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</si>
  <si>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</si>
  <si>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</si>
  <si>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</si>
  <si>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</si>
  <si>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</si>
  <si>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</si>
  <si>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</si>
  <si>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</si>
  <si>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</si>
  <si>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</si>
  <si>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</si>
  <si>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</si>
  <si>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</si>
  <si>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</si>
  <si>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</si>
  <si>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</si>
  <si>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</si>
  <si>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</si>
  <si>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</si>
  <si>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</si>
  <si>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</si>
  <si>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</si>
  <si>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</si>
  <si>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</si>
  <si>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</si>
  <si>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</si>
  <si>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</si>
  <si>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</si>
  <si>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</si>
  <si>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</si>
  <si>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</si>
  <si>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</si>
  <si>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</si>
  <si>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</si>
  <si>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</si>
  <si>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</si>
  <si>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</si>
  <si>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</si>
  <si>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</si>
  <si>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</si>
  <si>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</si>
  <si>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</si>
  <si>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</si>
  <si>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</si>
  <si>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</si>
  <si>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</si>
  <si>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</si>
  <si>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</si>
  <si>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</si>
  <si>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</si>
  <si>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</si>
  <si>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</si>
  <si>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</si>
  <si>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</si>
  <si>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</si>
  <si>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</si>
  <si>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</si>
  <si>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</si>
  <si>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</si>
  <si>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</si>
  <si>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</si>
  <si>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</si>
  <si>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</si>
  <si>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</si>
  <si>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</si>
  <si>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</si>
  <si>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</si>
  <si>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</si>
  <si>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</si>
  <si>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</si>
  <si>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</si>
  <si>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</si>
  <si>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</si>
  <si>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</si>
  <si>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</si>
  <si>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</si>
  <si>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</si>
  <si>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</si>
  <si>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</si>
  <si>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</si>
  <si>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</si>
  <si>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</si>
  <si>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</si>
  <si>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</si>
  <si>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</si>
  <si>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</si>
  <si>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</si>
  <si>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</si>
  <si>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</si>
  <si>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</si>
  <si>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</si>
  <si>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</si>
  <si>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</si>
  <si>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</si>
  <si>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</si>
  <si>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</si>
  <si>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</si>
  <si>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</si>
  <si>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</si>
  <si>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</si>
  <si>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</si>
  <si>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</si>
  <si>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</si>
  <si>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</si>
  <si>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</si>
  <si>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</si>
  <si>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</si>
  <si>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</si>
  <si>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</si>
  <si>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</si>
  <si>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</si>
  <si>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</si>
  <si>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</si>
  <si>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</si>
  <si>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</si>
  <si>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</si>
  <si>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</si>
  <si>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</si>
  <si>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</si>
  <si>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</si>
  <si>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</si>
  <si>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</si>
  <si>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</si>
  <si>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</si>
  <si>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</si>
  <si>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</si>
  <si>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</si>
  <si>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</si>
  <si>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</si>
  <si>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</si>
  <si>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</si>
  <si>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</si>
  <si>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</si>
  <si>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</si>
  <si>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</si>
  <si>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</si>
  <si>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</si>
  <si>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</si>
  <si>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</si>
  <si>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</si>
  <si>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</si>
  <si>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</si>
  <si>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</si>
  <si>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</si>
  <si>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</si>
  <si>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</si>
  <si>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</si>
  <si>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</si>
  <si>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</si>
  <si>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</si>
  <si>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</si>
  <si>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</si>
  <si>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</si>
  <si>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</si>
  <si>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</si>
  <si>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</si>
  <si>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</si>
  <si>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</si>
  <si>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</si>
  <si>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</si>
  <si>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</si>
  <si>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</si>
  <si>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</si>
  <si>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</si>
  <si>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</si>
  <si>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</si>
  <si>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</si>
  <si>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</si>
  <si>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</si>
  <si>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</si>
  <si>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</si>
  <si>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</si>
  <si>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</si>
  <si>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</si>
  <si>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</si>
  <si>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</si>
  <si>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</si>
  <si>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</si>
  <si>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</si>
  <si>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</si>
  <si>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</si>
  <si>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</si>
  <si>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</si>
  <si>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</si>
  <si>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</si>
  <si>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</si>
  <si>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</si>
  <si>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</si>
  <si>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</si>
  <si>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</si>
  <si>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</si>
  <si>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</si>
  <si>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</si>
  <si>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</si>
  <si>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</si>
  <si>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</si>
  <si>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</si>
  <si>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</si>
  <si>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</si>
  <si>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</si>
  <si>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</si>
  <si>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</si>
  <si>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</si>
  <si>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</si>
  <si>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</si>
  <si>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</si>
  <si>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</si>
  <si>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</si>
  <si>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</si>
  <si>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</si>
  <si>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</si>
  <si>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</si>
  <si>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</si>
  <si>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</si>
  <si>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</si>
  <si>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</si>
  <si>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</si>
  <si>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</si>
  <si>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</si>
  <si>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</si>
  <si>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</si>
  <si>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</si>
  <si>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</si>
  <si>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</si>
  <si>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</si>
  <si>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</si>
  <si>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</si>
  <si>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</si>
  <si>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</si>
  <si>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</si>
  <si>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</si>
  <si>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</si>
  <si>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</si>
  <si>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</si>
  <si>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</si>
  <si>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</si>
  <si>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</si>
  <si>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</si>
  <si>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</si>
  <si>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</si>
  <si>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</si>
  <si>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</si>
  <si>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</si>
  <si>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</si>
  <si>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</si>
  <si>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</si>
  <si>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</si>
  <si>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</si>
  <si>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</si>
  <si>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</si>
  <si>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</si>
  <si>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</si>
  <si>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</si>
  <si>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</si>
  <si>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</si>
  <si>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</si>
  <si>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</si>
  <si>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</si>
  <si>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</si>
  <si>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</si>
  <si>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</si>
  <si>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</si>
  <si>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</si>
  <si>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</si>
  <si>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</si>
  <si>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</si>
  <si>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</si>
  <si>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</si>
  <si>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</si>
  <si>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</si>
  <si>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</si>
  <si>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</si>
  <si>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</si>
  <si>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</si>
  <si>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</si>
  <si>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</si>
  <si>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</si>
  <si>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</si>
  <si>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</si>
  <si>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</si>
  <si>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</si>
  <si>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</si>
  <si>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</si>
  <si>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</si>
  <si>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</si>
  <si>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</si>
  <si>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</si>
  <si>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</si>
  <si>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</si>
  <si>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</si>
  <si>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</si>
  <si>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</si>
  <si>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</si>
  <si>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</si>
  <si>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</si>
  <si>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</si>
  <si>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</si>
  <si>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</si>
  <si>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</si>
  <si>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</si>
  <si>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</si>
  <si>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</si>
  <si>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</si>
  <si>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</si>
  <si>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</si>
  <si>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</si>
  <si>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</si>
  <si>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</si>
  <si>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</si>
  <si>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</si>
  <si>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</si>
  <si>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</si>
  <si>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</si>
  <si>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</si>
  <si>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</si>
  <si>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</si>
  <si>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</si>
  <si>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</si>
  <si>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</si>
  <si>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</si>
  <si>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</si>
  <si>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</si>
  <si>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</si>
  <si>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</si>
  <si>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</si>
  <si>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</si>
  <si>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</si>
  <si>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</si>
  <si>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</si>
  <si>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</si>
  <si>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</si>
  <si>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</si>
  <si>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</si>
  <si>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</si>
  <si>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</si>
  <si>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</si>
  <si>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</si>
  <si>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</si>
  <si>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</si>
  <si>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</si>
  <si>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</si>
  <si>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</si>
  <si>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</si>
  <si>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</si>
  <si>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</si>
  <si>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</si>
  <si>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</si>
  <si>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</si>
  <si>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</si>
  <si>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</si>
  <si>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</si>
  <si>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</si>
  <si>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</si>
  <si>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</si>
  <si>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</si>
  <si>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</si>
  <si>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</si>
  <si>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</si>
  <si>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</si>
  <si>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</si>
  <si>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</si>
  <si>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</si>
  <si>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</si>
  <si>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</si>
  <si>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</si>
  <si>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</si>
  <si>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</si>
  <si>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</si>
  <si>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</si>
  <si>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</si>
  <si>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</si>
  <si>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</si>
  <si>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</si>
  <si>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</si>
  <si>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</si>
  <si>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</si>
  <si>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</si>
  <si>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</si>
  <si>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</si>
  <si>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</si>
  <si>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</si>
  <si>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</si>
  <si>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</si>
  <si>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</si>
  <si>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</si>
  <si>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</si>
  <si>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</si>
  <si>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</si>
  <si>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</si>
  <si>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</si>
  <si>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</si>
  <si>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</si>
  <si>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</si>
  <si>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</si>
  <si>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</si>
  <si>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</si>
  <si>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</si>
  <si>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</si>
  <si>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</si>
  <si>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</si>
  <si>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</si>
  <si>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</si>
  <si>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</si>
  <si>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</si>
  <si>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</si>
  <si>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</si>
  <si>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</si>
  <si>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</si>
  <si>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</si>
  <si>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</si>
  <si>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</si>
  <si>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</si>
  <si>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</si>
  <si>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</si>
  <si>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</si>
  <si>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</si>
  <si>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</si>
  <si>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</si>
  <si>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</si>
  <si>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</si>
  <si>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</si>
  <si>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</si>
  <si>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</si>
  <si>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</si>
  <si>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</si>
  <si>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</si>
  <si>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</si>
  <si>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</si>
  <si>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</si>
  <si>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</si>
  <si>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</si>
  <si>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</si>
  <si>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</si>
  <si>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</si>
  <si>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</si>
  <si>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</si>
  <si>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</si>
  <si>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</si>
  <si>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</si>
  <si>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</si>
  <si>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</si>
  <si>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</si>
  <si>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</si>
  <si>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</si>
  <si>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</si>
  <si>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</si>
  <si>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</si>
  <si>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</si>
  <si>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</si>
  <si>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</si>
  <si>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</si>
  <si>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</si>
  <si>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</si>
  <si>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</si>
  <si>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</si>
  <si>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</si>
  <si>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</si>
  <si>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</si>
  <si>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</si>
  <si>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</si>
  <si>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</si>
  <si>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</si>
  <si>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</si>
  <si>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</si>
  <si>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</si>
  <si>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</si>
  <si>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</si>
  <si>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</si>
  <si>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</si>
  <si>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</si>
  <si>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</si>
  <si>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</si>
  <si>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</si>
  <si>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</si>
  <si>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</si>
  <si>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</si>
  <si>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</si>
  <si>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</si>
  <si>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</si>
  <si>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</si>
  <si>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</si>
  <si>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</si>
  <si>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</si>
  <si>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</si>
  <si>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</si>
  <si>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</si>
  <si>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</si>
  <si>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</si>
  <si>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</si>
  <si>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</si>
  <si>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</si>
  <si>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</si>
  <si>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</si>
  <si>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</si>
  <si>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</si>
  <si>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</si>
  <si>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</si>
  <si>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</si>
  <si>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</si>
  <si>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</si>
  <si>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</si>
  <si>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</si>
  <si>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</si>
  <si>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</si>
  <si>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</si>
  <si>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</si>
  <si>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</si>
  <si>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</si>
  <si>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</si>
  <si>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</si>
  <si>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</si>
  <si>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</si>
  <si>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</si>
  <si>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</si>
  <si>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</si>
  <si>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</si>
  <si>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</si>
  <si>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</si>
  <si>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</si>
  <si>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</si>
  <si>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</si>
  <si>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</si>
  <si>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</si>
  <si>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</si>
  <si>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</si>
  <si>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</si>
  <si>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</si>
  <si>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</si>
  <si>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</si>
  <si>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</si>
  <si>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</si>
  <si>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</si>
  <si>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</si>
  <si>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</si>
  <si>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</si>
  <si>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</si>
  <si>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</si>
  <si>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</si>
  <si>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</si>
  <si>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</si>
  <si>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</si>
  <si>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</si>
  <si>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</si>
  <si>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</si>
  <si>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</si>
  <si>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</si>
  <si>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</si>
  <si>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</si>
  <si>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</si>
  <si>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</si>
  <si>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</si>
  <si>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</si>
  <si>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</si>
  <si>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</si>
  <si>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</si>
  <si>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</si>
  <si>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</si>
  <si>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</si>
  <si>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</si>
  <si>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</si>
  <si>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</si>
  <si>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</si>
  <si>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</si>
  <si>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</si>
  <si>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</si>
  <si>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</si>
  <si>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</si>
  <si>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</si>
  <si>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</si>
  <si>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</si>
  <si>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</si>
  <si>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</si>
  <si>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</si>
  <si>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</si>
  <si>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</si>
  <si>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</si>
  <si>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</si>
  <si>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</si>
  <si>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</si>
  <si>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</si>
  <si>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</si>
  <si>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</si>
  <si>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</si>
  <si>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</si>
  <si>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</si>
  <si>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</si>
  <si>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</si>
  <si>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</si>
  <si>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</si>
  <si>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</si>
  <si>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</si>
  <si>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</si>
  <si>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</si>
  <si>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</si>
  <si>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</si>
  <si>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</si>
  <si>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</si>
  <si>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</si>
  <si>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</si>
  <si>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</si>
  <si>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</si>
  <si>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</si>
  <si>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</si>
  <si>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</si>
  <si>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</si>
  <si>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</si>
  <si>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</si>
  <si>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</si>
  <si>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</si>
  <si>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</si>
  <si>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</si>
  <si>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</si>
  <si>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</si>
  <si>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</si>
  <si>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</si>
  <si>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</si>
  <si>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</si>
  <si>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</si>
  <si>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</si>
  <si>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</si>
  <si>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</si>
  <si>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</si>
  <si>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</si>
  <si>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</si>
  <si>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</si>
  <si>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</si>
  <si>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</si>
  <si>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</si>
  <si>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</si>
  <si>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</si>
  <si>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</si>
  <si>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</si>
  <si>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</si>
  <si>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</si>
  <si>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</si>
  <si>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</si>
  <si>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</si>
  <si>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</si>
  <si>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</si>
  <si>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</si>
  <si>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</si>
  <si>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</si>
  <si>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</si>
  <si>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</si>
  <si>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</si>
  <si>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</si>
  <si>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</si>
  <si>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</si>
  <si>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</si>
  <si>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</si>
  <si>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</si>
  <si>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</si>
  <si>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</si>
  <si>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</si>
  <si>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</si>
  <si>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</si>
  <si>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</si>
  <si>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</si>
  <si>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</si>
  <si>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</si>
  <si>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</si>
  <si>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</si>
  <si>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</si>
  <si>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</si>
  <si>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</si>
  <si>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</si>
  <si>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</si>
  <si>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</si>
  <si>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</si>
  <si>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</si>
  <si>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</si>
  <si>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</si>
  <si>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</si>
  <si>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</si>
  <si>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</si>
  <si>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</si>
  <si>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</si>
  <si>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</si>
  <si>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</si>
  <si>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</si>
  <si>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</si>
  <si>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</si>
  <si>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</si>
  <si>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</si>
  <si>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</si>
  <si>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</si>
  <si>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</si>
  <si>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</si>
  <si>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</si>
  <si>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</si>
  <si>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</si>
  <si>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</si>
  <si>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</si>
  <si>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</si>
  <si>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</si>
  <si>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</si>
  <si>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</si>
  <si>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</si>
  <si>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</si>
  <si>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</si>
  <si>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</si>
  <si>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</si>
  <si>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</si>
  <si>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</si>
  <si>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</si>
  <si>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</si>
  <si>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</si>
  <si>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</si>
  <si>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</si>
  <si>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</si>
  <si>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</si>
  <si>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</si>
  <si>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</si>
  <si>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</si>
  <si>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</si>
  <si>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</si>
  <si>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</si>
  <si>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</si>
  <si>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</si>
  <si>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</si>
  <si>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</si>
  <si>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</si>
  <si>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</si>
  <si>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</si>
  <si>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</si>
  <si>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</si>
  <si>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</si>
  <si>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</si>
  <si>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</si>
  <si>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</si>
  <si>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</si>
  <si>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</si>
  <si>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</si>
  <si>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</si>
  <si>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</si>
  <si>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</si>
  <si>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</si>
  <si>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</si>
  <si>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</si>
  <si>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</si>
  <si>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</si>
  <si>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</si>
  <si>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</si>
  <si>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</si>
  <si>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</si>
  <si>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</si>
  <si>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</si>
  <si>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</si>
  <si>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</si>
  <si>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</si>
  <si>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</si>
  <si>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</si>
  <si>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</si>
  <si>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</si>
  <si>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</si>
  <si>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</si>
  <si>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</si>
  <si>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</si>
  <si>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</si>
  <si>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</si>
  <si>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</si>
  <si>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</si>
  <si>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</si>
  <si>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</si>
  <si>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</si>
  <si>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</si>
  <si>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</si>
  <si>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</si>
  <si>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</si>
  <si>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</si>
  <si>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</si>
  <si>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</si>
  <si>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</si>
  <si>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</si>
  <si>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</si>
  <si>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</si>
  <si>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</si>
  <si>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</si>
  <si>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</si>
  <si>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</si>
  <si>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</si>
  <si>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</si>
  <si>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</si>
  <si>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</si>
  <si>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</si>
  <si>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</si>
  <si>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</si>
  <si>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</si>
  <si>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</si>
  <si>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</si>
  <si>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</si>
  <si>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</si>
  <si>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</si>
  <si>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</si>
  <si>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</si>
  <si>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</si>
  <si>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</si>
  <si>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</si>
  <si>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</si>
  <si>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</si>
  <si>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</si>
  <si>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</si>
  <si>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</si>
  <si>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</si>
  <si>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</si>
  <si>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</si>
  <si>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</si>
  <si>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</si>
  <si>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</si>
  <si>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</si>
  <si>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</si>
  <si>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</si>
  <si>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</si>
  <si>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</si>
  <si>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</si>
  <si>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</si>
  <si>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</si>
  <si>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</si>
  <si>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</si>
  <si>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</si>
  <si>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</si>
  <si>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</si>
  <si>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</si>
  <si>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</si>
  <si>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</si>
  <si>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</si>
  <si>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</si>
  <si>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</si>
  <si>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</si>
  <si>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</si>
  <si>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</si>
  <si>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</si>
  <si>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</si>
  <si>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</si>
  <si>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</si>
  <si>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</si>
  <si>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</si>
  <si>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</si>
  <si>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</si>
  <si>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</si>
  <si>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</si>
  <si>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</si>
  <si>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</si>
  <si>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</si>
  <si>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</si>
  <si>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</si>
  <si>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</si>
  <si>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</si>
  <si>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</si>
  <si>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</si>
  <si>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</si>
  <si>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</si>
  <si>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</si>
  <si>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</si>
  <si>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</si>
  <si>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</si>
  <si>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</si>
  <si>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</si>
  <si>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</si>
  <si>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</si>
  <si>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</si>
  <si>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</si>
  <si>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</si>
  <si>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</si>
  <si>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</si>
  <si>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</si>
  <si>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</si>
  <si>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</si>
  <si>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</si>
  <si>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</si>
  <si>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</si>
  <si>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</si>
  <si>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</si>
  <si>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</si>
  <si>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</si>
  <si>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</si>
  <si>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</si>
  <si>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</si>
  <si>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</si>
  <si>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</si>
  <si>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</si>
  <si>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</si>
  <si>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</si>
  <si>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</si>
  <si>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</si>
  <si>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</si>
  <si>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</si>
  <si>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</si>
  <si>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</si>
  <si>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</si>
  <si>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</si>
  <si>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</si>
  <si>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</si>
  <si>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</si>
  <si>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</si>
  <si>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</si>
  <si>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</si>
  <si>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</si>
  <si>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</si>
  <si>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</si>
  <si>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</si>
  <si>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</si>
  <si>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</si>
  <si>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</si>
  <si>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</si>
  <si>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</si>
  <si>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</si>
  <si>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</si>
  <si>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</si>
  <si>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</si>
  <si>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</si>
  <si>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</si>
  <si>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</si>
  <si>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</si>
  <si>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</si>
  <si>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</si>
  <si>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</si>
  <si>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</si>
  <si>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</si>
  <si>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</si>
  <si>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</si>
  <si>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</si>
  <si>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</si>
  <si>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</si>
  <si>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</si>
  <si>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</si>
  <si>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</si>
  <si>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</si>
  <si>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</si>
  <si>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</si>
  <si>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</si>
  <si>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</si>
  <si>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</si>
  <si>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</si>
  <si>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</si>
  <si>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</si>
  <si>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</si>
  <si>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</si>
  <si>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</si>
  <si>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</si>
  <si>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</si>
  <si>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</si>
  <si>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</si>
  <si>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</si>
  <si>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</si>
  <si>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</si>
  <si>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</si>
  <si>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</si>
  <si>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</si>
  <si>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</si>
  <si>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</si>
  <si>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</si>
  <si>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</si>
  <si>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</si>
  <si>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</si>
  <si>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</si>
  <si>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</si>
  <si>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</si>
  <si>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</si>
  <si>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</si>
  <si>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</si>
  <si>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</si>
  <si>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</si>
  <si>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</si>
  <si>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</si>
  <si>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</si>
  <si>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</si>
  <si>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</si>
  <si>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</si>
  <si>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</si>
  <si>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</si>
  <si>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</si>
  <si>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</si>
  <si>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</si>
  <si>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</si>
  <si>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</si>
  <si>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</si>
  <si>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</si>
  <si>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</si>
  <si>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</si>
  <si>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</si>
  <si>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</si>
  <si>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</si>
  <si>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</si>
  <si>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</si>
  <si>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</si>
  <si>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</si>
  <si>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</si>
  <si>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</si>
  <si>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</si>
  <si>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</si>
  <si>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</si>
  <si>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</si>
  <si>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</si>
  <si>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</si>
  <si>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</si>
  <si>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</si>
  <si>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</si>
  <si>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</si>
  <si>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</si>
  <si>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</si>
  <si>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</si>
  <si>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</si>
  <si>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</si>
  <si>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</si>
  <si>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</si>
  <si>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</si>
  <si>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</si>
  <si>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</si>
  <si>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</si>
  <si>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</si>
  <si>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</si>
  <si>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</si>
  <si>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</si>
  <si>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</si>
  <si>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</si>
  <si>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</si>
  <si>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</si>
  <si>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</si>
  <si>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</si>
  <si>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</si>
  <si>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</si>
  <si>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</si>
  <si>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</si>
  <si>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</si>
  <si>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</si>
  <si>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</si>
  <si>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</si>
  <si>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</si>
  <si>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</si>
  <si>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</si>
  <si>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</si>
  <si>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</si>
  <si>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</si>
  <si>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</si>
  <si>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</si>
  <si>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</si>
  <si>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</si>
  <si>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</si>
  <si>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</si>
  <si>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</si>
  <si>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</si>
  <si>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</si>
  <si>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</si>
  <si>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</si>
  <si>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</si>
  <si>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</si>
  <si>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</si>
  <si>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</si>
  <si>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</si>
  <si>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</si>
  <si>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</si>
  <si>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</si>
  <si>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</si>
  <si>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</si>
  <si>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</si>
  <si>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</si>
  <si>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</si>
  <si>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</si>
  <si>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</si>
  <si>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</si>
  <si>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</si>
  <si>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</si>
  <si>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</si>
  <si>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</si>
  <si>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</si>
  <si>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</si>
  <si>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</si>
  <si>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</si>
  <si>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</si>
  <si>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</si>
  <si>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</si>
  <si>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</si>
  <si>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</si>
  <si>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</si>
  <si>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</si>
  <si>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</si>
  <si>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</si>
  <si>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</si>
  <si>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</si>
  <si>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</si>
  <si>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</si>
  <si>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</si>
  <si>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</si>
  <si>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</si>
  <si>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</si>
  <si>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</si>
  <si>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</si>
  <si>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</si>
  <si>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</si>
  <si>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</si>
  <si>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</si>
  <si>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</si>
  <si>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</si>
  <si>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</si>
  <si>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</si>
  <si>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</si>
  <si>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</si>
  <si>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</si>
  <si>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</si>
  <si>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</si>
  <si>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</si>
  <si>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</si>
  <si>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</si>
  <si>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</si>
  <si>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</si>
  <si>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</si>
  <si>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</si>
  <si>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</si>
  <si>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</si>
  <si>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</si>
  <si>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</si>
  <si>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</si>
  <si>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</si>
  <si>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</si>
  <si>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</si>
  <si>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</si>
  <si>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</si>
  <si>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</si>
  <si>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</si>
  <si>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</si>
  <si>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</si>
  <si>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</si>
  <si>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</si>
  <si>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</si>
  <si>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</si>
  <si>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</si>
  <si>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</si>
  <si>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</si>
  <si>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</si>
  <si>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</si>
  <si>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</si>
  <si>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</si>
  <si>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</si>
  <si>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</si>
  <si>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</si>
  <si>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</si>
  <si>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</si>
  <si>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</si>
  <si>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</si>
  <si>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</si>
  <si>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</si>
  <si>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</si>
  <si>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</si>
  <si>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</si>
  <si>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</si>
  <si>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</si>
  <si>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</si>
  <si>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</si>
  <si>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</si>
  <si>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</si>
  <si>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</si>
  <si>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</si>
  <si>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</si>
  <si>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</si>
  <si>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</si>
  <si>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</si>
  <si>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</si>
  <si>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</si>
  <si>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</si>
  <si>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</si>
  <si>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</si>
  <si>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</si>
  <si>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</si>
  <si>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</si>
  <si>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</si>
  <si>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</si>
  <si>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</si>
  <si>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</si>
  <si>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</si>
  <si>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</si>
  <si>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</si>
  <si>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</si>
  <si>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</si>
  <si>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</si>
  <si>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</si>
  <si>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</si>
  <si>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</si>
  <si>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</si>
  <si>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</si>
  <si>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</si>
  <si>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</si>
  <si>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</si>
  <si>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</si>
  <si>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</si>
  <si>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</si>
  <si>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</si>
  <si>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</si>
  <si>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</si>
  <si>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</si>
  <si>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</si>
  <si>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</si>
  <si>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</si>
  <si>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</si>
  <si>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</si>
  <si>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</si>
  <si>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</si>
  <si>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</si>
  <si>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</si>
  <si>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</si>
  <si>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</si>
  <si>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</si>
  <si>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</si>
  <si>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</si>
  <si>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</si>
  <si>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</si>
  <si>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</si>
  <si>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</si>
  <si>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</si>
  <si>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</si>
  <si>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</si>
  <si>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</si>
  <si>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</si>
  <si>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</si>
  <si>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</si>
  <si>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</si>
  <si>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</si>
  <si>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</si>
  <si>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</si>
  <si>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</si>
  <si>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</si>
  <si>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</si>
  <si>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</si>
  <si>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</si>
  <si>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</si>
  <si>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</si>
  <si>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</si>
  <si>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</si>
  <si>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</si>
  <si>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</si>
  <si>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</si>
  <si>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</si>
  <si>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</si>
  <si>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</si>
  <si>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</si>
  <si>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</si>
  <si>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</si>
  <si>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</si>
  <si>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</si>
  <si>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</si>
  <si>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</si>
  <si>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</si>
  <si>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</si>
  <si>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</si>
  <si>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</si>
  <si>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</si>
  <si>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</si>
  <si>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</si>
  <si>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</si>
  <si>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</si>
  <si>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</si>
  <si>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</si>
  <si>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</si>
  <si>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</si>
  <si>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</si>
  <si>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</si>
  <si>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</si>
  <si>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</si>
  <si>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</si>
  <si>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</si>
  <si>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</si>
  <si>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</si>
  <si>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</si>
  <si>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</si>
  <si>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</si>
  <si>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</si>
  <si>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</si>
  <si>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</si>
  <si>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</si>
  <si>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</si>
  <si>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</si>
  <si>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</si>
  <si>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</si>
  <si>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</si>
  <si>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</si>
  <si>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</si>
  <si>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</si>
  <si>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</si>
  <si>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</si>
  <si>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</si>
  <si>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</si>
  <si>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</si>
  <si>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</si>
  <si>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</si>
  <si>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</si>
  <si>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</si>
  <si>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</si>
  <si>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</si>
  <si>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</si>
  <si>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</si>
  <si>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</si>
  <si>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</si>
  <si>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</si>
  <si>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</si>
  <si>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</si>
  <si>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</si>
  <si>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</si>
  <si>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</si>
  <si>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</si>
  <si>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</si>
  <si>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</si>
  <si>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</si>
  <si>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</si>
  <si>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</si>
  <si>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</si>
  <si>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</si>
  <si>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</si>
  <si>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</si>
  <si>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</si>
  <si>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</si>
  <si>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</si>
  <si>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</si>
  <si>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</si>
  <si>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</si>
  <si>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</si>
  <si>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</si>
  <si>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</si>
  <si>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</si>
  <si>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</si>
  <si>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</si>
  <si>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</si>
  <si>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</si>
  <si>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</si>
  <si>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</si>
  <si>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</si>
  <si>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</si>
  <si>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</si>
  <si>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</si>
  <si>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</si>
  <si>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</si>
  <si>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</si>
  <si>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</si>
  <si>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</si>
  <si>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</si>
  <si>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</si>
  <si>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</si>
  <si>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</si>
  <si>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</si>
  <si>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</si>
  <si>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</si>
  <si>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</si>
  <si>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</si>
  <si>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</si>
  <si>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</si>
  <si>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</si>
  <si>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</si>
  <si>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</si>
  <si>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</si>
  <si>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</si>
  <si>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</si>
  <si>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</si>
  <si>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</si>
  <si>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</si>
  <si>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</si>
  <si>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</si>
  <si>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</si>
  <si>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</si>
  <si>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</si>
  <si>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</si>
  <si>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</si>
  <si>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</si>
  <si>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</si>
  <si>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</si>
  <si>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</si>
  <si>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</si>
  <si>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</si>
  <si>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</si>
  <si>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</si>
  <si>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</si>
  <si>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</si>
  <si>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</si>
  <si>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</si>
  <si>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</si>
  <si>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</si>
  <si>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</si>
  <si>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</si>
  <si>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</si>
  <si>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</si>
  <si>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</si>
  <si>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</si>
  <si>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</si>
  <si>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</si>
  <si>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</si>
  <si>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</si>
  <si>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</si>
  <si>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</si>
  <si>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</si>
  <si>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</si>
  <si>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</si>
  <si>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</si>
  <si>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</si>
  <si>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</si>
  <si>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</si>
  <si>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</si>
  <si>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</si>
  <si>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</si>
  <si>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</si>
  <si>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</si>
  <si>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</si>
  <si>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</si>
  <si>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</si>
  <si>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</si>
  <si>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</si>
  <si>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</si>
  <si>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</si>
  <si>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</si>
  <si>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</si>
  <si>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</si>
  <si>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</si>
  <si>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</si>
  <si>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</si>
  <si>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</si>
  <si>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</si>
  <si>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</si>
  <si>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</si>
  <si>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</si>
  <si>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</si>
  <si>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</si>
  <si>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</si>
  <si>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</si>
  <si>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</si>
  <si>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</si>
  <si>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</si>
  <si>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</si>
  <si>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</si>
  <si>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</si>
  <si>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</si>
  <si>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</si>
  <si>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</si>
  <si>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</si>
  <si>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</si>
  <si>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</si>
  <si>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</si>
  <si>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</si>
  <si>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</si>
  <si>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</si>
  <si>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</si>
  <si>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</si>
  <si>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</si>
  <si>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</si>
  <si>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</si>
  <si>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</si>
  <si>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</si>
  <si>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</si>
  <si>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</si>
  <si>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</si>
  <si>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</si>
  <si>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</si>
  <si>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</si>
  <si>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</si>
  <si>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</si>
  <si>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</si>
  <si>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</si>
  <si>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</si>
  <si>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</si>
  <si>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</si>
  <si>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</si>
  <si>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</si>
  <si>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</si>
  <si>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</si>
  <si>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</si>
  <si>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</si>
  <si>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</si>
  <si>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</si>
  <si>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</si>
  <si>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</si>
  <si>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</si>
  <si>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</si>
  <si>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</si>
  <si>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</si>
  <si>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</si>
  <si>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</si>
  <si>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</si>
  <si>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</si>
  <si>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</si>
  <si>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</si>
  <si>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</si>
  <si>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</si>
  <si>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</si>
  <si>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</si>
  <si>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</si>
  <si>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</si>
  <si>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</si>
  <si>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</si>
  <si>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</si>
  <si>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</si>
  <si>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</si>
  <si>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</si>
  <si>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</si>
  <si>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</si>
  <si>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</si>
  <si>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</si>
  <si>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</si>
  <si>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</si>
  <si>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</si>
  <si>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</si>
  <si>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</si>
  <si>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</si>
  <si>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</si>
  <si>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</si>
  <si>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</si>
  <si>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</si>
  <si>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</si>
  <si>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</si>
  <si>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</si>
  <si>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</si>
  <si>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</si>
  <si>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</si>
  <si>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</si>
  <si>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</si>
  <si>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</si>
  <si>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</si>
  <si>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</si>
  <si>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</si>
  <si>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</si>
  <si>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</si>
  <si>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</si>
  <si>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</si>
  <si>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</si>
  <si>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</si>
  <si>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</si>
  <si>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</si>
  <si>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</si>
  <si>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</si>
  <si>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</si>
  <si>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</si>
  <si>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</si>
  <si>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</si>
  <si>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</si>
  <si>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</si>
  <si>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</si>
  <si>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</si>
  <si>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</si>
  <si>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</si>
  <si>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</si>
  <si>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</si>
  <si>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</si>
  <si>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</si>
  <si>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</si>
  <si>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</si>
  <si>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</si>
  <si>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</si>
  <si>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</si>
  <si>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</si>
  <si>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</si>
  <si>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</si>
  <si>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</si>
  <si>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</si>
  <si>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</si>
  <si>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</si>
  <si>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</si>
  <si>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</si>
  <si>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</si>
  <si>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</si>
  <si>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</si>
  <si>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</si>
  <si>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</si>
  <si>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</si>
  <si>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</si>
  <si>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</si>
  <si>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</si>
  <si>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</si>
  <si>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</si>
  <si>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</si>
  <si>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</si>
  <si>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</si>
  <si>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</si>
  <si>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</si>
  <si>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</si>
  <si>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</si>
  <si>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</si>
  <si>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</si>
  <si>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</si>
  <si>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</si>
  <si>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</si>
  <si>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</si>
  <si>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</si>
  <si>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</si>
  <si>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</si>
  <si>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</si>
  <si>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</si>
  <si>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</si>
  <si>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</si>
  <si>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</si>
  <si>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</si>
  <si>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</si>
  <si>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</si>
  <si>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</si>
  <si>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</si>
  <si>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</si>
  <si>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</si>
  <si>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</si>
  <si>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</si>
  <si>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</si>
  <si>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</si>
  <si>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</si>
  <si>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</si>
  <si>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</si>
  <si>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</si>
  <si>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</si>
  <si>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</si>
  <si>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</si>
  <si>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</si>
  <si>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</si>
  <si>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</si>
  <si>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</si>
  <si>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</si>
  <si>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</si>
  <si>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</si>
  <si>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</si>
  <si>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</si>
  <si>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</si>
  <si>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</si>
  <si>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</si>
  <si>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</si>
  <si>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</si>
  <si>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</si>
  <si>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</si>
  <si>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</si>
  <si>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</si>
  <si>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</si>
  <si>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</si>
  <si>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</si>
  <si>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</si>
  <si>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</si>
  <si>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</si>
  <si>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</si>
  <si>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</si>
  <si>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</si>
  <si>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</si>
  <si>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</si>
  <si>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</si>
  <si>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</si>
  <si>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</si>
  <si>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</si>
  <si>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</si>
  <si>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</si>
  <si>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</si>
  <si>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</si>
  <si>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</si>
  <si>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</si>
  <si>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</si>
  <si>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</si>
  <si>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</si>
  <si>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</si>
  <si>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</si>
  <si>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</si>
  <si>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</si>
  <si>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</si>
  <si>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</si>
  <si>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</si>
  <si>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</si>
  <si>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</si>
  <si>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</si>
  <si>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</si>
  <si>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</si>
  <si>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</si>
  <si>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</si>
  <si>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</si>
  <si>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</si>
  <si>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</si>
  <si>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</si>
  <si>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</si>
  <si>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</si>
  <si>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</si>
  <si>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</si>
  <si>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</si>
  <si>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</si>
  <si>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</si>
  <si>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</si>
  <si>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</si>
  <si>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</si>
  <si>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</si>
  <si>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</si>
  <si>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</si>
  <si>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</si>
  <si>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</si>
  <si>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</si>
  <si>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</si>
  <si>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</si>
  <si>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</si>
  <si>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</si>
  <si>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</si>
  <si>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</si>
  <si>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</si>
  <si>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</si>
  <si>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</si>
  <si>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</si>
  <si>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</si>
  <si>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</si>
  <si>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</si>
  <si>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</si>
  <si>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</si>
  <si>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</si>
  <si>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</si>
  <si>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</si>
  <si>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</si>
  <si>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</si>
  <si>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</si>
  <si>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</si>
  <si>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</si>
  <si>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</si>
  <si>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</si>
  <si>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</si>
  <si>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</si>
  <si>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</si>
  <si>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</si>
  <si>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</si>
  <si>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</si>
  <si>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</si>
  <si>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</si>
  <si>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</si>
  <si>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</si>
  <si>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</si>
  <si>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</si>
  <si>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</si>
  <si>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</si>
  <si>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</si>
  <si>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</si>
  <si>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</si>
  <si>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</si>
  <si>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</si>
  <si>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</si>
  <si>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</si>
  <si>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</si>
  <si>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</si>
  <si>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</si>
  <si>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</si>
  <si>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</si>
  <si>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</si>
  <si>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</si>
  <si>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</si>
  <si>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</si>
  <si>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</si>
  <si>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</si>
  <si>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</si>
  <si>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</si>
  <si>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</si>
  <si>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</si>
  <si>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</si>
  <si>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</si>
  <si>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</si>
  <si>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</si>
  <si>
    <t>ADS7046</t>
  </si>
  <si>
    <t>12-Bit  3-MSPS Single-Ended Input Small-Size Low-Power SAR ADC</t>
  </si>
  <si>
    <t>https://www.ti.com/lit/ds/symlink/ads7046.pdf</t>
  </si>
  <si>
    <t>296-48818-1-ND</t>
  </si>
  <si>
    <t>ADS7046IRUGR</t>
  </si>
  <si>
    <t>C543003</t>
  </si>
  <si>
    <t>MAX40100</t>
  </si>
  <si>
    <t>maxim Integrated</t>
  </si>
  <si>
    <t>BGA</t>
  </si>
  <si>
    <t>OPA_OB3_PB1_NB2_VCCA2_VEEA1_SHA3</t>
  </si>
  <si>
    <t>BGA006C035P2X3_072X107X050</t>
  </si>
  <si>
    <t>https://www.analog.com/media/en/technical-documentation/data-sheets/MAX40100.pdf</t>
  </si>
  <si>
    <t>maxim integrated</t>
  </si>
  <si>
    <t>MAX40100ANT+T</t>
  </si>
  <si>
    <t>MAX40100ANT+TCT-ND</t>
  </si>
  <si>
    <t>C2057616</t>
  </si>
  <si>
    <t>Precision Low-Power and Low-Noise Op Amp with RRIO</t>
  </si>
  <si>
    <t>AD8605ACBZ-REEL7</t>
  </si>
  <si>
    <t>AD8606ACBZ-REEL7</t>
  </si>
  <si>
    <t>AD8606ACBZ</t>
  </si>
  <si>
    <t>AD8605ACBZ</t>
  </si>
  <si>
    <t>Single Precision Low Noise CMOS Rail-to-Rail Input/Output Operational Amplifiers</t>
  </si>
  <si>
    <t>Dual Precision Low Noise CMOS Rail-to-Rail Input/Output Operational Amplifiers</t>
  </si>
  <si>
    <t>OPA2_OA1-A3_PC1-C3_NB1-B3_VCCA2_VEEC2</t>
  </si>
  <si>
    <t>BGA005C050P2X3_090X129X055</t>
  </si>
  <si>
    <t>BGA008C050P3X3_143X177X059</t>
  </si>
  <si>
    <t>https://www.analog.com/media/en/technical-documentation/data-sheets/ad8605_8606_8608.pdf</t>
  </si>
  <si>
    <t>505-AD8605ACBZ-REEL7CT-ND</t>
  </si>
  <si>
    <t>505-AD8606ACBZ-REEL7CT-ND</t>
  </si>
  <si>
    <t>C143895</t>
  </si>
  <si>
    <t>C206677</t>
  </si>
  <si>
    <t>QFN040P140X180X050-10</t>
  </si>
  <si>
    <t>NX3L2267</t>
  </si>
  <si>
    <t>Low-ohmic dual single-pole double-throw analog switch</t>
  </si>
  <si>
    <t>NXP Semiconductors</t>
  </si>
  <si>
    <t>XQFN10</t>
  </si>
  <si>
    <t>NX3L2267_XQFN10</t>
  </si>
  <si>
    <t>https://www.nxp.com/docs/en/data-sheet/NX3L2267.pdf</t>
  </si>
  <si>
    <t>NX3L2267GU,115</t>
  </si>
  <si>
    <t>568-8411-1-ND</t>
  </si>
  <si>
    <t>C2673419</t>
  </si>
  <si>
    <t>LT6370IS8E</t>
  </si>
  <si>
    <t>LT6370IMS8</t>
  </si>
  <si>
    <t>LT6370IDD</t>
  </si>
  <si>
    <t>25µV 0.3µV/°C Low Noise Instrumentation Amplifier</t>
  </si>
  <si>
    <t>https://www.analog.com/media/en/technical-documentation/data-sheets/lt6370.pdf</t>
  </si>
  <si>
    <t>LT6370_DD</t>
  </si>
  <si>
    <t>LT6370_S8</t>
  </si>
  <si>
    <t>DFN050P300X300X075-8-EP238X165</t>
  </si>
  <si>
    <t>505-LT6370IS8E#PBF-ND</t>
  </si>
  <si>
    <t>LT6370IS8E#PBF</t>
  </si>
  <si>
    <t>505-LT6370HMS8#TRPBFCT-ND</t>
  </si>
  <si>
    <t>LT6370HMS8#TRPBF</t>
  </si>
  <si>
    <t>505-LT6370IDD#TRPBFCT-ND</t>
  </si>
  <si>
    <t>LT6370IDD#TRPBF</t>
  </si>
  <si>
    <t>DFN-10</t>
  </si>
  <si>
    <t>C673100</t>
  </si>
  <si>
    <t>LT6370IMS8#PBF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</si>
</sst>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Hyperlink" xfId="2" builtinId="8"/>
    <cellStyle name="Normal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916"/>
  <sheetViews>
    <sheetView tabSelected="1" workbookViewId="0">
      <pane xSplit="2" ySplit="1" topLeftCell="O339" activePane="bottomRight" state="frozen"/>
      <selection pane="topRight" activeCell="C1" sqref="C1"/>
      <selection pane="bottomLeft" activeCell="A2" sqref="A2"/>
      <selection pane="bottomRight" activeCell="AG371" sqref="AG371"/>
    </sheetView>
  </sheetViews>
  <sheetFormatPr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14572</v>
      </c>
      <c r="X197" s="17" t="s">
        <v>16841</v>
      </c>
      <c r="Y197" s="16" t="s">
        <v>4559</v>
      </c>
      <c r="Z197" s="17" t="s">
        <v>16842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16760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16761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16762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16866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16851</v>
      </c>
      <c r="Y236" s="16" t="s">
        <v>4559</v>
      </c>
      <c r="Z236" s="17" t="s">
        <v>16852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14572</v>
      </c>
      <c r="X237" s="17" t="s">
        <v>16853</v>
      </c>
      <c r="Y237" s="16" t="s">
        <v>4559</v>
      </c>
      <c r="Z237" s="17" t="s">
        <v>16854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14572</v>
      </c>
      <c r="X264" s="17" t="s">
        <v>16849</v>
      </c>
      <c r="Y264" s="16" t="s">
        <v>4559</v>
      </c>
      <c r="Z264" s="17" t="s">
        <v>16850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14572</v>
      </c>
      <c r="X265" s="17" t="s">
        <v>16855</v>
      </c>
      <c r="Y265" s="16" t="s">
        <v>4559</v>
      </c>
      <c r="Z265" s="17" t="s">
        <v>16856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14572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16859</v>
      </c>
      <c r="Y274" s="16" t="s">
        <v>4559</v>
      </c>
      <c r="Z274" s="17" t="s">
        <v>16860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14572</v>
      </c>
      <c r="X275" s="17" t="s">
        <v>16857</v>
      </c>
      <c r="Y275" s="16" t="s">
        <v>4559</v>
      </c>
      <c r="Z275" s="17" t="s">
        <v>16858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16861</v>
      </c>
      <c r="Y284" s="16" t="s">
        <v>4559</v>
      </c>
      <c r="Z284" s="17" t="s">
        <v>16862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16863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16864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16699</v>
      </c>
      <c r="B441" s="17" t="s">
        <v>16699</v>
      </c>
      <c r="C441" s="17" t="s">
        <v>16700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16652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16715</v>
      </c>
      <c r="Q441" t="s">
        <v>25</v>
      </c>
      <c r="R441" s="17" t="s">
        <v>16737</v>
      </c>
      <c r="S441" s="17"/>
      <c r="T441" s="17"/>
      <c r="U441" s="17"/>
      <c r="V441" s="17"/>
      <c r="W441" s="17" t="s">
        <v>477</v>
      </c>
      <c r="X441" s="17" t="s">
        <v>16715</v>
      </c>
      <c r="Y441" s="17" t="s">
        <v>4559</v>
      </c>
      <c r="Z441" s="17" t="s">
        <v>16716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16701</v>
      </c>
      <c r="B463" s="17" t="s">
        <v>16701</v>
      </c>
      <c r="C463" s="17" t="s">
        <v>16702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16652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16717</v>
      </c>
      <c r="Q463" t="s">
        <v>25</v>
      </c>
      <c r="R463" s="17" t="s">
        <v>16738</v>
      </c>
      <c r="S463" s="17"/>
      <c r="T463" s="17"/>
      <c r="U463" s="17"/>
      <c r="V463" s="17"/>
      <c r="W463" s="17" t="s">
        <v>477</v>
      </c>
      <c r="X463" s="17" t="s">
        <v>16717</v>
      </c>
      <c r="Y463" s="17" t="s">
        <v>4559</v>
      </c>
      <c r="Z463" s="17" t="s">
        <v>16718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16703</v>
      </c>
      <c r="B467" s="17" t="s">
        <v>16703</v>
      </c>
      <c r="C467" s="17" t="s">
        <v>16710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16652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16719</v>
      </c>
      <c r="Q467" t="s">
        <v>25</v>
      </c>
      <c r="R467" s="17" t="s">
        <v>16739</v>
      </c>
      <c r="S467" s="17"/>
      <c r="T467" s="17"/>
      <c r="U467" s="17"/>
      <c r="V467" s="17"/>
      <c r="W467" s="17" t="s">
        <v>477</v>
      </c>
      <c r="X467" s="17" t="s">
        <v>16719</v>
      </c>
      <c r="Y467" s="17" t="s">
        <v>4559</v>
      </c>
      <c r="Z467" s="17" t="s">
        <v>16720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16865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16704</v>
      </c>
      <c r="B476" s="17" t="s">
        <v>16704</v>
      </c>
      <c r="C476" s="17" t="s">
        <v>16711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16652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16721</v>
      </c>
      <c r="Q476" t="s">
        <v>25</v>
      </c>
      <c r="R476" s="17" t="s">
        <v>16740</v>
      </c>
      <c r="S476" s="17"/>
      <c r="T476" s="17"/>
      <c r="U476" s="17"/>
      <c r="V476" s="17"/>
      <c r="W476" s="17" t="s">
        <v>477</v>
      </c>
      <c r="X476" s="17" t="s">
        <v>16721</v>
      </c>
      <c r="Y476" s="17" t="s">
        <v>4559</v>
      </c>
      <c r="Z476" s="17" t="s">
        <v>16722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16705</v>
      </c>
      <c r="B478" s="17" t="s">
        <v>16705</v>
      </c>
      <c r="C478" s="17" t="s">
        <v>16733</v>
      </c>
      <c r="D478" s="17" t="s">
        <v>21</v>
      </c>
      <c r="E478" s="24" t="s">
        <v>6449</v>
      </c>
      <c r="F478" s="17" t="s">
        <v>16736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16652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16723</v>
      </c>
      <c r="Q478" t="s">
        <v>25</v>
      </c>
      <c r="R478" s="17" t="s">
        <v>16741</v>
      </c>
      <c r="S478" s="17"/>
      <c r="T478" s="17"/>
      <c r="U478" s="17"/>
      <c r="V478" s="17"/>
      <c r="W478" s="8" t="s">
        <v>477</v>
      </c>
      <c r="X478" s="8" t="s">
        <v>16723</v>
      </c>
      <c r="Y478" t="s">
        <v>4559</v>
      </c>
      <c r="Z478" s="8" t="s">
        <v>16724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16706</v>
      </c>
      <c r="B480" s="17" t="s">
        <v>16706</v>
      </c>
      <c r="C480" s="17" t="s">
        <v>16734</v>
      </c>
      <c r="D480" s="17" t="s">
        <v>21</v>
      </c>
      <c r="E480" s="24" t="s">
        <v>6449</v>
      </c>
      <c r="F480" s="17" t="s">
        <v>16735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16652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16725</v>
      </c>
      <c r="Q480" t="s">
        <v>25</v>
      </c>
      <c r="R480" s="17" t="s">
        <v>16742</v>
      </c>
      <c r="S480" s="17"/>
      <c r="T480" s="17"/>
      <c r="U480" s="17"/>
      <c r="V480" s="17"/>
      <c r="W480" s="17" t="s">
        <v>477</v>
      </c>
      <c r="X480" s="17" t="s">
        <v>16725</v>
      </c>
      <c r="Y480" t="s">
        <v>4559</v>
      </c>
      <c r="Z480" s="17" t="s">
        <v>16726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16707</v>
      </c>
      <c r="B484" s="17" t="s">
        <v>16707</v>
      </c>
      <c r="C484" s="17" t="s">
        <v>16712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16652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16727</v>
      </c>
      <c r="Q484" t="s">
        <v>25</v>
      </c>
      <c r="R484" s="17" t="s">
        <v>16743</v>
      </c>
      <c r="S484" s="17"/>
      <c r="T484" s="17"/>
      <c r="U484" s="17"/>
      <c r="V484" s="17"/>
      <c r="W484" s="17" t="s">
        <v>477</v>
      </c>
      <c r="X484" s="17" t="s">
        <v>16727</v>
      </c>
      <c r="Y484" s="17" t="s">
        <v>4559</v>
      </c>
      <c r="Z484" s="17" t="s">
        <v>16728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16708</v>
      </c>
      <c r="B492" s="17" t="s">
        <v>16708</v>
      </c>
      <c r="C492" s="17" t="s">
        <v>16713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16652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16729</v>
      </c>
      <c r="Q492" t="s">
        <v>25</v>
      </c>
      <c r="R492" s="17" t="s">
        <v>16744</v>
      </c>
      <c r="S492" s="17"/>
      <c r="T492" s="17"/>
      <c r="U492" s="17"/>
      <c r="V492" s="17"/>
      <c r="W492" s="17" t="s">
        <v>477</v>
      </c>
      <c r="X492" s="17" t="s">
        <v>16729</v>
      </c>
      <c r="Y492" s="17" t="s">
        <v>4559</v>
      </c>
      <c r="Z492" s="17" t="s">
        <v>16730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16709</v>
      </c>
      <c r="B494" s="17" t="s">
        <v>16709</v>
      </c>
      <c r="C494" s="17" t="s">
        <v>16714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16652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16731</v>
      </c>
      <c r="Q494" t="s">
        <v>25</v>
      </c>
      <c r="R494" s="17" t="s">
        <v>16745</v>
      </c>
      <c r="S494" s="17"/>
      <c r="T494" s="17"/>
      <c r="U494" s="17"/>
      <c r="V494" s="17"/>
      <c r="W494" s="17" t="s">
        <v>477</v>
      </c>
      <c r="X494" s="17" t="s">
        <v>16731</v>
      </c>
      <c r="Y494" s="17" t="s">
        <v>4559</v>
      </c>
      <c r="Z494" s="17" t="s">
        <v>16732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16653</v>
      </c>
      <c r="B498" s="17" t="s">
        <v>16653</v>
      </c>
      <c r="C498" s="17" t="s">
        <v>16654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16652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16669</v>
      </c>
      <c r="Q498" t="s">
        <v>25</v>
      </c>
      <c r="R498" s="17" t="s">
        <v>16670</v>
      </c>
      <c r="S498" s="17"/>
      <c r="T498" s="17"/>
      <c r="U498" s="17"/>
      <c r="V498" s="17"/>
      <c r="W498" s="42" t="s">
        <v>6382</v>
      </c>
      <c r="X498" s="8" t="s">
        <v>16685</v>
      </c>
      <c r="Y498" t="s">
        <v>4559</v>
      </c>
      <c r="Z498" s="8" t="s">
        <v>16686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16655</v>
      </c>
      <c r="B502" s="17" t="s">
        <v>16655</v>
      </c>
      <c r="C502" s="17" t="s">
        <v>16656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16652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16671</v>
      </c>
      <c r="Q502" t="s">
        <v>25</v>
      </c>
      <c r="R502" s="17" t="s">
        <v>16672</v>
      </c>
      <c r="S502" s="17"/>
      <c r="T502" s="17"/>
      <c r="U502" s="17"/>
      <c r="V502" s="17"/>
      <c r="W502" s="17" t="s">
        <v>14572</v>
      </c>
      <c r="X502" s="17" t="s">
        <v>16687</v>
      </c>
      <c r="Y502" s="17" t="s">
        <v>4559</v>
      </c>
      <c r="Z502" s="17" t="s">
        <v>16688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16657</v>
      </c>
      <c r="B504" s="17" t="s">
        <v>16657</v>
      </c>
      <c r="C504" s="17" t="s">
        <v>16668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16652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16673</v>
      </c>
      <c r="Q504" t="s">
        <v>25</v>
      </c>
      <c r="R504" s="17" t="s">
        <v>16674</v>
      </c>
      <c r="S504" s="17"/>
      <c r="T504" s="17"/>
      <c r="U504" s="17"/>
      <c r="V504" s="17"/>
      <c r="W504" s="17" t="s">
        <v>477</v>
      </c>
      <c r="X504" s="17" t="s">
        <v>16673</v>
      </c>
      <c r="Y504" s="17" t="s">
        <v>4559</v>
      </c>
      <c r="Z504" s="17" t="s">
        <v>16689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16658</v>
      </c>
      <c r="B508" s="17" t="s">
        <v>16658</v>
      </c>
      <c r="C508" s="17" t="s">
        <v>16667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16652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16677</v>
      </c>
      <c r="Q508" t="s">
        <v>25</v>
      </c>
      <c r="R508" s="17" t="s">
        <v>16678</v>
      </c>
      <c r="S508" s="17"/>
      <c r="T508" s="17"/>
      <c r="U508" s="17"/>
      <c r="V508" s="17"/>
      <c r="W508" s="17" t="s">
        <v>477</v>
      </c>
      <c r="X508" s="17" t="s">
        <v>16677</v>
      </c>
      <c r="Y508" t="s">
        <v>4559</v>
      </c>
      <c r="Z508" s="17" t="s">
        <v>16690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16659</v>
      </c>
      <c r="B510" s="17" t="s">
        <v>16659</v>
      </c>
      <c r="C510" s="17" t="s">
        <v>16666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16652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16675</v>
      </c>
      <c r="Q510" t="s">
        <v>25</v>
      </c>
      <c r="R510" s="17" t="s">
        <v>16676</v>
      </c>
      <c r="S510" s="17"/>
      <c r="T510" s="17"/>
      <c r="U510" s="17"/>
      <c r="V510" s="17"/>
      <c r="W510" s="17" t="s">
        <v>6382</v>
      </c>
      <c r="X510" s="17" t="s">
        <v>16691</v>
      </c>
      <c r="Y510" t="s">
        <v>4559</v>
      </c>
      <c r="Z510" s="17" t="s">
        <v>16692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16660</v>
      </c>
      <c r="B515" s="17" t="s">
        <v>16660</v>
      </c>
      <c r="C515" s="17" t="s">
        <v>16665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16652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16679</v>
      </c>
      <c r="Q515" t="s">
        <v>25</v>
      </c>
      <c r="R515" s="17" t="s">
        <v>16680</v>
      </c>
      <c r="S515" s="17"/>
      <c r="T515" s="17"/>
      <c r="U515" s="17"/>
      <c r="V515" s="17"/>
      <c r="W515" s="17" t="s">
        <v>477</v>
      </c>
      <c r="X515" s="17" t="s">
        <v>16693</v>
      </c>
      <c r="Y515" s="17" t="s">
        <v>4559</v>
      </c>
      <c r="Z515" s="17" t="s">
        <v>16694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16661</v>
      </c>
      <c r="B522" s="17" t="s">
        <v>16661</v>
      </c>
      <c r="C522" s="17" t="s">
        <v>16664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16652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16681</v>
      </c>
      <c r="Q522" t="s">
        <v>25</v>
      </c>
      <c r="R522" s="17" t="s">
        <v>16682</v>
      </c>
      <c r="S522" s="17"/>
      <c r="T522" s="17"/>
      <c r="U522" s="17"/>
      <c r="V522" s="17"/>
      <c r="W522" s="17" t="s">
        <v>477</v>
      </c>
      <c r="X522" s="17" t="s">
        <v>16681</v>
      </c>
      <c r="Y522" s="17" t="s">
        <v>4559</v>
      </c>
      <c r="Z522" s="17" t="s">
        <v>16695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16662</v>
      </c>
      <c r="B524" s="17" t="s">
        <v>16662</v>
      </c>
      <c r="C524" s="17" t="s">
        <v>16663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16652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16683</v>
      </c>
      <c r="Q524" t="s">
        <v>25</v>
      </c>
      <c r="R524" s="17" t="s">
        <v>16684</v>
      </c>
      <c r="S524" s="17"/>
      <c r="T524" s="17"/>
      <c r="U524" s="17"/>
      <c r="V524" s="17"/>
      <c r="W524" s="17" t="s">
        <v>16696</v>
      </c>
      <c r="X524" s="17" t="s">
        <v>16697</v>
      </c>
      <c r="Y524" s="17" t="s">
        <v>4559</v>
      </c>
      <c r="Z524" s="17" t="s">
        <v>16698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16652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16844</v>
      </c>
      <c r="B677" t="s">
        <v>16844</v>
      </c>
      <c r="C677" t="s">
        <v>16845</v>
      </c>
      <c r="D677" t="s">
        <v>21</v>
      </c>
      <c r="E677" s="24" t="s">
        <v>6767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1000000</v>
      </c>
      <c r="N677" s="17" t="s">
        <v>14078</v>
      </c>
      <c r="O677" s="17" t="s">
        <v>477</v>
      </c>
      <c r="P677" s="17" t="s">
        <v>16846</v>
      </c>
      <c r="Q677" t="s">
        <v>25</v>
      </c>
      <c r="R677" s="17" t="s">
        <v>16847</v>
      </c>
      <c r="S677" s="17"/>
      <c r="T677" s="17"/>
      <c r="U677" s="17"/>
      <c r="V677" s="17"/>
      <c r="W677" s="17" t="s">
        <v>477</v>
      </c>
      <c r="X677" s="17" t="s">
        <v>16846</v>
      </c>
      <c r="Y677" s="17" t="s">
        <v>4559</v>
      </c>
      <c r="Z677" s="17" t="s">
        <v>16848</v>
      </c>
      <c r="AA677" t="s">
        <v>4727</v>
      </c>
      <c r="AB677" s="17"/>
    </row>
    <row r="678" spans="1:28">
      <c r="A678" s="17" t="s">
        <v>9184</v>
      </c>
      <c r="B678" s="17" t="s">
        <v>9184</v>
      </c>
      <c r="C678" s="17" t="s">
        <v>9185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9186</v>
      </c>
      <c r="B679" s="17" t="s">
        <v>9186</v>
      </c>
      <c r="C679" s="17" t="s">
        <v>9187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9188</v>
      </c>
      <c r="B680" s="17" t="s">
        <v>9188</v>
      </c>
      <c r="C680" s="17" t="s">
        <v>9189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9190</v>
      </c>
      <c r="B681" s="17" t="s">
        <v>9190</v>
      </c>
      <c r="C681" s="17" t="s">
        <v>9191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9192</v>
      </c>
      <c r="B682" s="17" t="s">
        <v>9192</v>
      </c>
      <c r="C682" s="17" t="s">
        <v>9193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9194</v>
      </c>
      <c r="B683" s="17" t="s">
        <v>9194</v>
      </c>
      <c r="C683" s="17" t="s">
        <v>9195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9196</v>
      </c>
      <c r="B684" s="17" t="s">
        <v>9196</v>
      </c>
      <c r="C684" s="17" t="s">
        <v>9197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9198</v>
      </c>
      <c r="B685" s="17" t="s">
        <v>9198</v>
      </c>
      <c r="C685" s="17" t="s">
        <v>9199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9200</v>
      </c>
      <c r="B686" s="17" t="s">
        <v>9200</v>
      </c>
      <c r="C686" s="17" t="s">
        <v>9201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9202</v>
      </c>
      <c r="B687" s="17" t="s">
        <v>9202</v>
      </c>
      <c r="C687" s="17" t="s">
        <v>9203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9204</v>
      </c>
      <c r="B688" s="17" t="s">
        <v>9204</v>
      </c>
      <c r="C688" s="17" t="s">
        <v>9205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9206</v>
      </c>
      <c r="B689" s="17" t="s">
        <v>9206</v>
      </c>
      <c r="C689" s="17" t="s">
        <v>9207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9208</v>
      </c>
      <c r="B690" s="17" t="s">
        <v>9208</v>
      </c>
      <c r="C690" s="17" t="s">
        <v>9209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9210</v>
      </c>
      <c r="B691" s="17" t="s">
        <v>9210</v>
      </c>
      <c r="C691" s="17" t="s">
        <v>9211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9212</v>
      </c>
      <c r="B692" s="17" t="s">
        <v>9212</v>
      </c>
      <c r="C692" s="17" t="s">
        <v>9213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9214</v>
      </c>
      <c r="B693" s="17" t="s">
        <v>9214</v>
      </c>
      <c r="C693" s="17" t="s">
        <v>9215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9216</v>
      </c>
      <c r="B694" s="17" t="s">
        <v>9216</v>
      </c>
      <c r="C694" s="17" t="s">
        <v>9217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9218</v>
      </c>
      <c r="B695" s="17" t="s">
        <v>9218</v>
      </c>
      <c r="C695" s="17" t="s">
        <v>9219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9220</v>
      </c>
      <c r="B696" s="17" t="s">
        <v>9220</v>
      </c>
      <c r="C696" s="17" t="s">
        <v>9221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9222</v>
      </c>
      <c r="B697" s="17" t="s">
        <v>9222</v>
      </c>
      <c r="C697" s="17" t="s">
        <v>9223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9224</v>
      </c>
      <c r="B698" s="17" t="s">
        <v>9224</v>
      </c>
      <c r="C698" s="17" t="s">
        <v>9225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9226</v>
      </c>
      <c r="B699" s="17" t="s">
        <v>9226</v>
      </c>
      <c r="C699" s="17" t="s">
        <v>9227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9228</v>
      </c>
      <c r="B700" s="17" t="s">
        <v>9228</v>
      </c>
      <c r="C700" s="17" t="s">
        <v>9229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9230</v>
      </c>
      <c r="B701" s="17" t="s">
        <v>9230</v>
      </c>
      <c r="C701" s="17" t="s">
        <v>9231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14077</v>
      </c>
      <c r="O701" s="17" t="s">
        <v>477</v>
      </c>
      <c r="P701" s="17" t="s">
        <v>14079</v>
      </c>
      <c r="Q701" t="s">
        <v>25</v>
      </c>
      <c r="R701" s="17" t="s">
        <v>14080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14076</v>
      </c>
      <c r="B702" s="17" t="s">
        <v>14076</v>
      </c>
      <c r="C702" s="17" t="s">
        <v>14087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6413</v>
      </c>
      <c r="K702" s="17"/>
      <c r="L702" s="17"/>
      <c r="M702" s="21">
        <v>10000000</v>
      </c>
      <c r="N702" s="17" t="s">
        <v>14078</v>
      </c>
      <c r="O702" s="17" t="s">
        <v>477</v>
      </c>
      <c r="P702" s="17" t="s">
        <v>14081</v>
      </c>
      <c r="Q702" t="s">
        <v>25</v>
      </c>
      <c r="R702" s="17" t="s">
        <v>14082</v>
      </c>
      <c r="S702" s="17"/>
      <c r="T702" s="17"/>
      <c r="U702" s="17"/>
      <c r="V702" s="17"/>
      <c r="W702" s="17" t="s">
        <v>477</v>
      </c>
      <c r="X702" s="17" t="s">
        <v>14081</v>
      </c>
      <c r="Y702" s="17" t="s">
        <v>4559</v>
      </c>
      <c r="Z702" s="17" t="s">
        <v>14083</v>
      </c>
      <c r="AA702" t="s">
        <v>4727</v>
      </c>
      <c r="AB702" s="17"/>
    </row>
    <row r="703" spans="1:28">
      <c r="A703" s="16" t="s">
        <v>9232</v>
      </c>
      <c r="B703" s="16" t="s">
        <v>9232</v>
      </c>
      <c r="C703" s="16" t="s">
        <v>9233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12538</v>
      </c>
      <c r="K703" s="17"/>
      <c r="L703" s="17"/>
      <c r="M703" s="19">
        <v>0</v>
      </c>
      <c r="N703" s="17" t="s">
        <v>14077</v>
      </c>
      <c r="O703" s="17" t="s">
        <v>477</v>
      </c>
      <c r="P703" s="17" t="s">
        <v>12551</v>
      </c>
      <c r="Q703" s="16" t="s">
        <v>25</v>
      </c>
      <c r="R703" s="17" t="s">
        <v>12552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9234</v>
      </c>
      <c r="B704" s="17" t="s">
        <v>9234</v>
      </c>
      <c r="C704" s="17" t="s">
        <v>9235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9236</v>
      </c>
      <c r="B705" s="17" t="s">
        <v>9236</v>
      </c>
      <c r="C705" s="17" t="s">
        <v>9237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9238</v>
      </c>
      <c r="B706" s="17" t="s">
        <v>9238</v>
      </c>
      <c r="C706" s="17" t="s">
        <v>9239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9240</v>
      </c>
      <c r="B707" s="17" t="s">
        <v>9240</v>
      </c>
      <c r="C707" s="17" t="s">
        <v>9241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9242</v>
      </c>
      <c r="B708" s="17" t="s">
        <v>9242</v>
      </c>
      <c r="C708" s="17" t="s">
        <v>9243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9244</v>
      </c>
      <c r="B709" s="17" t="s">
        <v>9244</v>
      </c>
      <c r="C709" s="17" t="s">
        <v>9245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9246</v>
      </c>
      <c r="B710" s="17" t="s">
        <v>9246</v>
      </c>
      <c r="C710" s="17" t="s">
        <v>9247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9248</v>
      </c>
      <c r="B711" s="17" t="s">
        <v>9248</v>
      </c>
      <c r="C711" s="17" t="s">
        <v>9249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9250</v>
      </c>
      <c r="B712" s="17" t="s">
        <v>9250</v>
      </c>
      <c r="C712" s="17" t="s">
        <v>9251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9252</v>
      </c>
      <c r="B713" s="17" t="s">
        <v>9252</v>
      </c>
      <c r="C713" s="17" t="s">
        <v>9253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9254</v>
      </c>
      <c r="B714" s="17" t="s">
        <v>9254</v>
      </c>
      <c r="C714" s="17" t="s">
        <v>9255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9256</v>
      </c>
      <c r="B715" s="17" t="s">
        <v>9256</v>
      </c>
      <c r="C715" s="17" t="s">
        <v>9257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9258</v>
      </c>
      <c r="B716" s="17" t="s">
        <v>9258</v>
      </c>
      <c r="C716" s="17" t="s">
        <v>9259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9260</v>
      </c>
      <c r="B717" s="17" t="s">
        <v>9260</v>
      </c>
      <c r="C717" s="17" t="s">
        <v>9261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9262</v>
      </c>
      <c r="B718" s="17" t="s">
        <v>9262</v>
      </c>
      <c r="C718" s="17" t="s">
        <v>9263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9264</v>
      </c>
      <c r="B719" s="17" t="s">
        <v>9264</v>
      </c>
      <c r="C719" s="17" t="s">
        <v>9265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9266</v>
      </c>
      <c r="B720" s="17" t="s">
        <v>9266</v>
      </c>
      <c r="C720" s="17" t="s">
        <v>9267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9268</v>
      </c>
      <c r="B721" s="17" t="s">
        <v>9268</v>
      </c>
      <c r="C721" s="17" t="s">
        <v>9269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9270</v>
      </c>
      <c r="B722" s="17" t="s">
        <v>9270</v>
      </c>
      <c r="C722" s="17" t="s">
        <v>9271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9272</v>
      </c>
      <c r="B723" s="17" t="s">
        <v>9272</v>
      </c>
      <c r="C723" s="17" t="s">
        <v>9273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9274</v>
      </c>
      <c r="B724" s="17" t="s">
        <v>9274</v>
      </c>
      <c r="C724" s="17" t="s">
        <v>9275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9276</v>
      </c>
      <c r="B725" s="17" t="s">
        <v>9276</v>
      </c>
      <c r="C725" s="17" t="s">
        <v>9277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9278</v>
      </c>
      <c r="B726" s="17" t="s">
        <v>9278</v>
      </c>
      <c r="C726" s="17" t="s">
        <v>9279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9280</v>
      </c>
      <c r="B727" s="17" t="s">
        <v>9280</v>
      </c>
      <c r="C727" s="17" t="s">
        <v>9281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9282</v>
      </c>
      <c r="B728" s="17" t="s">
        <v>9282</v>
      </c>
      <c r="C728" s="17" t="s">
        <v>9283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10</v>
      </c>
      <c r="N728" s="17" t="s">
        <v>14077</v>
      </c>
      <c r="O728" s="17" t="s">
        <v>477</v>
      </c>
      <c r="P728" s="17" t="s">
        <v>12549</v>
      </c>
      <c r="Q728" t="s">
        <v>25</v>
      </c>
      <c r="R728" s="17" t="s">
        <v>12550</v>
      </c>
      <c r="S728" s="17"/>
      <c r="T728" s="17"/>
      <c r="U728" s="17"/>
      <c r="V728" s="17"/>
      <c r="W728" s="8" t="s">
        <v>6382</v>
      </c>
      <c r="X728" s="8" t="s">
        <v>13547</v>
      </c>
      <c r="Y728" s="8" t="s">
        <v>4559</v>
      </c>
      <c r="Z728" s="8" t="s">
        <v>13548</v>
      </c>
      <c r="AA728" s="17"/>
      <c r="AB728" s="17"/>
    </row>
    <row r="729" spans="1:28">
      <c r="A729" s="17" t="s">
        <v>9284</v>
      </c>
      <c r="B729" s="17" t="s">
        <v>9284</v>
      </c>
      <c r="C729" s="17" t="s">
        <v>9285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9286</v>
      </c>
      <c r="B730" s="17" t="s">
        <v>9286</v>
      </c>
      <c r="C730" s="17" t="s">
        <v>9287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9288</v>
      </c>
      <c r="B731" s="17" t="s">
        <v>9288</v>
      </c>
      <c r="C731" s="17" t="s">
        <v>9289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9290</v>
      </c>
      <c r="B732" s="17" t="s">
        <v>9290</v>
      </c>
      <c r="C732" s="17" t="s">
        <v>9291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9292</v>
      </c>
      <c r="B733" s="17" t="s">
        <v>9292</v>
      </c>
      <c r="C733" s="17" t="s">
        <v>9293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9294</v>
      </c>
      <c r="B734" s="17" t="s">
        <v>9294</v>
      </c>
      <c r="C734" s="17" t="s">
        <v>9295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9296</v>
      </c>
      <c r="B735" s="17" t="s">
        <v>9296</v>
      </c>
      <c r="C735" s="17" t="s">
        <v>9297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9298</v>
      </c>
      <c r="B736" s="17" t="s">
        <v>9298</v>
      </c>
      <c r="C736" s="17" t="s">
        <v>9299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9300</v>
      </c>
      <c r="B737" s="17" t="s">
        <v>9300</v>
      </c>
      <c r="C737" s="17" t="s">
        <v>9301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9302</v>
      </c>
      <c r="B738" s="17" t="s">
        <v>9302</v>
      </c>
      <c r="C738" s="17" t="s">
        <v>9303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9304</v>
      </c>
      <c r="B739" s="17" t="s">
        <v>9304</v>
      </c>
      <c r="C739" s="17" t="s">
        <v>9305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9306</v>
      </c>
      <c r="B740" s="17" t="s">
        <v>9306</v>
      </c>
      <c r="C740" s="17" t="s">
        <v>9307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9308</v>
      </c>
      <c r="B741" s="17" t="s">
        <v>9308</v>
      </c>
      <c r="C741" s="17" t="s">
        <v>9309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9310</v>
      </c>
      <c r="B742" s="17" t="s">
        <v>9310</v>
      </c>
      <c r="C742" s="17" t="s">
        <v>9311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9312</v>
      </c>
      <c r="B743" s="17" t="s">
        <v>9312</v>
      </c>
      <c r="C743" s="17" t="s">
        <v>9313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9314</v>
      </c>
      <c r="B744" s="17" t="s">
        <v>9314</v>
      </c>
      <c r="C744" s="17" t="s">
        <v>9315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9316</v>
      </c>
      <c r="B745" s="17" t="s">
        <v>9316</v>
      </c>
      <c r="C745" s="17" t="s">
        <v>9317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9318</v>
      </c>
      <c r="B746" s="17" t="s">
        <v>9318</v>
      </c>
      <c r="C746" s="17" t="s">
        <v>9319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9320</v>
      </c>
      <c r="B747" s="17" t="s">
        <v>9320</v>
      </c>
      <c r="C747" s="17" t="s">
        <v>9321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9322</v>
      </c>
      <c r="B748" s="17" t="s">
        <v>9322</v>
      </c>
      <c r="C748" s="17" t="s">
        <v>9323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9324</v>
      </c>
      <c r="B749" s="17" t="s">
        <v>9324</v>
      </c>
      <c r="C749" s="17" t="s">
        <v>9325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9326</v>
      </c>
      <c r="B750" s="17" t="s">
        <v>9326</v>
      </c>
      <c r="C750" s="17" t="s">
        <v>9327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9328</v>
      </c>
      <c r="B751" s="17" t="s">
        <v>9328</v>
      </c>
      <c r="C751" s="17" t="s">
        <v>9329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9330</v>
      </c>
      <c r="B752" s="17" t="s">
        <v>9330</v>
      </c>
      <c r="C752" s="17" t="s">
        <v>9331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9332</v>
      </c>
      <c r="B753" s="17" t="s">
        <v>9332</v>
      </c>
      <c r="C753" s="17" t="s">
        <v>9333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9334</v>
      </c>
      <c r="B754" s="17" t="s">
        <v>9334</v>
      </c>
      <c r="C754" s="17" t="s">
        <v>9335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9336</v>
      </c>
      <c r="B755" s="17" t="s">
        <v>9336</v>
      </c>
      <c r="C755" s="17" t="s">
        <v>9337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9338</v>
      </c>
      <c r="B756" s="17" t="s">
        <v>9338</v>
      </c>
      <c r="C756" s="17" t="s">
        <v>9339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9340</v>
      </c>
      <c r="B757" s="17" t="s">
        <v>9340</v>
      </c>
      <c r="C757" s="17" t="s">
        <v>9341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9342</v>
      </c>
      <c r="B758" s="17" t="s">
        <v>9342</v>
      </c>
      <c r="C758" s="17" t="s">
        <v>9343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9344</v>
      </c>
      <c r="B759" s="17" t="s">
        <v>9344</v>
      </c>
      <c r="C759" s="17" t="s">
        <v>9345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9346</v>
      </c>
      <c r="B760" s="17" t="s">
        <v>9346</v>
      </c>
      <c r="C760" s="17" t="s">
        <v>9347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9348</v>
      </c>
      <c r="B761" s="17" t="s">
        <v>9348</v>
      </c>
      <c r="C761" s="17" t="s">
        <v>9349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9350</v>
      </c>
      <c r="B762" s="17" t="s">
        <v>9350</v>
      </c>
      <c r="C762" s="17" t="s">
        <v>9351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9352</v>
      </c>
      <c r="B763" s="17" t="s">
        <v>9352</v>
      </c>
      <c r="C763" s="17" t="s">
        <v>9353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9354</v>
      </c>
      <c r="B764" s="17" t="s">
        <v>9354</v>
      </c>
      <c r="C764" s="17" t="s">
        <v>9355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9356</v>
      </c>
      <c r="B765" s="17" t="s">
        <v>9356</v>
      </c>
      <c r="C765" s="17" t="s">
        <v>9357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9358</v>
      </c>
      <c r="B766" s="17" t="s">
        <v>9358</v>
      </c>
      <c r="C766" s="17" t="s">
        <v>9359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9360</v>
      </c>
      <c r="B767" s="17" t="s">
        <v>9360</v>
      </c>
      <c r="C767" s="17" t="s">
        <v>9361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9362</v>
      </c>
      <c r="B768" s="17" t="s">
        <v>9362</v>
      </c>
      <c r="C768" s="17" t="s">
        <v>9363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9364</v>
      </c>
      <c r="B769" s="17" t="s">
        <v>9364</v>
      </c>
      <c r="C769" s="17" t="s">
        <v>9365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9366</v>
      </c>
      <c r="B770" s="17" t="s">
        <v>9366</v>
      </c>
      <c r="C770" s="17" t="s">
        <v>9367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9368</v>
      </c>
      <c r="B771" s="17" t="s">
        <v>9368</v>
      </c>
      <c r="C771" s="17" t="s">
        <v>9369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9370</v>
      </c>
      <c r="B772" s="17" t="s">
        <v>9370</v>
      </c>
      <c r="C772" s="17" t="s">
        <v>9371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9372</v>
      </c>
      <c r="B773" s="17" t="s">
        <v>9372</v>
      </c>
      <c r="C773" s="17" t="s">
        <v>9373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9374</v>
      </c>
      <c r="B774" s="17" t="s">
        <v>9374</v>
      </c>
      <c r="C774" s="17" t="s">
        <v>9375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9376</v>
      </c>
      <c r="B775" s="17" t="s">
        <v>9376</v>
      </c>
      <c r="C775" s="17" t="s">
        <v>9377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9378</v>
      </c>
      <c r="B776" s="17" t="s">
        <v>9378</v>
      </c>
      <c r="C776" s="17" t="s">
        <v>9379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1000</v>
      </c>
      <c r="N776" s="17" t="s">
        <v>14077</v>
      </c>
      <c r="O776" s="17" t="s">
        <v>477</v>
      </c>
      <c r="P776" s="17" t="s">
        <v>12547</v>
      </c>
      <c r="Q776" t="s">
        <v>25</v>
      </c>
      <c r="R776" s="17" t="s">
        <v>12548</v>
      </c>
      <c r="S776" s="17"/>
      <c r="T776" s="17"/>
      <c r="U776" s="17"/>
      <c r="V776" s="17"/>
      <c r="W776" s="8" t="s">
        <v>477</v>
      </c>
      <c r="X776" s="42" t="s">
        <v>12547</v>
      </c>
      <c r="Y776" s="17" t="s">
        <v>4559</v>
      </c>
      <c r="Z776" s="8" t="s">
        <v>13551</v>
      </c>
      <c r="AA776" s="17"/>
      <c r="AB776" s="17"/>
    </row>
    <row r="777" spans="1:28">
      <c r="A777" s="17" t="s">
        <v>9380</v>
      </c>
      <c r="B777" s="17" t="s">
        <v>9380</v>
      </c>
      <c r="C777" s="17" t="s">
        <v>9381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9382</v>
      </c>
      <c r="B778" s="17" t="s">
        <v>9382</v>
      </c>
      <c r="C778" s="17" t="s">
        <v>9383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9384</v>
      </c>
      <c r="B779" s="17" t="s">
        <v>9384</v>
      </c>
      <c r="C779" s="17" t="s">
        <v>9385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9386</v>
      </c>
      <c r="B780" s="17" t="s">
        <v>9386</v>
      </c>
      <c r="C780" s="17" t="s">
        <v>9387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9388</v>
      </c>
      <c r="B781" s="17" t="s">
        <v>9388</v>
      </c>
      <c r="C781" s="17" t="s">
        <v>9389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9390</v>
      </c>
      <c r="B782" s="17" t="s">
        <v>9390</v>
      </c>
      <c r="C782" s="17" t="s">
        <v>9391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9392</v>
      </c>
      <c r="B783" s="17" t="s">
        <v>9392</v>
      </c>
      <c r="C783" s="17" t="s">
        <v>9393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9394</v>
      </c>
      <c r="B784" s="17" t="s">
        <v>9394</v>
      </c>
      <c r="C784" s="17" t="s">
        <v>9395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9396</v>
      </c>
      <c r="B785" s="17" t="s">
        <v>9396</v>
      </c>
      <c r="C785" s="17" t="s">
        <v>9397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9398</v>
      </c>
      <c r="B786" s="17" t="s">
        <v>9398</v>
      </c>
      <c r="C786" s="17" t="s">
        <v>9399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9400</v>
      </c>
      <c r="B787" s="17" t="s">
        <v>9400</v>
      </c>
      <c r="C787" s="17" t="s">
        <v>9401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9402</v>
      </c>
      <c r="B788" s="17" t="s">
        <v>9402</v>
      </c>
      <c r="C788" s="17" t="s">
        <v>9403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9404</v>
      </c>
      <c r="B789" s="17" t="s">
        <v>9404</v>
      </c>
      <c r="C789" s="17" t="s">
        <v>9405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9406</v>
      </c>
      <c r="B790" s="17" t="s">
        <v>9406</v>
      </c>
      <c r="C790" s="17" t="s">
        <v>9407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9408</v>
      </c>
      <c r="B791" s="17" t="s">
        <v>9408</v>
      </c>
      <c r="C791" s="17" t="s">
        <v>9409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9410</v>
      </c>
      <c r="B792" s="17" t="s">
        <v>9410</v>
      </c>
      <c r="C792" s="17" t="s">
        <v>9411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9412</v>
      </c>
      <c r="B793" s="17" t="s">
        <v>9412</v>
      </c>
      <c r="C793" s="17" t="s">
        <v>9413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9414</v>
      </c>
      <c r="B794" s="17" t="s">
        <v>9414</v>
      </c>
      <c r="C794" s="17" t="s">
        <v>9415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9416</v>
      </c>
      <c r="B795" s="17" t="s">
        <v>9416</v>
      </c>
      <c r="C795" s="17" t="s">
        <v>9417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9418</v>
      </c>
      <c r="B796" s="17" t="s">
        <v>9418</v>
      </c>
      <c r="C796" s="17" t="s">
        <v>9419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9420</v>
      </c>
      <c r="B797" s="17" t="s">
        <v>9420</v>
      </c>
      <c r="C797" s="17" t="s">
        <v>9421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9422</v>
      </c>
      <c r="B798" s="17" t="s">
        <v>9422</v>
      </c>
      <c r="C798" s="17" t="s">
        <v>9423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9424</v>
      </c>
      <c r="B799" s="17" t="s">
        <v>9424</v>
      </c>
      <c r="C799" s="17" t="s">
        <v>9425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9426</v>
      </c>
      <c r="B800" s="17" t="s">
        <v>9426</v>
      </c>
      <c r="C800" s="17" t="s">
        <v>9427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9428</v>
      </c>
      <c r="B801" s="17" t="s">
        <v>9428</v>
      </c>
      <c r="C801" s="17" t="s">
        <v>9429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9430</v>
      </c>
      <c r="B802" s="17" t="s">
        <v>9430</v>
      </c>
      <c r="C802" s="17" t="s">
        <v>9431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9432</v>
      </c>
      <c r="B803" s="17" t="s">
        <v>9432</v>
      </c>
      <c r="C803" s="17" t="s">
        <v>9433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9434</v>
      </c>
      <c r="B804" s="17" t="s">
        <v>9434</v>
      </c>
      <c r="C804" s="17" t="s">
        <v>9435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9436</v>
      </c>
      <c r="B805" s="17" t="s">
        <v>9436</v>
      </c>
      <c r="C805" s="17" t="s">
        <v>9437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9438</v>
      </c>
      <c r="B806" s="17" t="s">
        <v>9438</v>
      </c>
      <c r="C806" s="17" t="s">
        <v>9439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9440</v>
      </c>
      <c r="B807" s="17" t="s">
        <v>9440</v>
      </c>
      <c r="C807" s="17" t="s">
        <v>9441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9442</v>
      </c>
      <c r="B808" s="17" t="s">
        <v>9442</v>
      </c>
      <c r="C808" s="17" t="s">
        <v>9443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9444</v>
      </c>
      <c r="B809" s="17" t="s">
        <v>9444</v>
      </c>
      <c r="C809" s="17" t="s">
        <v>9445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9446</v>
      </c>
      <c r="B810" s="17" t="s">
        <v>9446</v>
      </c>
      <c r="C810" s="17" t="s">
        <v>9447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9448</v>
      </c>
      <c r="B811" s="17" t="s">
        <v>9448</v>
      </c>
      <c r="C811" s="17" t="s">
        <v>9449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9450</v>
      </c>
      <c r="B812" s="17" t="s">
        <v>9450</v>
      </c>
      <c r="C812" s="17" t="s">
        <v>9451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9452</v>
      </c>
      <c r="B813" s="17" t="s">
        <v>9452</v>
      </c>
      <c r="C813" s="17" t="s">
        <v>9453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9454</v>
      </c>
      <c r="B814" s="17" t="s">
        <v>9454</v>
      </c>
      <c r="C814" s="17" t="s">
        <v>9455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9456</v>
      </c>
      <c r="B815" s="17" t="s">
        <v>9456</v>
      </c>
      <c r="C815" s="17" t="s">
        <v>9457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9458</v>
      </c>
      <c r="B816" s="17" t="s">
        <v>9458</v>
      </c>
      <c r="C816" s="17" t="s">
        <v>9459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9460</v>
      </c>
      <c r="B817" s="17" t="s">
        <v>9460</v>
      </c>
      <c r="C817" s="17" t="s">
        <v>9461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9462</v>
      </c>
      <c r="B818" s="17" t="s">
        <v>9462</v>
      </c>
      <c r="C818" s="17" t="s">
        <v>9463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9464</v>
      </c>
      <c r="B819" s="17" t="s">
        <v>9464</v>
      </c>
      <c r="C819" s="17" t="s">
        <v>9465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9466</v>
      </c>
      <c r="B820" s="17" t="s">
        <v>9466</v>
      </c>
      <c r="C820" s="17" t="s">
        <v>9467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9468</v>
      </c>
      <c r="B821" s="17" t="s">
        <v>9468</v>
      </c>
      <c r="C821" s="17" t="s">
        <v>9469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9470</v>
      </c>
      <c r="B822" s="17" t="s">
        <v>9470</v>
      </c>
      <c r="C822" s="17" t="s">
        <v>9471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9472</v>
      </c>
      <c r="B823" s="17" t="s">
        <v>9472</v>
      </c>
      <c r="C823" s="17" t="s">
        <v>9473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9474</v>
      </c>
      <c r="B824" s="17" t="s">
        <v>9474</v>
      </c>
      <c r="C824" s="17" t="s">
        <v>9475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9476</v>
      </c>
      <c r="B825" s="17" t="s">
        <v>9476</v>
      </c>
      <c r="C825" s="17" t="s">
        <v>9477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9478</v>
      </c>
      <c r="B826" s="17" t="s">
        <v>9478</v>
      </c>
      <c r="C826" s="17" t="s">
        <v>9479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9480</v>
      </c>
      <c r="B827" s="17" t="s">
        <v>9480</v>
      </c>
      <c r="C827" s="17" t="s">
        <v>9481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9482</v>
      </c>
      <c r="B828" s="17" t="s">
        <v>9482</v>
      </c>
      <c r="C828" s="17" t="s">
        <v>9483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9484</v>
      </c>
      <c r="B829" s="17" t="s">
        <v>9484</v>
      </c>
      <c r="C829" s="17" t="s">
        <v>9485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9486</v>
      </c>
      <c r="B830" s="17" t="s">
        <v>9486</v>
      </c>
      <c r="C830" s="17" t="s">
        <v>9487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9488</v>
      </c>
      <c r="B831" s="17" t="s">
        <v>9488</v>
      </c>
      <c r="C831" s="17" t="s">
        <v>9489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9490</v>
      </c>
      <c r="B832" s="17" t="s">
        <v>9490</v>
      </c>
      <c r="C832" s="17" t="s">
        <v>9491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9492</v>
      </c>
      <c r="B833" s="17" t="s">
        <v>9492</v>
      </c>
      <c r="C833" s="17" t="s">
        <v>9493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9494</v>
      </c>
      <c r="B834" s="17" t="s">
        <v>9494</v>
      </c>
      <c r="C834" s="17" t="s">
        <v>9495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9496</v>
      </c>
      <c r="B835" s="17" t="s">
        <v>9496</v>
      </c>
      <c r="C835" s="17" t="s">
        <v>9497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9498</v>
      </c>
      <c r="B836" s="17" t="s">
        <v>9498</v>
      </c>
      <c r="C836" s="16" t="s">
        <v>9499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12538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9500</v>
      </c>
      <c r="B837" s="17" t="s">
        <v>9500</v>
      </c>
      <c r="C837" s="17" t="s">
        <v>9501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9502</v>
      </c>
      <c r="B838" s="17" t="s">
        <v>9502</v>
      </c>
      <c r="C838" s="17" t="s">
        <v>9503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9504</v>
      </c>
      <c r="B839" s="17" t="s">
        <v>9504</v>
      </c>
      <c r="C839" s="17" t="s">
        <v>9505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9506</v>
      </c>
      <c r="B840" s="17" t="s">
        <v>9506</v>
      </c>
      <c r="C840" s="17" t="s">
        <v>9507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9508</v>
      </c>
      <c r="B841" s="17" t="s">
        <v>9508</v>
      </c>
      <c r="C841" s="17" t="s">
        <v>9509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9510</v>
      </c>
      <c r="B842" s="17" t="s">
        <v>9510</v>
      </c>
      <c r="C842" s="17" t="s">
        <v>9511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9512</v>
      </c>
      <c r="B843" s="17" t="s">
        <v>9512</v>
      </c>
      <c r="C843" s="17" t="s">
        <v>9513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9514</v>
      </c>
      <c r="B844" s="17" t="s">
        <v>9514</v>
      </c>
      <c r="C844" s="17" t="s">
        <v>9515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9516</v>
      </c>
      <c r="B845" s="17" t="s">
        <v>9516</v>
      </c>
      <c r="C845" s="17" t="s">
        <v>9517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9518</v>
      </c>
      <c r="B846" s="17" t="s">
        <v>9518</v>
      </c>
      <c r="C846" s="17" t="s">
        <v>9519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9520</v>
      </c>
      <c r="B847" s="17" t="s">
        <v>9520</v>
      </c>
      <c r="C847" s="17" t="s">
        <v>9521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9522</v>
      </c>
      <c r="B848" s="17" t="s">
        <v>9522</v>
      </c>
      <c r="C848" s="17" t="s">
        <v>9523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9524</v>
      </c>
      <c r="B849" s="17" t="s">
        <v>9524</v>
      </c>
      <c r="C849" s="17" t="s">
        <v>9525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9526</v>
      </c>
      <c r="B850" s="17" t="s">
        <v>9526</v>
      </c>
      <c r="C850" s="17" t="s">
        <v>9527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9528</v>
      </c>
      <c r="B851" s="17" t="s">
        <v>9528</v>
      </c>
      <c r="C851" s="17" t="s">
        <v>9529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9530</v>
      </c>
      <c r="B852" s="17" t="s">
        <v>9530</v>
      </c>
      <c r="C852" s="17" t="s">
        <v>9531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9532</v>
      </c>
      <c r="B853" s="17" t="s">
        <v>9532</v>
      </c>
      <c r="C853" s="17" t="s">
        <v>9533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9534</v>
      </c>
      <c r="B854" s="17" t="s">
        <v>9534</v>
      </c>
      <c r="C854" s="17" t="s">
        <v>9535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9536</v>
      </c>
      <c r="B855" s="17" t="s">
        <v>9536</v>
      </c>
      <c r="C855" s="17" t="s">
        <v>9537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9538</v>
      </c>
      <c r="B856" s="17" t="s">
        <v>9538</v>
      </c>
      <c r="C856" s="17" t="s">
        <v>9539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9540</v>
      </c>
      <c r="B857" s="17" t="s">
        <v>9540</v>
      </c>
      <c r="C857" s="17" t="s">
        <v>9541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9542</v>
      </c>
      <c r="B858" s="17" t="s">
        <v>9542</v>
      </c>
      <c r="C858" s="17" t="s">
        <v>9543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9544</v>
      </c>
      <c r="B859" s="17" t="s">
        <v>9544</v>
      </c>
      <c r="C859" s="17" t="s">
        <v>9545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9546</v>
      </c>
      <c r="B860" s="17" t="s">
        <v>9546</v>
      </c>
      <c r="C860" s="17" t="s">
        <v>9547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9548</v>
      </c>
      <c r="B861" s="17" t="s">
        <v>9548</v>
      </c>
      <c r="C861" s="17" t="s">
        <v>9549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9550</v>
      </c>
      <c r="B862" s="17" t="s">
        <v>9550</v>
      </c>
      <c r="C862" s="17" t="s">
        <v>9551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9552</v>
      </c>
      <c r="B863" s="17" t="s">
        <v>9552</v>
      </c>
      <c r="C863" s="17" t="s">
        <v>9553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9554</v>
      </c>
      <c r="B864" s="17" t="s">
        <v>9554</v>
      </c>
      <c r="C864" s="17" t="s">
        <v>9555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9556</v>
      </c>
      <c r="B865" s="17" t="s">
        <v>9556</v>
      </c>
      <c r="C865" s="17" t="s">
        <v>9557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9558</v>
      </c>
      <c r="B866" s="17" t="s">
        <v>9558</v>
      </c>
      <c r="C866" s="17" t="s">
        <v>9559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9560</v>
      </c>
      <c r="B867" s="17" t="s">
        <v>9560</v>
      </c>
      <c r="C867" s="17" t="s">
        <v>9561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9562</v>
      </c>
      <c r="B868" s="17" t="s">
        <v>9562</v>
      </c>
      <c r="C868" s="17" t="s">
        <v>9563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9564</v>
      </c>
      <c r="B869" s="17" t="s">
        <v>9564</v>
      </c>
      <c r="C869" s="17" t="s">
        <v>9565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9566</v>
      </c>
      <c r="B870" s="17" t="s">
        <v>9566</v>
      </c>
      <c r="C870" s="17" t="s">
        <v>9567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9568</v>
      </c>
      <c r="B871" s="17" t="s">
        <v>9568</v>
      </c>
      <c r="C871" s="17" t="s">
        <v>9569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9570</v>
      </c>
      <c r="B872" s="17" t="s">
        <v>9570</v>
      </c>
      <c r="C872" s="17" t="s">
        <v>9571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12538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10250</v>
      </c>
      <c r="B873" s="16" t="s">
        <v>10250</v>
      </c>
      <c r="C873" s="16" t="s">
        <v>10251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10252</v>
      </c>
      <c r="B874" s="17" t="s">
        <v>10252</v>
      </c>
      <c r="C874" s="17" t="s">
        <v>10253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10254</v>
      </c>
      <c r="B875" s="17" t="s">
        <v>10254</v>
      </c>
      <c r="C875" s="17" t="s">
        <v>10255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10256</v>
      </c>
      <c r="B876" s="17" t="s">
        <v>10256</v>
      </c>
      <c r="C876" s="17" t="s">
        <v>10257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10258</v>
      </c>
      <c r="B877" s="17" t="s">
        <v>10258</v>
      </c>
      <c r="C877" s="17" t="s">
        <v>10259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10260</v>
      </c>
      <c r="B878" s="17" t="s">
        <v>10260</v>
      </c>
      <c r="C878" s="17" t="s">
        <v>10261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10262</v>
      </c>
      <c r="B879" s="17" t="s">
        <v>10262</v>
      </c>
      <c r="C879" s="17" t="s">
        <v>10263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10264</v>
      </c>
      <c r="B880" s="17" t="s">
        <v>10264</v>
      </c>
      <c r="C880" s="17" t="s">
        <v>10265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10266</v>
      </c>
      <c r="B881" s="17" t="s">
        <v>10266</v>
      </c>
      <c r="C881" s="17" t="s">
        <v>10267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10268</v>
      </c>
      <c r="B882" s="17" t="s">
        <v>10268</v>
      </c>
      <c r="C882" s="17" t="s">
        <v>10269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10270</v>
      </c>
      <c r="B883" s="17" t="s">
        <v>10270</v>
      </c>
      <c r="C883" s="17" t="s">
        <v>10271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10272</v>
      </c>
      <c r="B884" s="17" t="s">
        <v>10272</v>
      </c>
      <c r="C884" s="17" t="s">
        <v>10273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10274</v>
      </c>
      <c r="B885" s="17" t="s">
        <v>10274</v>
      </c>
      <c r="C885" s="17" t="s">
        <v>10275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10276</v>
      </c>
      <c r="B886" s="17" t="s">
        <v>10276</v>
      </c>
      <c r="C886" s="17" t="s">
        <v>10277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10278</v>
      </c>
      <c r="B887" s="17" t="s">
        <v>10278</v>
      </c>
      <c r="C887" s="17" t="s">
        <v>10279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10280</v>
      </c>
      <c r="B888" s="17" t="s">
        <v>10280</v>
      </c>
      <c r="C888" s="17" t="s">
        <v>10281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10282</v>
      </c>
      <c r="B889" s="17" t="s">
        <v>10282</v>
      </c>
      <c r="C889" s="17" t="s">
        <v>10283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10284</v>
      </c>
      <c r="B890" s="17" t="s">
        <v>10284</v>
      </c>
      <c r="C890" s="17" t="s">
        <v>10285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10286</v>
      </c>
      <c r="B891" s="17" t="s">
        <v>10286</v>
      </c>
      <c r="C891" s="17" t="s">
        <v>10287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10288</v>
      </c>
      <c r="B892" s="17" t="s">
        <v>10288</v>
      </c>
      <c r="C892" s="17" t="s">
        <v>10289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10290</v>
      </c>
      <c r="B893" s="17" t="s">
        <v>10290</v>
      </c>
      <c r="C893" s="17" t="s">
        <v>10291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10292</v>
      </c>
      <c r="B894" s="17" t="s">
        <v>10292</v>
      </c>
      <c r="C894" s="17" t="s">
        <v>10293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10294</v>
      </c>
      <c r="B895" s="17" t="s">
        <v>10294</v>
      </c>
      <c r="C895" s="17" t="s">
        <v>10295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10296</v>
      </c>
      <c r="B896" s="17" t="s">
        <v>10296</v>
      </c>
      <c r="C896" s="17" t="s">
        <v>10297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10298</v>
      </c>
      <c r="B897" s="17" t="s">
        <v>10298</v>
      </c>
      <c r="C897" s="17" t="s">
        <v>10299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10300</v>
      </c>
      <c r="B898" s="17" t="s">
        <v>10300</v>
      </c>
      <c r="C898" s="17" t="s">
        <v>10301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10302</v>
      </c>
      <c r="B899" s="17" t="s">
        <v>10302</v>
      </c>
      <c r="C899" s="17" t="s">
        <v>10303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10304</v>
      </c>
      <c r="B900" s="17" t="s">
        <v>10304</v>
      </c>
      <c r="C900" s="17" t="s">
        <v>10305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10306</v>
      </c>
      <c r="B901" s="17" t="s">
        <v>10306</v>
      </c>
      <c r="C901" s="17" t="s">
        <v>10307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10308</v>
      </c>
      <c r="B902" s="17" t="s">
        <v>10308</v>
      </c>
      <c r="C902" s="17" t="s">
        <v>10309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10310</v>
      </c>
      <c r="B903" s="17" t="s">
        <v>10310</v>
      </c>
      <c r="C903" s="17" t="s">
        <v>10311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10312</v>
      </c>
      <c r="B904" s="17" t="s">
        <v>10312</v>
      </c>
      <c r="C904" s="17" t="s">
        <v>10313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10314</v>
      </c>
      <c r="B905" s="17" t="s">
        <v>10314</v>
      </c>
      <c r="C905" s="17" t="s">
        <v>10315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10316</v>
      </c>
      <c r="B906" s="17" t="s">
        <v>10316</v>
      </c>
      <c r="C906" s="17" t="s">
        <v>10317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10318</v>
      </c>
      <c r="B907" s="17" t="s">
        <v>10318</v>
      </c>
      <c r="C907" s="17" t="s">
        <v>10319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10320</v>
      </c>
      <c r="B908" s="17" t="s">
        <v>10320</v>
      </c>
      <c r="C908" s="17" t="s">
        <v>10321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10322</v>
      </c>
      <c r="B909" s="17" t="s">
        <v>10322</v>
      </c>
      <c r="C909" s="17" t="s">
        <v>10323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10324</v>
      </c>
      <c r="B910" s="17" t="s">
        <v>10324</v>
      </c>
      <c r="C910" s="17" t="s">
        <v>10325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10326</v>
      </c>
      <c r="B911" s="17" t="s">
        <v>10326</v>
      </c>
      <c r="C911" s="17" t="s">
        <v>10327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10328</v>
      </c>
      <c r="B912" s="17" t="s">
        <v>10328</v>
      </c>
      <c r="C912" s="17" t="s">
        <v>10329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10330</v>
      </c>
      <c r="B913" s="17" t="s">
        <v>10330</v>
      </c>
      <c r="C913" s="17" t="s">
        <v>10331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10332</v>
      </c>
      <c r="B914" s="17" t="s">
        <v>10332</v>
      </c>
      <c r="C914" s="17" t="s">
        <v>10333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10334</v>
      </c>
      <c r="B915" s="17" t="s">
        <v>10334</v>
      </c>
      <c r="C915" s="17" t="s">
        <v>10335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10336</v>
      </c>
      <c r="B916" s="17" t="s">
        <v>10336</v>
      </c>
      <c r="C916" s="17" t="s">
        <v>10337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10338</v>
      </c>
      <c r="B917" s="17" t="s">
        <v>10338</v>
      </c>
      <c r="C917" s="17" t="s">
        <v>10339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10340</v>
      </c>
      <c r="B918" s="17" t="s">
        <v>10340</v>
      </c>
      <c r="C918" s="17" t="s">
        <v>10341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10342</v>
      </c>
      <c r="B919" s="17" t="s">
        <v>10342</v>
      </c>
      <c r="C919" s="17" t="s">
        <v>10343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10344</v>
      </c>
      <c r="B920" s="17" t="s">
        <v>10344</v>
      </c>
      <c r="C920" s="17" t="s">
        <v>10345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10346</v>
      </c>
      <c r="B921" s="17" t="s">
        <v>10346</v>
      </c>
      <c r="C921" s="17" t="s">
        <v>10347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10348</v>
      </c>
      <c r="B922" s="17" t="s">
        <v>10348</v>
      </c>
      <c r="C922" s="17" t="s">
        <v>10349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10350</v>
      </c>
      <c r="B923" s="17" t="s">
        <v>10350</v>
      </c>
      <c r="C923" s="17" t="s">
        <v>10351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10352</v>
      </c>
      <c r="B924" s="17" t="s">
        <v>10352</v>
      </c>
      <c r="C924" s="17" t="s">
        <v>10353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10354</v>
      </c>
      <c r="B925" s="17" t="s">
        <v>10354</v>
      </c>
      <c r="C925" s="17" t="s">
        <v>10355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10356</v>
      </c>
      <c r="B926" s="17" t="s">
        <v>10356</v>
      </c>
      <c r="C926" s="17" t="s">
        <v>10357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10358</v>
      </c>
      <c r="B927" s="17" t="s">
        <v>10358</v>
      </c>
      <c r="C927" s="17" t="s">
        <v>10359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10360</v>
      </c>
      <c r="B928" s="17" t="s">
        <v>10360</v>
      </c>
      <c r="C928" s="17" t="s">
        <v>10361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10362</v>
      </c>
      <c r="B929" s="17" t="s">
        <v>10362</v>
      </c>
      <c r="C929" s="17" t="s">
        <v>10363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10364</v>
      </c>
      <c r="B930" s="17" t="s">
        <v>10364</v>
      </c>
      <c r="C930" s="17" t="s">
        <v>10365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10366</v>
      </c>
      <c r="B931" s="17" t="s">
        <v>10366</v>
      </c>
      <c r="C931" s="17" t="s">
        <v>10367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10368</v>
      </c>
      <c r="B932" s="17" t="s">
        <v>10368</v>
      </c>
      <c r="C932" s="17" t="s">
        <v>10369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10370</v>
      </c>
      <c r="B933" s="17" t="s">
        <v>10370</v>
      </c>
      <c r="C933" s="17" t="s">
        <v>10371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10372</v>
      </c>
      <c r="B934" s="17" t="s">
        <v>10372</v>
      </c>
      <c r="C934" s="17" t="s">
        <v>10373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10374</v>
      </c>
      <c r="B935" s="17" t="s">
        <v>10374</v>
      </c>
      <c r="C935" s="17" t="s">
        <v>10375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10376</v>
      </c>
      <c r="B936" s="17" t="s">
        <v>10376</v>
      </c>
      <c r="C936" s="17" t="s">
        <v>10377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10378</v>
      </c>
      <c r="B937" s="17" t="s">
        <v>10378</v>
      </c>
      <c r="C937" s="17" t="s">
        <v>10379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10380</v>
      </c>
      <c r="B938" s="17" t="s">
        <v>10380</v>
      </c>
      <c r="C938" s="17" t="s">
        <v>10381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10382</v>
      </c>
      <c r="B939" s="17" t="s">
        <v>10382</v>
      </c>
      <c r="C939" s="17" t="s">
        <v>10383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10384</v>
      </c>
      <c r="B940" s="17" t="s">
        <v>10384</v>
      </c>
      <c r="C940" s="17" t="s">
        <v>10385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10386</v>
      </c>
      <c r="B941" s="17" t="s">
        <v>10386</v>
      </c>
      <c r="C941" s="17" t="s">
        <v>10387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10388</v>
      </c>
      <c r="B942" s="17" t="s">
        <v>10388</v>
      </c>
      <c r="C942" s="17" t="s">
        <v>10389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10390</v>
      </c>
      <c r="B943" s="17" t="s">
        <v>10390</v>
      </c>
      <c r="C943" s="17" t="s">
        <v>10391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10392</v>
      </c>
      <c r="B944" s="17" t="s">
        <v>10392</v>
      </c>
      <c r="C944" s="17" t="s">
        <v>10393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10394</v>
      </c>
      <c r="B945" s="17" t="s">
        <v>10394</v>
      </c>
      <c r="C945" s="17" t="s">
        <v>10395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10396</v>
      </c>
      <c r="B946" s="17" t="s">
        <v>10396</v>
      </c>
      <c r="C946" s="17" t="s">
        <v>10397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10398</v>
      </c>
      <c r="B947" s="17" t="s">
        <v>10398</v>
      </c>
      <c r="C947" s="17" t="s">
        <v>10399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10400</v>
      </c>
      <c r="B948" s="17" t="s">
        <v>10400</v>
      </c>
      <c r="C948" s="17" t="s">
        <v>10401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10402</v>
      </c>
      <c r="B949" s="17" t="s">
        <v>10402</v>
      </c>
      <c r="C949" s="17" t="s">
        <v>10403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10404</v>
      </c>
      <c r="B950" s="17" t="s">
        <v>10404</v>
      </c>
      <c r="C950" s="17" t="s">
        <v>10405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10406</v>
      </c>
      <c r="B951" s="17" t="s">
        <v>10406</v>
      </c>
      <c r="C951" s="17" t="s">
        <v>10407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10408</v>
      </c>
      <c r="B952" s="17" t="s">
        <v>10408</v>
      </c>
      <c r="C952" s="17" t="s">
        <v>10409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10410</v>
      </c>
      <c r="B953" s="17" t="s">
        <v>10410</v>
      </c>
      <c r="C953" s="17" t="s">
        <v>10411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10412</v>
      </c>
      <c r="B954" s="17" t="s">
        <v>10412</v>
      </c>
      <c r="C954" s="17" t="s">
        <v>10413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10414</v>
      </c>
      <c r="B955" s="17" t="s">
        <v>10414</v>
      </c>
      <c r="C955" s="17" t="s">
        <v>10415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10416</v>
      </c>
      <c r="B956" s="17" t="s">
        <v>10416</v>
      </c>
      <c r="C956" s="17" t="s">
        <v>10417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10418</v>
      </c>
      <c r="B957" s="17" t="s">
        <v>10418</v>
      </c>
      <c r="C957" s="17" t="s">
        <v>10419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10420</v>
      </c>
      <c r="B958" s="17" t="s">
        <v>10420</v>
      </c>
      <c r="C958" s="17" t="s">
        <v>10421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10422</v>
      </c>
      <c r="B959" s="17" t="s">
        <v>10422</v>
      </c>
      <c r="C959" s="17" t="s">
        <v>10423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10424</v>
      </c>
      <c r="B960" s="17" t="s">
        <v>10424</v>
      </c>
      <c r="C960" s="17" t="s">
        <v>10425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10426</v>
      </c>
      <c r="B961" s="17" t="s">
        <v>10426</v>
      </c>
      <c r="C961" s="17" t="s">
        <v>10427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10428</v>
      </c>
      <c r="B962" s="17" t="s">
        <v>10428</v>
      </c>
      <c r="C962" s="17" t="s">
        <v>10429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10430</v>
      </c>
      <c r="B963" s="17" t="s">
        <v>10430</v>
      </c>
      <c r="C963" s="17" t="s">
        <v>10431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10432</v>
      </c>
      <c r="B964" s="17" t="s">
        <v>10432</v>
      </c>
      <c r="C964" s="17" t="s">
        <v>10433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10434</v>
      </c>
      <c r="B965" s="17" t="s">
        <v>10434</v>
      </c>
      <c r="C965" s="17" t="s">
        <v>10435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10436</v>
      </c>
      <c r="B966" s="17" t="s">
        <v>10436</v>
      </c>
      <c r="C966" s="17" t="s">
        <v>10437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10438</v>
      </c>
      <c r="B967" s="17" t="s">
        <v>10438</v>
      </c>
      <c r="C967" s="17" t="s">
        <v>10439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10440</v>
      </c>
      <c r="B968" s="17" t="s">
        <v>10440</v>
      </c>
      <c r="C968" s="17" t="s">
        <v>10441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10442</v>
      </c>
      <c r="B969" s="17" t="s">
        <v>10442</v>
      </c>
      <c r="C969" s="17" t="s">
        <v>10443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10444</v>
      </c>
      <c r="B970" s="17" t="s">
        <v>10444</v>
      </c>
      <c r="C970" s="17" t="s">
        <v>10445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10446</v>
      </c>
      <c r="B971" s="17" t="s">
        <v>10446</v>
      </c>
      <c r="C971" s="17" t="s">
        <v>10447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10448</v>
      </c>
      <c r="B972" s="17" t="s">
        <v>10448</v>
      </c>
      <c r="C972" s="17" t="s">
        <v>10449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10450</v>
      </c>
      <c r="B973" s="17" t="s">
        <v>10450</v>
      </c>
      <c r="C973" s="17" t="s">
        <v>10451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10452</v>
      </c>
      <c r="B974" s="17" t="s">
        <v>10452</v>
      </c>
      <c r="C974" s="17" t="s">
        <v>10453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10454</v>
      </c>
      <c r="B975" s="17" t="s">
        <v>10454</v>
      </c>
      <c r="C975" s="17" t="s">
        <v>10455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10456</v>
      </c>
      <c r="B976" s="17" t="s">
        <v>10456</v>
      </c>
      <c r="C976" s="17" t="s">
        <v>10457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10458</v>
      </c>
      <c r="B977" s="17" t="s">
        <v>10458</v>
      </c>
      <c r="C977" s="17" t="s">
        <v>10459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10460</v>
      </c>
      <c r="B978" s="17" t="s">
        <v>10460</v>
      </c>
      <c r="C978" s="17" t="s">
        <v>10461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10462</v>
      </c>
      <c r="B979" s="17" t="s">
        <v>10462</v>
      </c>
      <c r="C979" s="17" t="s">
        <v>10463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10464</v>
      </c>
      <c r="B980" s="17" t="s">
        <v>10464</v>
      </c>
      <c r="C980" s="17" t="s">
        <v>10465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10466</v>
      </c>
      <c r="B981" s="17" t="s">
        <v>10466</v>
      </c>
      <c r="C981" s="17" t="s">
        <v>10467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10468</v>
      </c>
      <c r="B982" s="17" t="s">
        <v>10468</v>
      </c>
      <c r="C982" s="17" t="s">
        <v>10469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10470</v>
      </c>
      <c r="B983" s="17" t="s">
        <v>10470</v>
      </c>
      <c r="C983" s="17" t="s">
        <v>10471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10472</v>
      </c>
      <c r="B984" s="17" t="s">
        <v>10472</v>
      </c>
      <c r="C984" s="17" t="s">
        <v>10473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10474</v>
      </c>
      <c r="B985" s="17" t="s">
        <v>10474</v>
      </c>
      <c r="C985" s="17" t="s">
        <v>10475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10476</v>
      </c>
      <c r="B986" s="17" t="s">
        <v>10476</v>
      </c>
      <c r="C986" s="17" t="s">
        <v>10477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10478</v>
      </c>
      <c r="B987" s="17" t="s">
        <v>10478</v>
      </c>
      <c r="C987" s="17" t="s">
        <v>10479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10480</v>
      </c>
      <c r="B988" s="17" t="s">
        <v>10480</v>
      </c>
      <c r="C988" s="17" t="s">
        <v>10481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10482</v>
      </c>
      <c r="B989" s="17" t="s">
        <v>10482</v>
      </c>
      <c r="C989" s="17" t="s">
        <v>10483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10484</v>
      </c>
      <c r="B990" s="17" t="s">
        <v>10484</v>
      </c>
      <c r="C990" s="17" t="s">
        <v>10485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10486</v>
      </c>
      <c r="B991" s="17" t="s">
        <v>10486</v>
      </c>
      <c r="C991" s="17" t="s">
        <v>10487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10488</v>
      </c>
      <c r="B992" s="17" t="s">
        <v>10488</v>
      </c>
      <c r="C992" s="17" t="s">
        <v>10489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10490</v>
      </c>
      <c r="B993" s="17" t="s">
        <v>10490</v>
      </c>
      <c r="C993" s="17" t="s">
        <v>10491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10492</v>
      </c>
      <c r="B994" s="17" t="s">
        <v>10492</v>
      </c>
      <c r="C994" s="17" t="s">
        <v>10493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10494</v>
      </c>
      <c r="B995" s="17" t="s">
        <v>10494</v>
      </c>
      <c r="C995" s="17" t="s">
        <v>10495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10496</v>
      </c>
      <c r="B996" s="17" t="s">
        <v>10496</v>
      </c>
      <c r="C996" s="17" t="s">
        <v>10497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10498</v>
      </c>
      <c r="B997" s="17" t="s">
        <v>10498</v>
      </c>
      <c r="C997" s="17" t="s">
        <v>10499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10500</v>
      </c>
      <c r="B998" s="17" t="s">
        <v>10500</v>
      </c>
      <c r="C998" s="17" t="s">
        <v>10501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10502</v>
      </c>
      <c r="B999" s="17" t="s">
        <v>10502</v>
      </c>
      <c r="C999" s="17" t="s">
        <v>10503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10504</v>
      </c>
      <c r="B1000" s="17" t="s">
        <v>10504</v>
      </c>
      <c r="C1000" s="17" t="s">
        <v>10505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10506</v>
      </c>
      <c r="B1001" s="17" t="s">
        <v>10506</v>
      </c>
      <c r="C1001" s="17" t="s">
        <v>10507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10508</v>
      </c>
      <c r="B1002" s="17" t="s">
        <v>10508</v>
      </c>
      <c r="C1002" s="17" t="s">
        <v>10509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10510</v>
      </c>
      <c r="B1003" s="17" t="s">
        <v>10510</v>
      </c>
      <c r="C1003" s="17" t="s">
        <v>10511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10512</v>
      </c>
      <c r="B1004" s="17" t="s">
        <v>10512</v>
      </c>
      <c r="C1004" s="17" t="s">
        <v>10513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10514</v>
      </c>
      <c r="B1005" s="17" t="s">
        <v>10514</v>
      </c>
      <c r="C1005" s="17" t="s">
        <v>10515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10516</v>
      </c>
      <c r="B1006" s="17" t="s">
        <v>10516</v>
      </c>
      <c r="C1006" s="16" t="s">
        <v>10517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10518</v>
      </c>
      <c r="B1007" s="17" t="s">
        <v>10518</v>
      </c>
      <c r="C1007" s="17" t="s">
        <v>10519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10520</v>
      </c>
      <c r="B1008" s="17" t="s">
        <v>10520</v>
      </c>
      <c r="C1008" s="17" t="s">
        <v>10521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10522</v>
      </c>
      <c r="B1009" s="17" t="s">
        <v>10522</v>
      </c>
      <c r="C1009" s="17" t="s">
        <v>10523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10524</v>
      </c>
      <c r="B1010" s="17" t="s">
        <v>10524</v>
      </c>
      <c r="C1010" s="17" t="s">
        <v>10525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10526</v>
      </c>
      <c r="B1011" s="17" t="s">
        <v>10526</v>
      </c>
      <c r="C1011" s="17" t="s">
        <v>10527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10528</v>
      </c>
      <c r="B1012" s="17" t="s">
        <v>10528</v>
      </c>
      <c r="C1012" s="17" t="s">
        <v>10529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10530</v>
      </c>
      <c r="B1013" s="17" t="s">
        <v>10530</v>
      </c>
      <c r="C1013" s="17" t="s">
        <v>10531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10532</v>
      </c>
      <c r="B1014" s="17" t="s">
        <v>10532</v>
      </c>
      <c r="C1014" s="17" t="s">
        <v>10533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10534</v>
      </c>
      <c r="B1015" s="17" t="s">
        <v>10534</v>
      </c>
      <c r="C1015" s="17" t="s">
        <v>10535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10536</v>
      </c>
      <c r="B1016" s="17" t="s">
        <v>10536</v>
      </c>
      <c r="C1016" s="17" t="s">
        <v>10537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10538</v>
      </c>
      <c r="B1017" s="17" t="s">
        <v>10538</v>
      </c>
      <c r="C1017" s="17" t="s">
        <v>10539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10540</v>
      </c>
      <c r="B1018" s="17" t="s">
        <v>10540</v>
      </c>
      <c r="C1018" s="17" t="s">
        <v>10541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10542</v>
      </c>
      <c r="B1019" s="17" t="s">
        <v>10542</v>
      </c>
      <c r="C1019" s="17" t="s">
        <v>10543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10544</v>
      </c>
      <c r="B1020" s="17" t="s">
        <v>10544</v>
      </c>
      <c r="C1020" s="17" t="s">
        <v>10545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10546</v>
      </c>
      <c r="B1021" s="17" t="s">
        <v>10546</v>
      </c>
      <c r="C1021" s="17" t="s">
        <v>10547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10548</v>
      </c>
      <c r="B1022" s="17" t="s">
        <v>10548</v>
      </c>
      <c r="C1022" s="17" t="s">
        <v>10549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10550</v>
      </c>
      <c r="B1023" s="17" t="s">
        <v>10550</v>
      </c>
      <c r="C1023" s="17" t="s">
        <v>10551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10552</v>
      </c>
      <c r="B1024" s="17" t="s">
        <v>10552</v>
      </c>
      <c r="C1024" s="17" t="s">
        <v>10553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10554</v>
      </c>
      <c r="B1025" s="17" t="s">
        <v>10554</v>
      </c>
      <c r="C1025" s="17" t="s">
        <v>10555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10556</v>
      </c>
      <c r="B1026" s="17" t="s">
        <v>10556</v>
      </c>
      <c r="C1026" s="17" t="s">
        <v>10557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10558</v>
      </c>
      <c r="B1027" s="17" t="s">
        <v>10558</v>
      </c>
      <c r="C1027" s="17" t="s">
        <v>10559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10560</v>
      </c>
      <c r="B1028" s="17" t="s">
        <v>10560</v>
      </c>
      <c r="C1028" s="17" t="s">
        <v>10561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10562</v>
      </c>
      <c r="B1029" s="17" t="s">
        <v>10562</v>
      </c>
      <c r="C1029" s="17" t="s">
        <v>10563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10564</v>
      </c>
      <c r="B1030" s="17" t="s">
        <v>10564</v>
      </c>
      <c r="C1030" s="17" t="s">
        <v>10565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10566</v>
      </c>
      <c r="B1031" s="17" t="s">
        <v>10566</v>
      </c>
      <c r="C1031" s="17" t="s">
        <v>10567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10568</v>
      </c>
      <c r="B1032" s="17" t="s">
        <v>10568</v>
      </c>
      <c r="C1032" s="17" t="s">
        <v>10569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10570</v>
      </c>
      <c r="B1033" s="17" t="s">
        <v>10570</v>
      </c>
      <c r="C1033" s="17" t="s">
        <v>10571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10572</v>
      </c>
      <c r="B1034" s="17" t="s">
        <v>10572</v>
      </c>
      <c r="C1034" s="17" t="s">
        <v>10573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10574</v>
      </c>
      <c r="B1035" s="17" t="s">
        <v>10574</v>
      </c>
      <c r="C1035" s="17" t="s">
        <v>10575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10576</v>
      </c>
      <c r="B1036" s="17" t="s">
        <v>10576</v>
      </c>
      <c r="C1036" s="17" t="s">
        <v>10577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10578</v>
      </c>
      <c r="B1037" s="17" t="s">
        <v>10578</v>
      </c>
      <c r="C1037" s="17" t="s">
        <v>10579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10580</v>
      </c>
      <c r="B1038" s="17" t="s">
        <v>10580</v>
      </c>
      <c r="C1038" s="17" t="s">
        <v>10581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10582</v>
      </c>
      <c r="B1039" s="17" t="s">
        <v>10582</v>
      </c>
      <c r="C1039" s="17" t="s">
        <v>10583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10584</v>
      </c>
      <c r="B1040" s="17" t="s">
        <v>10584</v>
      </c>
      <c r="C1040" s="17" t="s">
        <v>10585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10586</v>
      </c>
      <c r="B1041" s="17" t="s">
        <v>10586</v>
      </c>
      <c r="C1041" s="17" t="s">
        <v>10587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10588</v>
      </c>
      <c r="B1042" s="17" t="s">
        <v>10588</v>
      </c>
      <c r="C1042" s="17" t="s">
        <v>10589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9910</v>
      </c>
      <c r="B1043" s="16" t="s">
        <v>9910</v>
      </c>
      <c r="C1043" s="16" t="s">
        <v>9911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9912</v>
      </c>
      <c r="B1044" s="17" t="s">
        <v>9912</v>
      </c>
      <c r="C1044" s="17" t="s">
        <v>9913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9914</v>
      </c>
      <c r="B1045" s="17" t="s">
        <v>9914</v>
      </c>
      <c r="C1045" s="17" t="s">
        <v>9915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9916</v>
      </c>
      <c r="B1046" s="17" t="s">
        <v>9916</v>
      </c>
      <c r="C1046" s="17" t="s">
        <v>9917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9918</v>
      </c>
      <c r="B1047" s="17" t="s">
        <v>9918</v>
      </c>
      <c r="C1047" s="17" t="s">
        <v>9919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9920</v>
      </c>
      <c r="B1048" s="17" t="s">
        <v>9920</v>
      </c>
      <c r="C1048" s="17" t="s">
        <v>9921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9922</v>
      </c>
      <c r="B1049" s="17" t="s">
        <v>9922</v>
      </c>
      <c r="C1049" s="17" t="s">
        <v>9923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9924</v>
      </c>
      <c r="B1050" s="17" t="s">
        <v>9924</v>
      </c>
      <c r="C1050" s="17" t="s">
        <v>9925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9926</v>
      </c>
      <c r="B1051" s="17" t="s">
        <v>9926</v>
      </c>
      <c r="C1051" s="17" t="s">
        <v>9927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9928</v>
      </c>
      <c r="B1052" s="17" t="s">
        <v>9928</v>
      </c>
      <c r="C1052" s="17" t="s">
        <v>9929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9930</v>
      </c>
      <c r="B1053" s="17" t="s">
        <v>9930</v>
      </c>
      <c r="C1053" s="17" t="s">
        <v>9931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9932</v>
      </c>
      <c r="B1054" s="17" t="s">
        <v>9932</v>
      </c>
      <c r="C1054" s="17" t="s">
        <v>9933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9934</v>
      </c>
      <c r="B1055" s="17" t="s">
        <v>9934</v>
      </c>
      <c r="C1055" s="17" t="s">
        <v>9935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9936</v>
      </c>
      <c r="B1056" s="17" t="s">
        <v>9936</v>
      </c>
      <c r="C1056" s="17" t="s">
        <v>9937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9938</v>
      </c>
      <c r="B1057" s="17" t="s">
        <v>9938</v>
      </c>
      <c r="C1057" s="17" t="s">
        <v>9939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9940</v>
      </c>
      <c r="B1058" s="17" t="s">
        <v>9940</v>
      </c>
      <c r="C1058" s="17" t="s">
        <v>9941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9942</v>
      </c>
      <c r="B1059" s="17" t="s">
        <v>9942</v>
      </c>
      <c r="C1059" s="17" t="s">
        <v>9943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9944</v>
      </c>
      <c r="B1060" s="17" t="s">
        <v>9944</v>
      </c>
      <c r="C1060" s="17" t="s">
        <v>9945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9946</v>
      </c>
      <c r="B1061" s="17" t="s">
        <v>9946</v>
      </c>
      <c r="C1061" s="17" t="s">
        <v>9947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9948</v>
      </c>
      <c r="B1062" s="17" t="s">
        <v>9948</v>
      </c>
      <c r="C1062" s="17" t="s">
        <v>9949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9950</v>
      </c>
      <c r="B1063" s="17" t="s">
        <v>9950</v>
      </c>
      <c r="C1063" s="17" t="s">
        <v>9951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9952</v>
      </c>
      <c r="B1064" s="17" t="s">
        <v>9952</v>
      </c>
      <c r="C1064" s="17" t="s">
        <v>9953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9954</v>
      </c>
      <c r="B1065" s="17" t="s">
        <v>9954</v>
      </c>
      <c r="C1065" s="17" t="s">
        <v>9955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9956</v>
      </c>
      <c r="B1066" s="17" t="s">
        <v>9956</v>
      </c>
      <c r="C1066" s="17" t="s">
        <v>9957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9958</v>
      </c>
      <c r="B1067" s="17" t="s">
        <v>9958</v>
      </c>
      <c r="C1067" s="17" t="s">
        <v>9959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9960</v>
      </c>
      <c r="B1068" s="17" t="s">
        <v>9960</v>
      </c>
      <c r="C1068" s="17" t="s">
        <v>9961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9962</v>
      </c>
      <c r="B1069" s="17" t="s">
        <v>9962</v>
      </c>
      <c r="C1069" s="17" t="s">
        <v>9963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9964</v>
      </c>
      <c r="B1070" s="17" t="s">
        <v>9964</v>
      </c>
      <c r="C1070" s="17" t="s">
        <v>9965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9966</v>
      </c>
      <c r="B1071" s="17" t="s">
        <v>9966</v>
      </c>
      <c r="C1071" s="17" t="s">
        <v>9967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9968</v>
      </c>
      <c r="B1072" s="17" t="s">
        <v>9968</v>
      </c>
      <c r="C1072" s="17" t="s">
        <v>9969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9970</v>
      </c>
      <c r="B1073" s="17" t="s">
        <v>9970</v>
      </c>
      <c r="C1073" s="17" t="s">
        <v>9971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9972</v>
      </c>
      <c r="B1074" s="17" t="s">
        <v>9972</v>
      </c>
      <c r="C1074" s="17" t="s">
        <v>9973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9974</v>
      </c>
      <c r="B1075" s="17" t="s">
        <v>9974</v>
      </c>
      <c r="C1075" s="17" t="s">
        <v>9975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9976</v>
      </c>
      <c r="B1076" s="17" t="s">
        <v>9976</v>
      </c>
      <c r="C1076" s="17" t="s">
        <v>9977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9978</v>
      </c>
      <c r="B1077" s="17" t="s">
        <v>9978</v>
      </c>
      <c r="C1077" s="17" t="s">
        <v>9979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9980</v>
      </c>
      <c r="B1078" s="17" t="s">
        <v>9980</v>
      </c>
      <c r="C1078" s="17" t="s">
        <v>9981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9982</v>
      </c>
      <c r="B1079" s="17" t="s">
        <v>9982</v>
      </c>
      <c r="C1079" s="17" t="s">
        <v>9983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9984</v>
      </c>
      <c r="B1080" s="17" t="s">
        <v>9984</v>
      </c>
      <c r="C1080" s="17" t="s">
        <v>9985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9986</v>
      </c>
      <c r="B1081" s="17" t="s">
        <v>9986</v>
      </c>
      <c r="C1081" s="17" t="s">
        <v>9987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9988</v>
      </c>
      <c r="B1082" s="17" t="s">
        <v>9988</v>
      </c>
      <c r="C1082" s="17" t="s">
        <v>9989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9990</v>
      </c>
      <c r="B1083" s="17" t="s">
        <v>9990</v>
      </c>
      <c r="C1083" s="17" t="s">
        <v>9991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9992</v>
      </c>
      <c r="B1084" s="17" t="s">
        <v>9992</v>
      </c>
      <c r="C1084" s="17" t="s">
        <v>9993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9994</v>
      </c>
      <c r="B1085" s="17" t="s">
        <v>9994</v>
      </c>
      <c r="C1085" s="17" t="s">
        <v>9995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9996</v>
      </c>
      <c r="B1086" s="17" t="s">
        <v>9996</v>
      </c>
      <c r="C1086" s="17" t="s">
        <v>9997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9998</v>
      </c>
      <c r="B1087" s="17" t="s">
        <v>9998</v>
      </c>
      <c r="C1087" s="17" t="s">
        <v>9999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10000</v>
      </c>
      <c r="B1088" s="17" t="s">
        <v>10000</v>
      </c>
      <c r="C1088" s="17" t="s">
        <v>10001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10002</v>
      </c>
      <c r="B1089" s="17" t="s">
        <v>10002</v>
      </c>
      <c r="C1089" s="17" t="s">
        <v>10003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10004</v>
      </c>
      <c r="B1090" s="17" t="s">
        <v>10004</v>
      </c>
      <c r="C1090" s="17" t="s">
        <v>10005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10006</v>
      </c>
      <c r="B1091" s="17" t="s">
        <v>10006</v>
      </c>
      <c r="C1091" s="17" t="s">
        <v>10007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10008</v>
      </c>
      <c r="B1092" s="17" t="s">
        <v>10008</v>
      </c>
      <c r="C1092" s="17" t="s">
        <v>10009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10010</v>
      </c>
      <c r="B1093" s="17" t="s">
        <v>10010</v>
      </c>
      <c r="C1093" s="17" t="s">
        <v>10011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10012</v>
      </c>
      <c r="B1094" s="17" t="s">
        <v>10012</v>
      </c>
      <c r="C1094" s="17" t="s">
        <v>10013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10014</v>
      </c>
      <c r="B1095" s="17" t="s">
        <v>10014</v>
      </c>
      <c r="C1095" s="17" t="s">
        <v>10015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10016</v>
      </c>
      <c r="B1096" s="17" t="s">
        <v>10016</v>
      </c>
      <c r="C1096" s="17" t="s">
        <v>10017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10018</v>
      </c>
      <c r="B1097" s="17" t="s">
        <v>10018</v>
      </c>
      <c r="C1097" s="17" t="s">
        <v>10019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10020</v>
      </c>
      <c r="B1098" s="17" t="s">
        <v>10020</v>
      </c>
      <c r="C1098" s="17" t="s">
        <v>10021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10022</v>
      </c>
      <c r="B1099" s="17" t="s">
        <v>10022</v>
      </c>
      <c r="C1099" s="17" t="s">
        <v>10023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10024</v>
      </c>
      <c r="B1100" s="17" t="s">
        <v>10024</v>
      </c>
      <c r="C1100" s="17" t="s">
        <v>10025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10026</v>
      </c>
      <c r="B1101" s="17" t="s">
        <v>10026</v>
      </c>
      <c r="C1101" s="17" t="s">
        <v>10027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10028</v>
      </c>
      <c r="B1102" s="17" t="s">
        <v>10028</v>
      </c>
      <c r="C1102" s="17" t="s">
        <v>10029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10030</v>
      </c>
      <c r="B1103" s="17" t="s">
        <v>10030</v>
      </c>
      <c r="C1103" s="17" t="s">
        <v>10031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10032</v>
      </c>
      <c r="B1104" s="17" t="s">
        <v>10032</v>
      </c>
      <c r="C1104" s="17" t="s">
        <v>10033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10034</v>
      </c>
      <c r="B1105" s="17" t="s">
        <v>10034</v>
      </c>
      <c r="C1105" s="17" t="s">
        <v>10035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10036</v>
      </c>
      <c r="B1106" s="17" t="s">
        <v>10036</v>
      </c>
      <c r="C1106" s="17" t="s">
        <v>10037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10038</v>
      </c>
      <c r="B1107" s="17" t="s">
        <v>10038</v>
      </c>
      <c r="C1107" s="17" t="s">
        <v>10039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10040</v>
      </c>
      <c r="B1108" s="17" t="s">
        <v>10040</v>
      </c>
      <c r="C1108" s="17" t="s">
        <v>10041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10042</v>
      </c>
      <c r="B1109" s="17" t="s">
        <v>10042</v>
      </c>
      <c r="C1109" s="17" t="s">
        <v>10043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10044</v>
      </c>
      <c r="B1110" s="17" t="s">
        <v>10044</v>
      </c>
      <c r="C1110" s="17" t="s">
        <v>10045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10046</v>
      </c>
      <c r="B1111" s="17" t="s">
        <v>10046</v>
      </c>
      <c r="C1111" s="17" t="s">
        <v>10047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10048</v>
      </c>
      <c r="B1112" s="17" t="s">
        <v>10048</v>
      </c>
      <c r="C1112" s="17" t="s">
        <v>10049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10050</v>
      </c>
      <c r="B1113" s="17" t="s">
        <v>10050</v>
      </c>
      <c r="C1113" s="17" t="s">
        <v>10051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10052</v>
      </c>
      <c r="B1114" s="17" t="s">
        <v>10052</v>
      </c>
      <c r="C1114" s="17" t="s">
        <v>10053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10054</v>
      </c>
      <c r="B1115" s="17" t="s">
        <v>10054</v>
      </c>
      <c r="C1115" s="17" t="s">
        <v>10055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10056</v>
      </c>
      <c r="B1116" s="17" t="s">
        <v>10056</v>
      </c>
      <c r="C1116" s="17" t="s">
        <v>10057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10058</v>
      </c>
      <c r="B1117" s="17" t="s">
        <v>10058</v>
      </c>
      <c r="C1117" s="17" t="s">
        <v>10059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10060</v>
      </c>
      <c r="B1118" s="17" t="s">
        <v>10060</v>
      </c>
      <c r="C1118" s="17" t="s">
        <v>10061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10062</v>
      </c>
      <c r="B1119" s="17" t="s">
        <v>10062</v>
      </c>
      <c r="C1119" s="17" t="s">
        <v>10063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10064</v>
      </c>
      <c r="B1120" s="17" t="s">
        <v>10064</v>
      </c>
      <c r="C1120" s="17" t="s">
        <v>10065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10066</v>
      </c>
      <c r="B1121" s="17" t="s">
        <v>10066</v>
      </c>
      <c r="C1121" s="17" t="s">
        <v>10067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10068</v>
      </c>
      <c r="B1122" s="17" t="s">
        <v>10068</v>
      </c>
      <c r="C1122" s="17" t="s">
        <v>10069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10070</v>
      </c>
      <c r="B1123" s="17" t="s">
        <v>10070</v>
      </c>
      <c r="C1123" s="17" t="s">
        <v>10071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10072</v>
      </c>
      <c r="B1124" s="17" t="s">
        <v>10072</v>
      </c>
      <c r="C1124" s="17" t="s">
        <v>10073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10074</v>
      </c>
      <c r="B1125" s="17" t="s">
        <v>10074</v>
      </c>
      <c r="C1125" s="17" t="s">
        <v>10075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10076</v>
      </c>
      <c r="B1126" s="17" t="s">
        <v>10076</v>
      </c>
      <c r="C1126" s="17" t="s">
        <v>10077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10078</v>
      </c>
      <c r="B1127" s="17" t="s">
        <v>10078</v>
      </c>
      <c r="C1127" s="17" t="s">
        <v>10079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10080</v>
      </c>
      <c r="B1128" s="17" t="s">
        <v>10080</v>
      </c>
      <c r="C1128" s="17" t="s">
        <v>10081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10082</v>
      </c>
      <c r="B1129" s="17" t="s">
        <v>10082</v>
      </c>
      <c r="C1129" s="17" t="s">
        <v>10083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10084</v>
      </c>
      <c r="B1130" s="17" t="s">
        <v>10084</v>
      </c>
      <c r="C1130" s="17" t="s">
        <v>10085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10086</v>
      </c>
      <c r="B1131" s="17" t="s">
        <v>10086</v>
      </c>
      <c r="C1131" s="17" t="s">
        <v>10087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10088</v>
      </c>
      <c r="B1132" s="17" t="s">
        <v>10088</v>
      </c>
      <c r="C1132" s="17" t="s">
        <v>10089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10090</v>
      </c>
      <c r="B1133" s="17" t="s">
        <v>10090</v>
      </c>
      <c r="C1133" s="17" t="s">
        <v>10091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10092</v>
      </c>
      <c r="B1134" s="17" t="s">
        <v>10092</v>
      </c>
      <c r="C1134" s="17" t="s">
        <v>10093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10094</v>
      </c>
      <c r="B1135" s="17" t="s">
        <v>10094</v>
      </c>
      <c r="C1135" s="17" t="s">
        <v>10095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10096</v>
      </c>
      <c r="B1136" s="17" t="s">
        <v>10096</v>
      </c>
      <c r="C1136" s="17" t="s">
        <v>10097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10098</v>
      </c>
      <c r="B1137" s="17" t="s">
        <v>10098</v>
      </c>
      <c r="C1137" s="17" t="s">
        <v>10099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10100</v>
      </c>
      <c r="B1138" s="17" t="s">
        <v>10100</v>
      </c>
      <c r="C1138" s="17" t="s">
        <v>10101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10102</v>
      </c>
      <c r="B1139" s="17" t="s">
        <v>10102</v>
      </c>
      <c r="C1139" s="17" t="s">
        <v>10103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10104</v>
      </c>
      <c r="B1140" s="17" t="s">
        <v>10104</v>
      </c>
      <c r="C1140" s="17" t="s">
        <v>10105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10106</v>
      </c>
      <c r="B1141" s="17" t="s">
        <v>10106</v>
      </c>
      <c r="C1141" s="17" t="s">
        <v>10107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10108</v>
      </c>
      <c r="B1142" s="17" t="s">
        <v>10108</v>
      </c>
      <c r="C1142" s="17" t="s">
        <v>10109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10110</v>
      </c>
      <c r="B1143" s="17" t="s">
        <v>10110</v>
      </c>
      <c r="C1143" s="17" t="s">
        <v>10111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10112</v>
      </c>
      <c r="B1144" s="17" t="s">
        <v>10112</v>
      </c>
      <c r="C1144" s="17" t="s">
        <v>10113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10114</v>
      </c>
      <c r="B1145" s="17" t="s">
        <v>10114</v>
      </c>
      <c r="C1145" s="17" t="s">
        <v>10115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10116</v>
      </c>
      <c r="B1146" s="17" t="s">
        <v>10116</v>
      </c>
      <c r="C1146" s="17" t="s">
        <v>10117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10118</v>
      </c>
      <c r="B1147" s="17" t="s">
        <v>10118</v>
      </c>
      <c r="C1147" s="17" t="s">
        <v>10119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10120</v>
      </c>
      <c r="B1148" s="17" t="s">
        <v>10120</v>
      </c>
      <c r="C1148" s="17" t="s">
        <v>10121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10122</v>
      </c>
      <c r="B1149" s="17" t="s">
        <v>10122</v>
      </c>
      <c r="C1149" s="17" t="s">
        <v>10123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10124</v>
      </c>
      <c r="B1150" s="17" t="s">
        <v>10124</v>
      </c>
      <c r="C1150" s="17" t="s">
        <v>10125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10126</v>
      </c>
      <c r="B1151" s="17" t="s">
        <v>10126</v>
      </c>
      <c r="C1151" s="17" t="s">
        <v>10127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10128</v>
      </c>
      <c r="B1152" s="17" t="s">
        <v>10128</v>
      </c>
      <c r="C1152" s="17" t="s">
        <v>10129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10130</v>
      </c>
      <c r="B1153" s="17" t="s">
        <v>10130</v>
      </c>
      <c r="C1153" s="17" t="s">
        <v>10131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10132</v>
      </c>
      <c r="B1154" s="17" t="s">
        <v>10132</v>
      </c>
      <c r="C1154" s="17" t="s">
        <v>10133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10134</v>
      </c>
      <c r="B1155" s="17" t="s">
        <v>10134</v>
      </c>
      <c r="C1155" s="17" t="s">
        <v>10135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10136</v>
      </c>
      <c r="B1156" s="17" t="s">
        <v>10136</v>
      </c>
      <c r="C1156" s="17" t="s">
        <v>10137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10138</v>
      </c>
      <c r="B1157" s="17" t="s">
        <v>10138</v>
      </c>
      <c r="C1157" s="17" t="s">
        <v>10139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10140</v>
      </c>
      <c r="B1158" s="17" t="s">
        <v>10140</v>
      </c>
      <c r="C1158" s="17" t="s">
        <v>10141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10142</v>
      </c>
      <c r="B1159" s="17" t="s">
        <v>10142</v>
      </c>
      <c r="C1159" s="17" t="s">
        <v>10143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10144</v>
      </c>
      <c r="B1160" s="17" t="s">
        <v>10144</v>
      </c>
      <c r="C1160" s="17" t="s">
        <v>10145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10146</v>
      </c>
      <c r="B1161" s="17" t="s">
        <v>10146</v>
      </c>
      <c r="C1161" s="17" t="s">
        <v>10147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10148</v>
      </c>
      <c r="B1162" s="17" t="s">
        <v>10148</v>
      </c>
      <c r="C1162" s="17" t="s">
        <v>10149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10150</v>
      </c>
      <c r="B1163" s="17" t="s">
        <v>10150</v>
      </c>
      <c r="C1163" s="17" t="s">
        <v>10151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10152</v>
      </c>
      <c r="B1164" s="17" t="s">
        <v>10152</v>
      </c>
      <c r="C1164" s="17" t="s">
        <v>10153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10154</v>
      </c>
      <c r="B1165" s="17" t="s">
        <v>10154</v>
      </c>
      <c r="C1165" s="17" t="s">
        <v>10155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10156</v>
      </c>
      <c r="B1166" s="17" t="s">
        <v>10156</v>
      </c>
      <c r="C1166" s="17" t="s">
        <v>10157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10158</v>
      </c>
      <c r="B1167" s="17" t="s">
        <v>10158</v>
      </c>
      <c r="C1167" s="17" t="s">
        <v>10159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10160</v>
      </c>
      <c r="B1168" s="17" t="s">
        <v>10160</v>
      </c>
      <c r="C1168" s="17" t="s">
        <v>10161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10162</v>
      </c>
      <c r="B1169" s="17" t="s">
        <v>10162</v>
      </c>
      <c r="C1169" s="17" t="s">
        <v>10163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10164</v>
      </c>
      <c r="B1170" s="17" t="s">
        <v>10164</v>
      </c>
      <c r="C1170" s="17" t="s">
        <v>10165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10166</v>
      </c>
      <c r="B1171" s="17" t="s">
        <v>10166</v>
      </c>
      <c r="C1171" s="17" t="s">
        <v>10167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10168</v>
      </c>
      <c r="B1172" s="17" t="s">
        <v>10168</v>
      </c>
      <c r="C1172" s="17" t="s">
        <v>10169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10170</v>
      </c>
      <c r="B1173" s="17" t="s">
        <v>10170</v>
      </c>
      <c r="C1173" s="17" t="s">
        <v>10171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10172</v>
      </c>
      <c r="B1174" s="17" t="s">
        <v>10172</v>
      </c>
      <c r="C1174" s="17" t="s">
        <v>10173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10174</v>
      </c>
      <c r="B1175" s="17" t="s">
        <v>10174</v>
      </c>
      <c r="C1175" s="17" t="s">
        <v>10175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10176</v>
      </c>
      <c r="B1176" s="17" t="s">
        <v>10176</v>
      </c>
      <c r="C1176" s="16" t="s">
        <v>10177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10178</v>
      </c>
      <c r="B1177" s="17" t="s">
        <v>10178</v>
      </c>
      <c r="C1177" s="17" t="s">
        <v>10179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10180</v>
      </c>
      <c r="B1178" s="17" t="s">
        <v>10180</v>
      </c>
      <c r="C1178" s="17" t="s">
        <v>10181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10182</v>
      </c>
      <c r="B1179" s="17" t="s">
        <v>10182</v>
      </c>
      <c r="C1179" s="17" t="s">
        <v>10183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10184</v>
      </c>
      <c r="B1180" s="17" t="s">
        <v>10184</v>
      </c>
      <c r="C1180" s="17" t="s">
        <v>10185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10186</v>
      </c>
      <c r="B1181" s="17" t="s">
        <v>10186</v>
      </c>
      <c r="C1181" s="17" t="s">
        <v>10187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10188</v>
      </c>
      <c r="B1182" s="17" t="s">
        <v>10188</v>
      </c>
      <c r="C1182" s="17" t="s">
        <v>10189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10190</v>
      </c>
      <c r="B1183" s="17" t="s">
        <v>10190</v>
      </c>
      <c r="C1183" s="17" t="s">
        <v>10191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10192</v>
      </c>
      <c r="B1184" s="17" t="s">
        <v>10192</v>
      </c>
      <c r="C1184" s="17" t="s">
        <v>10193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10194</v>
      </c>
      <c r="B1185" s="17" t="s">
        <v>10194</v>
      </c>
      <c r="C1185" s="17" t="s">
        <v>10195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10196</v>
      </c>
      <c r="B1186" s="17" t="s">
        <v>10196</v>
      </c>
      <c r="C1186" s="17" t="s">
        <v>10197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10198</v>
      </c>
      <c r="B1187" s="17" t="s">
        <v>10198</v>
      </c>
      <c r="C1187" s="17" t="s">
        <v>10199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10200</v>
      </c>
      <c r="B1188" s="17" t="s">
        <v>10200</v>
      </c>
      <c r="C1188" s="17" t="s">
        <v>10201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10202</v>
      </c>
      <c r="B1189" s="17" t="s">
        <v>10202</v>
      </c>
      <c r="C1189" s="17" t="s">
        <v>10203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10204</v>
      </c>
      <c r="B1190" s="17" t="s">
        <v>10204</v>
      </c>
      <c r="C1190" s="17" t="s">
        <v>10205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10206</v>
      </c>
      <c r="B1191" s="17" t="s">
        <v>10206</v>
      </c>
      <c r="C1191" s="17" t="s">
        <v>10207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10208</v>
      </c>
      <c r="B1192" s="17" t="s">
        <v>10208</v>
      </c>
      <c r="C1192" s="17" t="s">
        <v>10209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10210</v>
      </c>
      <c r="B1193" s="17" t="s">
        <v>10210</v>
      </c>
      <c r="C1193" s="17" t="s">
        <v>10211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10212</v>
      </c>
      <c r="B1194" s="17" t="s">
        <v>10212</v>
      </c>
      <c r="C1194" s="17" t="s">
        <v>10213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10214</v>
      </c>
      <c r="B1195" s="17" t="s">
        <v>10214</v>
      </c>
      <c r="C1195" s="17" t="s">
        <v>10215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10216</v>
      </c>
      <c r="B1196" s="17" t="s">
        <v>10216</v>
      </c>
      <c r="C1196" s="17" t="s">
        <v>10217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10218</v>
      </c>
      <c r="B1197" s="17" t="s">
        <v>10218</v>
      </c>
      <c r="C1197" s="17" t="s">
        <v>10219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10220</v>
      </c>
      <c r="B1198" s="17" t="s">
        <v>10220</v>
      </c>
      <c r="C1198" s="17" t="s">
        <v>10221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10222</v>
      </c>
      <c r="B1199" s="17" t="s">
        <v>10222</v>
      </c>
      <c r="C1199" s="17" t="s">
        <v>10223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10224</v>
      </c>
      <c r="B1200" s="17" t="s">
        <v>10224</v>
      </c>
      <c r="C1200" s="17" t="s">
        <v>10225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10226</v>
      </c>
      <c r="B1201" s="17" t="s">
        <v>10226</v>
      </c>
      <c r="C1201" s="17" t="s">
        <v>10227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10228</v>
      </c>
      <c r="B1202" s="17" t="s">
        <v>10228</v>
      </c>
      <c r="C1202" s="17" t="s">
        <v>10229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10230</v>
      </c>
      <c r="B1203" s="17" t="s">
        <v>10230</v>
      </c>
      <c r="C1203" s="17" t="s">
        <v>10231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10232</v>
      </c>
      <c r="B1204" s="17" t="s">
        <v>10232</v>
      </c>
      <c r="C1204" s="17" t="s">
        <v>10233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10234</v>
      </c>
      <c r="B1205" s="17" t="s">
        <v>10234</v>
      </c>
      <c r="C1205" s="17" t="s">
        <v>10235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10236</v>
      </c>
      <c r="B1206" s="17" t="s">
        <v>10236</v>
      </c>
      <c r="C1206" s="17" t="s">
        <v>10237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10238</v>
      </c>
      <c r="B1207" s="17" t="s">
        <v>10238</v>
      </c>
      <c r="C1207" s="17" t="s">
        <v>10239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10240</v>
      </c>
      <c r="B1208" s="17" t="s">
        <v>10240</v>
      </c>
      <c r="C1208" s="17" t="s">
        <v>10241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10242</v>
      </c>
      <c r="B1209" s="17" t="s">
        <v>10242</v>
      </c>
      <c r="C1209" s="17" t="s">
        <v>10243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10244</v>
      </c>
      <c r="B1210" s="17" t="s">
        <v>10244</v>
      </c>
      <c r="C1210" s="17" t="s">
        <v>10245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10246</v>
      </c>
      <c r="B1211" s="17" t="s">
        <v>10246</v>
      </c>
      <c r="C1211" s="17" t="s">
        <v>10247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10248</v>
      </c>
      <c r="B1212" s="17" t="s">
        <v>10248</v>
      </c>
      <c r="C1212" s="17" t="s">
        <v>10249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9572</v>
      </c>
      <c r="B1213" s="16" t="s">
        <v>9572</v>
      </c>
      <c r="C1213" s="16" t="s">
        <v>9573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7477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9574</v>
      </c>
      <c r="B1214" s="17" t="s">
        <v>9574</v>
      </c>
      <c r="C1214" s="17" t="s">
        <v>9575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9576</v>
      </c>
      <c r="B1215" s="17" t="s">
        <v>9576</v>
      </c>
      <c r="C1215" s="17" t="s">
        <v>9577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9578</v>
      </c>
      <c r="B1216" s="17" t="s">
        <v>9578</v>
      </c>
      <c r="C1216" s="17" t="s">
        <v>9579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9580</v>
      </c>
      <c r="B1217" s="17" t="s">
        <v>9580</v>
      </c>
      <c r="C1217" s="17" t="s">
        <v>9581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9582</v>
      </c>
      <c r="B1218" s="17" t="s">
        <v>9582</v>
      </c>
      <c r="C1218" s="17" t="s">
        <v>9583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9584</v>
      </c>
      <c r="B1219" s="17" t="s">
        <v>9584</v>
      </c>
      <c r="C1219" s="17" t="s">
        <v>9585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9586</v>
      </c>
      <c r="B1220" s="17" t="s">
        <v>9586</v>
      </c>
      <c r="C1220" s="17" t="s">
        <v>9587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9588</v>
      </c>
      <c r="B1221" s="17" t="s">
        <v>9588</v>
      </c>
      <c r="C1221" s="17" t="s">
        <v>9589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9590</v>
      </c>
      <c r="B1222" s="17" t="s">
        <v>9590</v>
      </c>
      <c r="C1222" s="17" t="s">
        <v>9591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9592</v>
      </c>
      <c r="B1223" s="17" t="s">
        <v>9592</v>
      </c>
      <c r="C1223" s="17" t="s">
        <v>9593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9594</v>
      </c>
      <c r="B1224" s="17" t="s">
        <v>9594</v>
      </c>
      <c r="C1224" s="17" t="s">
        <v>9595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9596</v>
      </c>
      <c r="B1225" s="17" t="s">
        <v>9596</v>
      </c>
      <c r="C1225" s="17" t="s">
        <v>9597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9598</v>
      </c>
      <c r="B1226" s="17" t="s">
        <v>9598</v>
      </c>
      <c r="C1226" s="17" t="s">
        <v>9599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9600</v>
      </c>
      <c r="B1227" s="17" t="s">
        <v>9600</v>
      </c>
      <c r="C1227" s="17" t="s">
        <v>9601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9602</v>
      </c>
      <c r="B1228" s="17" t="s">
        <v>9602</v>
      </c>
      <c r="C1228" s="17" t="s">
        <v>9603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9604</v>
      </c>
      <c r="B1229" s="17" t="s">
        <v>9604</v>
      </c>
      <c r="C1229" s="17" t="s">
        <v>9605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9606</v>
      </c>
      <c r="B1230" s="17" t="s">
        <v>9606</v>
      </c>
      <c r="C1230" s="17" t="s">
        <v>9607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9608</v>
      </c>
      <c r="B1231" s="17" t="s">
        <v>9608</v>
      </c>
      <c r="C1231" s="17" t="s">
        <v>9609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9610</v>
      </c>
      <c r="B1232" s="17" t="s">
        <v>9610</v>
      </c>
      <c r="C1232" s="17" t="s">
        <v>9611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9612</v>
      </c>
      <c r="B1233" s="17" t="s">
        <v>9612</v>
      </c>
      <c r="C1233" s="17" t="s">
        <v>9613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9614</v>
      </c>
      <c r="B1234" s="17" t="s">
        <v>9614</v>
      </c>
      <c r="C1234" s="17" t="s">
        <v>9615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9616</v>
      </c>
      <c r="B1235" s="17" t="s">
        <v>9616</v>
      </c>
      <c r="C1235" s="17" t="s">
        <v>9617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9618</v>
      </c>
      <c r="B1236" s="17" t="s">
        <v>9618</v>
      </c>
      <c r="C1236" s="17" t="s">
        <v>9619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9620</v>
      </c>
      <c r="B1237" s="17" t="s">
        <v>9620</v>
      </c>
      <c r="C1237" s="17" t="s">
        <v>9621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9622</v>
      </c>
      <c r="B1238" s="17" t="s">
        <v>9622</v>
      </c>
      <c r="C1238" s="17" t="s">
        <v>9623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9624</v>
      </c>
      <c r="B1239" s="17" t="s">
        <v>9624</v>
      </c>
      <c r="C1239" s="17" t="s">
        <v>9625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9626</v>
      </c>
      <c r="B1240" s="17" t="s">
        <v>9626</v>
      </c>
      <c r="C1240" s="17" t="s">
        <v>9627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9628</v>
      </c>
      <c r="B1241" s="17" t="s">
        <v>9628</v>
      </c>
      <c r="C1241" s="17" t="s">
        <v>9629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9630</v>
      </c>
      <c r="B1242" s="17" t="s">
        <v>9630</v>
      </c>
      <c r="C1242" s="17" t="s">
        <v>9631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9632</v>
      </c>
      <c r="B1243" s="17" t="s">
        <v>9632</v>
      </c>
      <c r="C1243" s="17" t="s">
        <v>9633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9634</v>
      </c>
      <c r="B1244" s="17" t="s">
        <v>9634</v>
      </c>
      <c r="C1244" s="17" t="s">
        <v>9635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9636</v>
      </c>
      <c r="B1245" s="17" t="s">
        <v>9636</v>
      </c>
      <c r="C1245" s="17" t="s">
        <v>9637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9638</v>
      </c>
      <c r="B1246" s="17" t="s">
        <v>9638</v>
      </c>
      <c r="C1246" s="17" t="s">
        <v>9639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9640</v>
      </c>
      <c r="B1247" s="17" t="s">
        <v>9640</v>
      </c>
      <c r="C1247" s="17" t="s">
        <v>9641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9642</v>
      </c>
      <c r="B1248" s="17" t="s">
        <v>9642</v>
      </c>
      <c r="C1248" s="17" t="s">
        <v>9643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9644</v>
      </c>
      <c r="B1249" s="17" t="s">
        <v>9644</v>
      </c>
      <c r="C1249" s="17" t="s">
        <v>9645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9646</v>
      </c>
      <c r="B1250" s="17" t="s">
        <v>9646</v>
      </c>
      <c r="C1250" s="17" t="s">
        <v>9647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9648</v>
      </c>
      <c r="B1251" s="17" t="s">
        <v>9648</v>
      </c>
      <c r="C1251" s="17" t="s">
        <v>9649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9650</v>
      </c>
      <c r="B1252" s="17" t="s">
        <v>9650</v>
      </c>
      <c r="C1252" s="17" t="s">
        <v>9651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9652</v>
      </c>
      <c r="B1253" s="17" t="s">
        <v>9652</v>
      </c>
      <c r="C1253" s="17" t="s">
        <v>9653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9654</v>
      </c>
      <c r="B1254" s="17" t="s">
        <v>9654</v>
      </c>
      <c r="C1254" s="17" t="s">
        <v>9655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9656</v>
      </c>
      <c r="B1255" s="17" t="s">
        <v>9656</v>
      </c>
      <c r="C1255" s="17" t="s">
        <v>9657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9658</v>
      </c>
      <c r="B1256" s="17" t="s">
        <v>9658</v>
      </c>
      <c r="C1256" s="17" t="s">
        <v>9659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9660</v>
      </c>
      <c r="B1257" s="17" t="s">
        <v>9660</v>
      </c>
      <c r="C1257" s="17" t="s">
        <v>9661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9662</v>
      </c>
      <c r="B1258" s="17" t="s">
        <v>9662</v>
      </c>
      <c r="C1258" s="17" t="s">
        <v>9663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9664</v>
      </c>
      <c r="B1259" s="17" t="s">
        <v>9664</v>
      </c>
      <c r="C1259" s="17" t="s">
        <v>9665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9666</v>
      </c>
      <c r="B1260" s="17" t="s">
        <v>9666</v>
      </c>
      <c r="C1260" s="17" t="s">
        <v>9667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9668</v>
      </c>
      <c r="B1261" s="17" t="s">
        <v>9668</v>
      </c>
      <c r="C1261" s="17" t="s">
        <v>9669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9670</v>
      </c>
      <c r="B1262" s="17" t="s">
        <v>9670</v>
      </c>
      <c r="C1262" s="17" t="s">
        <v>9671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9672</v>
      </c>
      <c r="B1263" s="17" t="s">
        <v>9672</v>
      </c>
      <c r="C1263" s="17" t="s">
        <v>9673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9674</v>
      </c>
      <c r="B1264" s="17" t="s">
        <v>9674</v>
      </c>
      <c r="C1264" s="17" t="s">
        <v>9675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9676</v>
      </c>
      <c r="B1265" s="17" t="s">
        <v>9676</v>
      </c>
      <c r="C1265" s="17" t="s">
        <v>9677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9678</v>
      </c>
      <c r="B1266" s="17" t="s">
        <v>9678</v>
      </c>
      <c r="C1266" s="17" t="s">
        <v>9679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9680</v>
      </c>
      <c r="B1267" s="17" t="s">
        <v>9680</v>
      </c>
      <c r="C1267" s="17" t="s">
        <v>9681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9682</v>
      </c>
      <c r="B1268" s="17" t="s">
        <v>9682</v>
      </c>
      <c r="C1268" s="17" t="s">
        <v>9683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9684</v>
      </c>
      <c r="B1269" s="17" t="s">
        <v>9684</v>
      </c>
      <c r="C1269" s="17" t="s">
        <v>9685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9686</v>
      </c>
      <c r="B1270" s="17" t="s">
        <v>9686</v>
      </c>
      <c r="C1270" s="17" t="s">
        <v>9687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9688</v>
      </c>
      <c r="B1271" s="17" t="s">
        <v>9688</v>
      </c>
      <c r="C1271" s="17" t="s">
        <v>9689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9690</v>
      </c>
      <c r="B1272" s="17" t="s">
        <v>9690</v>
      </c>
      <c r="C1272" s="17" t="s">
        <v>9691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9692</v>
      </c>
      <c r="B1273" s="17" t="s">
        <v>9692</v>
      </c>
      <c r="C1273" s="17" t="s">
        <v>9693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9694</v>
      </c>
      <c r="B1274" s="17" t="s">
        <v>9694</v>
      </c>
      <c r="C1274" s="17" t="s">
        <v>9695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9696</v>
      </c>
      <c r="B1275" s="17" t="s">
        <v>9696</v>
      </c>
      <c r="C1275" s="17" t="s">
        <v>9697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9698</v>
      </c>
      <c r="B1276" s="17" t="s">
        <v>9698</v>
      </c>
      <c r="C1276" s="17" t="s">
        <v>9699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9700</v>
      </c>
      <c r="B1277" s="17" t="s">
        <v>9700</v>
      </c>
      <c r="C1277" s="17" t="s">
        <v>9701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9702</v>
      </c>
      <c r="B1278" s="17" t="s">
        <v>9702</v>
      </c>
      <c r="C1278" s="17" t="s">
        <v>9703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9704</v>
      </c>
      <c r="B1279" s="17" t="s">
        <v>9704</v>
      </c>
      <c r="C1279" s="17" t="s">
        <v>9705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9706</v>
      </c>
      <c r="B1280" s="17" t="s">
        <v>9706</v>
      </c>
      <c r="C1280" s="17" t="s">
        <v>9707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560</v>
      </c>
      <c r="N1280" s="17" t="s">
        <v>14077</v>
      </c>
      <c r="O1280" s="17" t="s">
        <v>477</v>
      </c>
      <c r="P1280" s="17" t="s">
        <v>13700</v>
      </c>
      <c r="Q1280" s="17" t="s">
        <v>25</v>
      </c>
      <c r="R1280" s="17" t="s">
        <v>13701</v>
      </c>
      <c r="S1280" t="s">
        <v>477</v>
      </c>
      <c r="T1280" s="17" t="s">
        <v>13702</v>
      </c>
      <c r="U1280" t="s">
        <v>25</v>
      </c>
      <c r="V1280" s="17" t="s">
        <v>13703</v>
      </c>
      <c r="W1280" s="17"/>
      <c r="X1280" s="17"/>
      <c r="Y1280" s="17"/>
      <c r="Z1280" s="17"/>
      <c r="AA1280" s="17"/>
      <c r="AB1280" s="17"/>
    </row>
    <row r="1281" spans="1:28">
      <c r="A1281" s="17" t="s">
        <v>9708</v>
      </c>
      <c r="B1281" s="17" t="s">
        <v>9708</v>
      </c>
      <c r="C1281" s="17" t="s">
        <v>9709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9710</v>
      </c>
      <c r="B1282" s="17" t="s">
        <v>9710</v>
      </c>
      <c r="C1282" s="17" t="s">
        <v>9711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9712</v>
      </c>
      <c r="B1283" s="17" t="s">
        <v>9712</v>
      </c>
      <c r="C1283" s="17" t="s">
        <v>9713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9714</v>
      </c>
      <c r="B1284" s="17" t="s">
        <v>9714</v>
      </c>
      <c r="C1284" s="17" t="s">
        <v>9715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9716</v>
      </c>
      <c r="B1285" s="17" t="s">
        <v>9716</v>
      </c>
      <c r="C1285" s="17" t="s">
        <v>9717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9718</v>
      </c>
      <c r="B1286" s="17" t="s">
        <v>9718</v>
      </c>
      <c r="C1286" s="17" t="s">
        <v>9719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9720</v>
      </c>
      <c r="B1287" s="17" t="s">
        <v>9720</v>
      </c>
      <c r="C1287" s="17" t="s">
        <v>9721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8080</v>
      </c>
      <c r="B1288" s="16" t="s">
        <v>8080</v>
      </c>
      <c r="C1288" s="16" t="s">
        <v>8081</v>
      </c>
      <c r="D1288" s="16" t="s">
        <v>21</v>
      </c>
      <c r="E1288" s="16" t="s">
        <v>7475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7477</v>
      </c>
      <c r="K1288" s="16"/>
      <c r="L1288" s="16"/>
      <c r="M1288" s="20">
        <v>1200</v>
      </c>
      <c r="N1288" s="17" t="s">
        <v>14077</v>
      </c>
      <c r="O1288" s="16" t="s">
        <v>477</v>
      </c>
      <c r="P1288" s="16" t="s">
        <v>8084</v>
      </c>
      <c r="Q1288" s="16" t="s">
        <v>25</v>
      </c>
      <c r="R1288" s="16" t="s">
        <v>8085</v>
      </c>
      <c r="S1288" s="16" t="s">
        <v>477</v>
      </c>
      <c r="T1288" s="16" t="s">
        <v>8082</v>
      </c>
      <c r="U1288" s="16" t="s">
        <v>25</v>
      </c>
      <c r="V1288" s="16" t="s">
        <v>8083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9722</v>
      </c>
      <c r="B1289" s="17" t="s">
        <v>9722</v>
      </c>
      <c r="C1289" s="17" t="s">
        <v>9723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9724</v>
      </c>
      <c r="B1290" s="17" t="s">
        <v>9724</v>
      </c>
      <c r="C1290" s="17" t="s">
        <v>9725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9726</v>
      </c>
      <c r="B1291" s="17" t="s">
        <v>9726</v>
      </c>
      <c r="C1291" s="17" t="s">
        <v>9727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9728</v>
      </c>
      <c r="B1292" s="17" t="s">
        <v>9728</v>
      </c>
      <c r="C1292" s="17" t="s">
        <v>9729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9730</v>
      </c>
      <c r="B1293" s="17" t="s">
        <v>9730</v>
      </c>
      <c r="C1293" s="17" t="s">
        <v>9731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9732</v>
      </c>
      <c r="B1294" s="17" t="s">
        <v>9732</v>
      </c>
      <c r="C1294" s="17" t="s">
        <v>9733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9734</v>
      </c>
      <c r="B1295" s="17" t="s">
        <v>9734</v>
      </c>
      <c r="C1295" s="17" t="s">
        <v>9735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9736</v>
      </c>
      <c r="B1296" s="17" t="s">
        <v>9736</v>
      </c>
      <c r="C1296" s="17" t="s">
        <v>9737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9738</v>
      </c>
      <c r="B1297" s="17" t="s">
        <v>9738</v>
      </c>
      <c r="C1297" s="17" t="s">
        <v>9739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9740</v>
      </c>
      <c r="B1298" s="17" t="s">
        <v>9740</v>
      </c>
      <c r="C1298" s="17" t="s">
        <v>9741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9742</v>
      </c>
      <c r="B1299" s="17" t="s">
        <v>9742</v>
      </c>
      <c r="C1299" s="17" t="s">
        <v>9743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9744</v>
      </c>
      <c r="B1300" s="17" t="s">
        <v>9744</v>
      </c>
      <c r="C1300" s="17" t="s">
        <v>9745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9746</v>
      </c>
      <c r="B1301" s="17" t="s">
        <v>9746</v>
      </c>
      <c r="C1301" s="17" t="s">
        <v>9747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9748</v>
      </c>
      <c r="B1302" s="17" t="s">
        <v>9748</v>
      </c>
      <c r="C1302" s="17" t="s">
        <v>9749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9750</v>
      </c>
      <c r="B1303" s="17" t="s">
        <v>9750</v>
      </c>
      <c r="C1303" s="17" t="s">
        <v>9751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9752</v>
      </c>
      <c r="B1304" s="17" t="s">
        <v>9752</v>
      </c>
      <c r="C1304" s="17" t="s">
        <v>9753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9754</v>
      </c>
      <c r="B1305" s="17" t="s">
        <v>9754</v>
      </c>
      <c r="C1305" s="17" t="s">
        <v>9755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9756</v>
      </c>
      <c r="B1306" s="17" t="s">
        <v>9756</v>
      </c>
      <c r="C1306" s="17" t="s">
        <v>9757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9758</v>
      </c>
      <c r="B1307" s="17" t="s">
        <v>9758</v>
      </c>
      <c r="C1307" s="17" t="s">
        <v>9759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9760</v>
      </c>
      <c r="B1308" s="17" t="s">
        <v>9760</v>
      </c>
      <c r="C1308" s="17" t="s">
        <v>9761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9762</v>
      </c>
      <c r="B1309" s="17" t="s">
        <v>9762</v>
      </c>
      <c r="C1309" s="17" t="s">
        <v>9763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9764</v>
      </c>
      <c r="B1310" s="17" t="s">
        <v>9764</v>
      </c>
      <c r="C1310" s="17" t="s">
        <v>9765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9766</v>
      </c>
      <c r="B1311" s="17" t="s">
        <v>9766</v>
      </c>
      <c r="C1311" s="17" t="s">
        <v>9767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9768</v>
      </c>
      <c r="B1312" s="17" t="s">
        <v>9768</v>
      </c>
      <c r="C1312" s="17" t="s">
        <v>9769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9770</v>
      </c>
      <c r="B1313" s="17" t="s">
        <v>9770</v>
      </c>
      <c r="C1313" s="17" t="s">
        <v>9771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9772</v>
      </c>
      <c r="B1314" s="17" t="s">
        <v>9772</v>
      </c>
      <c r="C1314" s="17" t="s">
        <v>9773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9774</v>
      </c>
      <c r="B1315" s="17" t="s">
        <v>9774</v>
      </c>
      <c r="C1315" s="17" t="s">
        <v>9775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9776</v>
      </c>
      <c r="B1316" s="17" t="s">
        <v>9776</v>
      </c>
      <c r="C1316" s="17" t="s">
        <v>9777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9778</v>
      </c>
      <c r="B1317" s="17" t="s">
        <v>9778</v>
      </c>
      <c r="C1317" s="17" t="s">
        <v>9779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9780</v>
      </c>
      <c r="B1318" s="17" t="s">
        <v>9780</v>
      </c>
      <c r="C1318" s="17" t="s">
        <v>9781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9782</v>
      </c>
      <c r="B1319" s="17" t="s">
        <v>9782</v>
      </c>
      <c r="C1319" s="17" t="s">
        <v>9783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9784</v>
      </c>
      <c r="B1320" s="17" t="s">
        <v>9784</v>
      </c>
      <c r="C1320" s="17" t="s">
        <v>9785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9786</v>
      </c>
      <c r="B1321" s="17" t="s">
        <v>9786</v>
      </c>
      <c r="C1321" s="17" t="s">
        <v>9787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9788</v>
      </c>
      <c r="B1322" s="17" t="s">
        <v>9788</v>
      </c>
      <c r="C1322" s="17" t="s">
        <v>9789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9790</v>
      </c>
      <c r="B1323" s="17" t="s">
        <v>9790</v>
      </c>
      <c r="C1323" s="17" t="s">
        <v>9791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9792</v>
      </c>
      <c r="B1324" s="17" t="s">
        <v>9792</v>
      </c>
      <c r="C1324" s="17" t="s">
        <v>9793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9794</v>
      </c>
      <c r="B1325" s="17" t="s">
        <v>9794</v>
      </c>
      <c r="C1325" s="17" t="s">
        <v>9795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9796</v>
      </c>
      <c r="B1326" s="17" t="s">
        <v>9796</v>
      </c>
      <c r="C1326" s="17" t="s">
        <v>9797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9798</v>
      </c>
      <c r="B1327" s="17" t="s">
        <v>9798</v>
      </c>
      <c r="C1327" s="17" t="s">
        <v>9799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9800</v>
      </c>
      <c r="B1328" s="17" t="s">
        <v>9800</v>
      </c>
      <c r="C1328" s="17" t="s">
        <v>9801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9802</v>
      </c>
      <c r="B1329" s="17" t="s">
        <v>9802</v>
      </c>
      <c r="C1329" s="17" t="s">
        <v>9803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9804</v>
      </c>
      <c r="B1330" s="17" t="s">
        <v>9804</v>
      </c>
      <c r="C1330" s="17" t="s">
        <v>9805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9806</v>
      </c>
      <c r="B1331" s="17" t="s">
        <v>9806</v>
      </c>
      <c r="C1331" s="17" t="s">
        <v>9807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9808</v>
      </c>
      <c r="B1332" s="17" t="s">
        <v>9808</v>
      </c>
      <c r="C1332" s="17" t="s">
        <v>9809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9810</v>
      </c>
      <c r="B1333" s="17" t="s">
        <v>9810</v>
      </c>
      <c r="C1333" s="17" t="s">
        <v>9811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9812</v>
      </c>
      <c r="B1334" s="17" t="s">
        <v>9812</v>
      </c>
      <c r="C1334" s="17" t="s">
        <v>9813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9814</v>
      </c>
      <c r="B1335" s="17" t="s">
        <v>9814</v>
      </c>
      <c r="C1335" s="17" t="s">
        <v>9815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9816</v>
      </c>
      <c r="B1336" s="17" t="s">
        <v>9816</v>
      </c>
      <c r="C1336" s="17" t="s">
        <v>9817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9818</v>
      </c>
      <c r="B1337" s="17" t="s">
        <v>9818</v>
      </c>
      <c r="C1337" s="17" t="s">
        <v>9819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9820</v>
      </c>
      <c r="B1338" s="17" t="s">
        <v>9820</v>
      </c>
      <c r="C1338" s="17" t="s">
        <v>9821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9822</v>
      </c>
      <c r="B1339" s="17" t="s">
        <v>9822</v>
      </c>
      <c r="C1339" s="17" t="s">
        <v>9823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9824</v>
      </c>
      <c r="B1340" s="17" t="s">
        <v>9824</v>
      </c>
      <c r="C1340" s="17" t="s">
        <v>9825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9826</v>
      </c>
      <c r="B1341" s="17" t="s">
        <v>9826</v>
      </c>
      <c r="C1341" s="17" t="s">
        <v>9827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9828</v>
      </c>
      <c r="B1342" s="17" t="s">
        <v>9828</v>
      </c>
      <c r="C1342" s="17" t="s">
        <v>9829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9830</v>
      </c>
      <c r="B1343" s="17" t="s">
        <v>9830</v>
      </c>
      <c r="C1343" s="17" t="s">
        <v>9831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9832</v>
      </c>
      <c r="B1344" s="17" t="s">
        <v>9832</v>
      </c>
      <c r="C1344" s="17" t="s">
        <v>9833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9834</v>
      </c>
      <c r="B1345" s="17" t="s">
        <v>9834</v>
      </c>
      <c r="C1345" s="17" t="s">
        <v>9835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9836</v>
      </c>
      <c r="B1346" s="17" t="s">
        <v>9836</v>
      </c>
      <c r="C1346" s="16" t="s">
        <v>9837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7477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9838</v>
      </c>
      <c r="B1347" s="17" t="s">
        <v>9838</v>
      </c>
      <c r="C1347" s="17" t="s">
        <v>9839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9840</v>
      </c>
      <c r="B1348" s="17" t="s">
        <v>9840</v>
      </c>
      <c r="C1348" s="17" t="s">
        <v>9841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9842</v>
      </c>
      <c r="B1349" s="17" t="s">
        <v>9842</v>
      </c>
      <c r="C1349" s="17" t="s">
        <v>9843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9844</v>
      </c>
      <c r="B1350" s="17" t="s">
        <v>9844</v>
      </c>
      <c r="C1350" s="17" t="s">
        <v>9845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9846</v>
      </c>
      <c r="B1351" s="17" t="s">
        <v>9846</v>
      </c>
      <c r="C1351" s="17" t="s">
        <v>9847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9848</v>
      </c>
      <c r="B1352" s="17" t="s">
        <v>9848</v>
      </c>
      <c r="C1352" s="17" t="s">
        <v>9849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9850</v>
      </c>
      <c r="B1353" s="17" t="s">
        <v>9850</v>
      </c>
      <c r="C1353" s="17" t="s">
        <v>9851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9852</v>
      </c>
      <c r="B1354" s="17" t="s">
        <v>9852</v>
      </c>
      <c r="C1354" s="17" t="s">
        <v>9853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9854</v>
      </c>
      <c r="B1355" s="17" t="s">
        <v>9854</v>
      </c>
      <c r="C1355" s="17" t="s">
        <v>9855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9856</v>
      </c>
      <c r="B1356" s="17" t="s">
        <v>9856</v>
      </c>
      <c r="C1356" s="17" t="s">
        <v>9857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9858</v>
      </c>
      <c r="B1357" s="17" t="s">
        <v>9858</v>
      </c>
      <c r="C1357" s="17" t="s">
        <v>9859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9860</v>
      </c>
      <c r="B1358" s="17" t="s">
        <v>9860</v>
      </c>
      <c r="C1358" s="17" t="s">
        <v>9861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9862</v>
      </c>
      <c r="B1359" s="17" t="s">
        <v>9862</v>
      </c>
      <c r="C1359" s="17" t="s">
        <v>9863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9864</v>
      </c>
      <c r="B1360" s="17" t="s">
        <v>9864</v>
      </c>
      <c r="C1360" s="17" t="s">
        <v>9865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9866</v>
      </c>
      <c r="B1361" s="17" t="s">
        <v>9866</v>
      </c>
      <c r="C1361" s="17" t="s">
        <v>9867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9868</v>
      </c>
      <c r="B1362" s="17" t="s">
        <v>9868</v>
      </c>
      <c r="C1362" s="17" t="s">
        <v>9869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9870</v>
      </c>
      <c r="B1363" s="17" t="s">
        <v>9870</v>
      </c>
      <c r="C1363" s="17" t="s">
        <v>9871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9872</v>
      </c>
      <c r="B1364" s="17" t="s">
        <v>9872</v>
      </c>
      <c r="C1364" s="17" t="s">
        <v>9873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9874</v>
      </c>
      <c r="B1365" s="17" t="s">
        <v>9874</v>
      </c>
      <c r="C1365" s="17" t="s">
        <v>9875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9876</v>
      </c>
      <c r="B1366" s="17" t="s">
        <v>9876</v>
      </c>
      <c r="C1366" s="17" t="s">
        <v>9877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9878</v>
      </c>
      <c r="B1367" s="17" t="s">
        <v>9878</v>
      </c>
      <c r="C1367" s="17" t="s">
        <v>9879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9880</v>
      </c>
      <c r="B1368" s="17" t="s">
        <v>9880</v>
      </c>
      <c r="C1368" s="17" t="s">
        <v>9881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9882</v>
      </c>
      <c r="B1369" s="17" t="s">
        <v>9882</v>
      </c>
      <c r="C1369" s="17" t="s">
        <v>9883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9884</v>
      </c>
      <c r="B1370" s="17" t="s">
        <v>9884</v>
      </c>
      <c r="C1370" s="17" t="s">
        <v>9885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9886</v>
      </c>
      <c r="B1371" s="17" t="s">
        <v>9886</v>
      </c>
      <c r="C1371" s="17" t="s">
        <v>9887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9888</v>
      </c>
      <c r="B1372" s="17" t="s">
        <v>9888</v>
      </c>
      <c r="C1372" s="17" t="s">
        <v>9889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3900000</v>
      </c>
      <c r="N1372" s="17" t="s">
        <v>14077</v>
      </c>
      <c r="O1372" s="17" t="s">
        <v>477</v>
      </c>
      <c r="P1372" s="17" t="s">
        <v>12709</v>
      </c>
      <c r="Q1372" t="s">
        <v>25</v>
      </c>
      <c r="R1372" s="17" t="s">
        <v>12710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9890</v>
      </c>
      <c r="B1373" s="17" t="s">
        <v>9890</v>
      </c>
      <c r="C1373" s="17" t="s">
        <v>9891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9892</v>
      </c>
      <c r="B1374" s="17" t="s">
        <v>9892</v>
      </c>
      <c r="C1374" s="17" t="s">
        <v>9893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4700000</v>
      </c>
      <c r="N1374" s="17" t="s">
        <v>14077</v>
      </c>
      <c r="O1374" t="s">
        <v>477</v>
      </c>
      <c r="P1374" t="s">
        <v>12711</v>
      </c>
      <c r="Q1374" t="s">
        <v>25</v>
      </c>
      <c r="R1374" t="s">
        <v>12712</v>
      </c>
      <c r="S1374" s="17" t="s">
        <v>477</v>
      </c>
      <c r="T1374" s="17" t="s">
        <v>12707</v>
      </c>
      <c r="U1374" t="s">
        <v>25</v>
      </c>
      <c r="V1374" s="17" t="s">
        <v>12708</v>
      </c>
      <c r="W1374" s="17"/>
      <c r="X1374" s="17"/>
      <c r="Y1374" s="17"/>
      <c r="Z1374" s="17"/>
      <c r="AA1374" s="17"/>
      <c r="AB1374" s="17"/>
    </row>
    <row r="1375" spans="1:28">
      <c r="A1375" s="17" t="s">
        <v>9894</v>
      </c>
      <c r="B1375" s="17" t="s">
        <v>9894</v>
      </c>
      <c r="C1375" s="17" t="s">
        <v>9895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9896</v>
      </c>
      <c r="B1376" s="17" t="s">
        <v>9896</v>
      </c>
      <c r="C1376" s="17" t="s">
        <v>9897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9898</v>
      </c>
      <c r="B1377" s="17" t="s">
        <v>9898</v>
      </c>
      <c r="C1377" s="17" t="s">
        <v>9899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9900</v>
      </c>
      <c r="B1378" s="17" t="s">
        <v>9900</v>
      </c>
      <c r="C1378" s="17" t="s">
        <v>9901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9902</v>
      </c>
      <c r="B1379" s="17" t="s">
        <v>9902</v>
      </c>
      <c r="C1379" s="17" t="s">
        <v>9903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9904</v>
      </c>
      <c r="B1380" s="17" t="s">
        <v>9904</v>
      </c>
      <c r="C1380" s="17" t="s">
        <v>9905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9906</v>
      </c>
      <c r="B1381" s="17" t="s">
        <v>9906</v>
      </c>
      <c r="C1381" s="17" t="s">
        <v>9907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9908</v>
      </c>
      <c r="B1382" s="17" t="s">
        <v>9908</v>
      </c>
      <c r="C1382" s="17" t="s">
        <v>9909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7477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14926</v>
      </c>
      <c r="B1384" t="s">
        <v>14926</v>
      </c>
      <c r="C1384" t="s">
        <v>14927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7503</v>
      </c>
      <c r="J1384" s="17" t="s">
        <v>14931</v>
      </c>
      <c r="K1384" s="17"/>
      <c r="L1384" s="17"/>
      <c r="M1384" s="21">
        <v>10000</v>
      </c>
      <c r="N1384" s="17" t="s">
        <v>14928</v>
      </c>
      <c r="O1384" s="17" t="s">
        <v>11392</v>
      </c>
      <c r="P1384" s="17" t="s">
        <v>14929</v>
      </c>
      <c r="Q1384" t="s">
        <v>25</v>
      </c>
      <c r="R1384" s="22" t="s">
        <v>14930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14077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8112</v>
      </c>
      <c r="B1388" s="17" t="s">
        <v>8112</v>
      </c>
      <c r="C1388" s="16" t="s">
        <v>8113</v>
      </c>
      <c r="D1388" s="16" t="s">
        <v>21</v>
      </c>
      <c r="E1388" s="24" t="s">
        <v>22</v>
      </c>
      <c r="F1388" s="17" t="s">
        <v>6448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14077</v>
      </c>
      <c r="O1388" s="16" t="s">
        <v>477</v>
      </c>
      <c r="P1388" s="17" t="s">
        <v>8109</v>
      </c>
      <c r="Q1388" s="16" t="s">
        <v>25</v>
      </c>
      <c r="R1388" s="17" t="s">
        <v>8110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8111</v>
      </c>
      <c r="B1389" s="17" t="s">
        <v>8111</v>
      </c>
      <c r="C1389" s="16" t="s">
        <v>8114</v>
      </c>
      <c r="D1389" s="16" t="s">
        <v>21</v>
      </c>
      <c r="E1389" s="24" t="s">
        <v>22</v>
      </c>
      <c r="F1389" s="17" t="s">
        <v>8108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14077</v>
      </c>
      <c r="O1389" s="16" t="s">
        <v>477</v>
      </c>
      <c r="P1389" s="17" t="s">
        <v>6379</v>
      </c>
      <c r="Q1389" s="16" t="s">
        <v>25</v>
      </c>
      <c r="R1389" s="17" t="s">
        <v>6380</v>
      </c>
      <c r="S1389" s="17"/>
      <c r="T1389" s="17"/>
      <c r="U1389" s="17"/>
      <c r="V1389" s="17"/>
      <c r="W1389" s="17" t="s">
        <v>6382</v>
      </c>
      <c r="X1389" s="17" t="s">
        <v>6381</v>
      </c>
      <c r="Y1389" s="17" t="s">
        <v>4559</v>
      </c>
      <c r="Z1389" s="17" t="s">
        <v>6383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6415</v>
      </c>
      <c r="B1390" s="17" t="s">
        <v>6415</v>
      </c>
      <c r="C1390" s="16" t="s">
        <v>6414</v>
      </c>
      <c r="D1390" s="16" t="s">
        <v>21</v>
      </c>
      <c r="E1390" s="24">
        <v>1206</v>
      </c>
      <c r="F1390" s="17" t="s">
        <v>6447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60.4</v>
      </c>
      <c r="N1390" s="17" t="s">
        <v>14077</v>
      </c>
      <c r="O1390" s="16" t="s">
        <v>477</v>
      </c>
      <c r="P1390" s="17" t="s">
        <v>6419</v>
      </c>
      <c r="Q1390" s="16" t="s">
        <v>25</v>
      </c>
      <c r="R1390" s="17" t="s">
        <v>6418</v>
      </c>
      <c r="S1390" s="17"/>
      <c r="T1390" s="17"/>
      <c r="U1390" s="17"/>
      <c r="V1390" s="17"/>
      <c r="W1390" s="17" t="s">
        <v>6382</v>
      </c>
      <c r="X1390" s="17" t="s">
        <v>6416</v>
      </c>
      <c r="Y1390" s="17" t="s">
        <v>4559</v>
      </c>
      <c r="Z1390" s="17" t="s">
        <v>6417</v>
      </c>
      <c r="AA1390" s="17"/>
      <c r="AB1390" s="17" t="str">
        <f t="shared" si="12"/>
        <v>GPR120660R4</v>
      </c>
    </row>
    <row r="1391" spans="1:28">
      <c r="A1391" s="17" t="s">
        <v>6434</v>
      </c>
      <c r="B1391" s="17" t="s">
        <v>6434</v>
      </c>
      <c r="C1391" s="16" t="s">
        <v>6435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21">
        <v>15</v>
      </c>
      <c r="N1391" s="17" t="s">
        <v>14077</v>
      </c>
      <c r="O1391" s="16" t="s">
        <v>477</v>
      </c>
      <c r="P1391" s="17" t="s">
        <v>6437</v>
      </c>
      <c r="Q1391" s="16" t="s">
        <v>25</v>
      </c>
      <c r="R1391" s="17" t="s">
        <v>6436</v>
      </c>
      <c r="S1391" s="17"/>
      <c r="T1391" s="17"/>
      <c r="U1391" s="17"/>
      <c r="V1391" s="17"/>
      <c r="W1391" s="17" t="s">
        <v>6382</v>
      </c>
      <c r="X1391" s="17" t="s">
        <v>6438</v>
      </c>
      <c r="Y1391" s="17" t="s">
        <v>4559</v>
      </c>
      <c r="Z1391" s="17" t="s">
        <v>6439</v>
      </c>
      <c r="AA1391" s="17"/>
      <c r="AB1391" s="17" t="str">
        <f t="shared" si="12"/>
        <v>GPR120615R</v>
      </c>
    </row>
    <row r="1392" spans="1:28">
      <c r="A1392" t="s">
        <v>6765</v>
      </c>
      <c r="B1392" t="s">
        <v>6765</v>
      </c>
      <c r="C1392" s="16" t="s">
        <v>6766</v>
      </c>
      <c r="D1392" s="16" t="s">
        <v>21</v>
      </c>
      <c r="E1392" s="14" t="s">
        <v>6767</v>
      </c>
      <c r="F1392" t="s">
        <v>6764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6413</v>
      </c>
      <c r="K1392" s="16"/>
      <c r="L1392" s="16"/>
      <c r="M1392" s="3">
        <v>0.25</v>
      </c>
      <c r="N1392" s="17" t="s">
        <v>14077</v>
      </c>
      <c r="O1392" s="16" t="s">
        <v>477</v>
      </c>
      <c r="P1392" s="17" t="s">
        <v>7814</v>
      </c>
      <c r="Q1392" s="16" t="s">
        <v>25</v>
      </c>
      <c r="R1392" s="16" t="s">
        <v>6804</v>
      </c>
      <c r="W1392" s="29" t="s">
        <v>6807</v>
      </c>
      <c r="X1392" s="5" t="s">
        <v>6806</v>
      </c>
      <c r="Y1392" s="17" t="s">
        <v>4559</v>
      </c>
      <c r="Z1392" s="5" t="s">
        <v>6805</v>
      </c>
      <c r="AB1392" s="17" t="str">
        <f t="shared" si="12"/>
        <v>GPR12060R25</v>
      </c>
    </row>
    <row r="1393" spans="1:28">
      <c r="A1393" t="s">
        <v>6770</v>
      </c>
      <c r="B1393" t="s">
        <v>6770</v>
      </c>
      <c r="C1393" s="16" t="s">
        <v>6771</v>
      </c>
      <c r="D1393" s="16" t="s">
        <v>21</v>
      </c>
      <c r="E1393" s="14" t="s">
        <v>22</v>
      </c>
      <c r="F1393" t="s">
        <v>6772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14077</v>
      </c>
      <c r="O1393" s="16" t="s">
        <v>477</v>
      </c>
      <c r="P1393" t="s">
        <v>6809</v>
      </c>
      <c r="Q1393" s="16" t="s">
        <v>25</v>
      </c>
      <c r="R1393" t="s">
        <v>6808</v>
      </c>
      <c r="W1393" s="17" t="s">
        <v>6382</v>
      </c>
      <c r="X1393" s="5" t="s">
        <v>6810</v>
      </c>
      <c r="Y1393" s="17" t="s">
        <v>4559</v>
      </c>
      <c r="Z1393" s="5" t="s">
        <v>6811</v>
      </c>
      <c r="AB1393" s="17" t="str">
        <f t="shared" si="12"/>
        <v>GPR0603191K</v>
      </c>
    </row>
    <row r="1394" spans="1:28">
      <c r="A1394" t="s">
        <v>6990</v>
      </c>
      <c r="B1394" t="s">
        <v>6991</v>
      </c>
      <c r="C1394" s="30" t="s">
        <v>6992</v>
      </c>
      <c r="D1394" s="16" t="s">
        <v>6977</v>
      </c>
      <c r="E1394" s="14" t="s">
        <v>6993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6994</v>
      </c>
      <c r="K1394" s="16"/>
      <c r="L1394" s="16"/>
      <c r="N1394" s="28" t="s">
        <v>6995</v>
      </c>
      <c r="O1394" s="16" t="s">
        <v>6977</v>
      </c>
      <c r="P1394" t="s">
        <v>6996</v>
      </c>
      <c r="Q1394" s="16" t="s">
        <v>25</v>
      </c>
      <c r="R1394" t="s">
        <v>6997</v>
      </c>
    </row>
    <row r="1395" spans="1:28" ht="16.5">
      <c r="A1395" t="s">
        <v>7016</v>
      </c>
      <c r="B1395" t="s">
        <v>7016</v>
      </c>
      <c r="C1395" s="16" t="s">
        <v>7017</v>
      </c>
      <c r="D1395" s="16" t="s">
        <v>21</v>
      </c>
      <c r="E1395" s="14" t="s">
        <v>22</v>
      </c>
      <c r="F1395" t="s">
        <v>7018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14077</v>
      </c>
      <c r="O1395" s="16" t="s">
        <v>477</v>
      </c>
      <c r="P1395" t="s">
        <v>7019</v>
      </c>
      <c r="Q1395" s="16" t="s">
        <v>25</v>
      </c>
      <c r="R1395" t="s">
        <v>7020</v>
      </c>
      <c r="S1395" s="17" t="s">
        <v>477</v>
      </c>
      <c r="T1395" t="s">
        <v>7022</v>
      </c>
      <c r="U1395" t="s">
        <v>25</v>
      </c>
      <c r="V1395" t="s">
        <v>7021</v>
      </c>
      <c r="W1395" s="9" t="s">
        <v>477</v>
      </c>
      <c r="X1395" s="9" t="s">
        <v>7019</v>
      </c>
      <c r="Y1395" s="17" t="s">
        <v>4559</v>
      </c>
      <c r="Z1395" s="9" t="s">
        <v>7024</v>
      </c>
    </row>
    <row r="1396" spans="1:28" ht="16.5">
      <c r="A1396" t="s">
        <v>7031</v>
      </c>
      <c r="B1396" t="s">
        <v>7031</v>
      </c>
      <c r="C1396" s="16" t="s">
        <v>7033</v>
      </c>
      <c r="D1396" s="16" t="s">
        <v>21</v>
      </c>
      <c r="E1396" s="14" t="s">
        <v>22</v>
      </c>
      <c r="F1396" t="s">
        <v>7027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14077</v>
      </c>
      <c r="O1396" s="16" t="s">
        <v>477</v>
      </c>
      <c r="P1396" t="s">
        <v>7036</v>
      </c>
      <c r="Q1396" s="16" t="s">
        <v>25</v>
      </c>
      <c r="R1396" t="s">
        <v>7035</v>
      </c>
      <c r="S1396" s="17" t="s">
        <v>477</v>
      </c>
      <c r="T1396" t="s">
        <v>7038</v>
      </c>
      <c r="U1396" t="s">
        <v>25</v>
      </c>
      <c r="V1396" t="s">
        <v>7037</v>
      </c>
      <c r="W1396" s="9" t="s">
        <v>477</v>
      </c>
      <c r="X1396" s="9" t="s">
        <v>7030</v>
      </c>
      <c r="Y1396" t="s">
        <v>4559</v>
      </c>
      <c r="Z1396" s="9" t="s">
        <v>7029</v>
      </c>
      <c r="AA1396" s="17" t="s">
        <v>4727</v>
      </c>
    </row>
    <row r="1397" spans="1:28" ht="16.5">
      <c r="A1397" t="s">
        <v>7032</v>
      </c>
      <c r="B1397" t="s">
        <v>7032</v>
      </c>
      <c r="C1397" s="16" t="s">
        <v>7034</v>
      </c>
      <c r="D1397" s="16" t="s">
        <v>21</v>
      </c>
      <c r="E1397" s="14" t="s">
        <v>22</v>
      </c>
      <c r="F1397" t="s">
        <v>7026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14077</v>
      </c>
      <c r="O1397" s="16" t="s">
        <v>477</v>
      </c>
      <c r="P1397" t="s">
        <v>7028</v>
      </c>
      <c r="Q1397" s="16" t="s">
        <v>25</v>
      </c>
      <c r="R1397" t="s">
        <v>7039</v>
      </c>
      <c r="W1397" s="9" t="s">
        <v>477</v>
      </c>
      <c r="X1397" t="s">
        <v>7028</v>
      </c>
      <c r="Y1397" t="s">
        <v>4559</v>
      </c>
      <c r="Z1397" t="s">
        <v>7025</v>
      </c>
      <c r="AA1397" s="17" t="s">
        <v>4727</v>
      </c>
    </row>
    <row r="1398" spans="1:28" ht="15.75">
      <c r="A1398" t="s">
        <v>7473</v>
      </c>
      <c r="B1398" t="s">
        <v>7473</v>
      </c>
      <c r="C1398" s="16" t="s">
        <v>7474</v>
      </c>
      <c r="D1398" s="16" t="s">
        <v>21</v>
      </c>
      <c r="E1398" s="14" t="s">
        <v>7475</v>
      </c>
      <c r="F1398" t="s">
        <v>7476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5.0000000000000001E-3</v>
      </c>
      <c r="N1398" t="s">
        <v>7481</v>
      </c>
      <c r="O1398" t="s">
        <v>7479</v>
      </c>
      <c r="P1398" t="s">
        <v>7480</v>
      </c>
      <c r="Q1398" s="16" t="s">
        <v>25</v>
      </c>
      <c r="R1398" t="s">
        <v>7478</v>
      </c>
      <c r="W1398" s="8" t="s">
        <v>13536</v>
      </c>
      <c r="X1398" s="8" t="s">
        <v>13535</v>
      </c>
      <c r="Y1398" t="s">
        <v>4559</v>
      </c>
      <c r="Z1398" t="s">
        <v>13534</v>
      </c>
    </row>
    <row r="1399" spans="1:28" ht="15.75">
      <c r="A1399" t="s">
        <v>12542</v>
      </c>
      <c r="B1399" t="s">
        <v>12542</v>
      </c>
      <c r="C1399" s="16" t="s">
        <v>12543</v>
      </c>
      <c r="D1399" s="16" t="s">
        <v>21</v>
      </c>
      <c r="E1399" s="14" t="s">
        <v>7475</v>
      </c>
      <c r="F1399" t="s">
        <v>12544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0.01</v>
      </c>
      <c r="N1399" t="s">
        <v>14571</v>
      </c>
      <c r="O1399" s="16" t="s">
        <v>477</v>
      </c>
      <c r="P1399" t="s">
        <v>12545</v>
      </c>
      <c r="Q1399" s="16" t="s">
        <v>25</v>
      </c>
      <c r="R1399" t="s">
        <v>12546</v>
      </c>
      <c r="W1399" s="8" t="s">
        <v>13536</v>
      </c>
      <c r="X1399" s="8" t="s">
        <v>13538</v>
      </c>
      <c r="Y1399" t="s">
        <v>4559</v>
      </c>
      <c r="Z1399" s="8" t="s">
        <v>13537</v>
      </c>
    </row>
    <row r="1400" spans="1:28">
      <c r="A1400" t="s">
        <v>7485</v>
      </c>
      <c r="B1400" t="s">
        <v>7485</v>
      </c>
      <c r="C1400" s="16" t="s">
        <v>7486</v>
      </c>
      <c r="D1400" s="16" t="s">
        <v>21</v>
      </c>
      <c r="E1400" s="14" t="s">
        <v>7475</v>
      </c>
      <c r="F1400" t="s">
        <v>7484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7477</v>
      </c>
      <c r="K1400" s="16"/>
      <c r="L1400" s="16"/>
      <c r="M1400" s="3">
        <v>2.5000000000000001E-2</v>
      </c>
      <c r="N1400" t="s">
        <v>7481</v>
      </c>
      <c r="O1400" t="s">
        <v>7479</v>
      </c>
      <c r="P1400" t="s">
        <v>7482</v>
      </c>
      <c r="Q1400" s="16" t="s">
        <v>25</v>
      </c>
      <c r="R1400" t="s">
        <v>7483</v>
      </c>
    </row>
    <row r="1401" spans="1:28">
      <c r="A1401" s="17" t="s">
        <v>7487</v>
      </c>
      <c r="B1401" s="17" t="s">
        <v>7487</v>
      </c>
      <c r="C1401" s="17" t="s">
        <v>7488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7489</v>
      </c>
      <c r="O1401" t="s">
        <v>6409</v>
      </c>
      <c r="P1401" t="s">
        <v>7491</v>
      </c>
      <c r="Q1401" s="16" t="s">
        <v>25</v>
      </c>
      <c r="R1401" t="s">
        <v>7490</v>
      </c>
    </row>
    <row r="1402" spans="1:28">
      <c r="A1402" t="s">
        <v>7499</v>
      </c>
      <c r="B1402" t="s">
        <v>7499</v>
      </c>
      <c r="C1402" s="16" t="s">
        <v>7500</v>
      </c>
      <c r="D1402" s="16" t="s">
        <v>21</v>
      </c>
      <c r="E1402" s="14" t="s">
        <v>7501</v>
      </c>
      <c r="F1402" t="s">
        <v>7502</v>
      </c>
      <c r="G1402" s="17" t="str">
        <f>Config!$B$3</f>
        <v>SCH/R_IEC.SchLib</v>
      </c>
      <c r="H1402" s="16" t="s">
        <v>4296</v>
      </c>
      <c r="I1402" s="18" t="s">
        <v>7503</v>
      </c>
      <c r="J1402" s="16" t="s">
        <v>7504</v>
      </c>
      <c r="K1402" s="16"/>
      <c r="L1402" s="16"/>
      <c r="M1402" s="3">
        <v>25</v>
      </c>
      <c r="N1402" s="26" t="s">
        <v>7505</v>
      </c>
      <c r="O1402" t="s">
        <v>7506</v>
      </c>
      <c r="P1402" t="s">
        <v>7508</v>
      </c>
      <c r="Q1402" s="16" t="s">
        <v>25</v>
      </c>
      <c r="R1402" t="s">
        <v>7507</v>
      </c>
    </row>
    <row r="1403" spans="1:28">
      <c r="A1403" t="s">
        <v>7509</v>
      </c>
      <c r="B1403" t="s">
        <v>7509</v>
      </c>
      <c r="C1403" s="16" t="s">
        <v>7510</v>
      </c>
      <c r="D1403" s="16" t="s">
        <v>21</v>
      </c>
      <c r="E1403" s="14" t="s">
        <v>7514</v>
      </c>
      <c r="F1403" t="s">
        <v>7511</v>
      </c>
      <c r="G1403" s="17" t="str">
        <f>Config!$B$3</f>
        <v>SCH/R_IEC.SchLib</v>
      </c>
      <c r="H1403" s="16" t="s">
        <v>7512</v>
      </c>
      <c r="I1403" s="18" t="s">
        <v>7503</v>
      </c>
      <c r="J1403" s="16" t="s">
        <v>7513</v>
      </c>
      <c r="K1403" s="16"/>
      <c r="L1403" s="16"/>
      <c r="M1403" s="3">
        <v>391</v>
      </c>
      <c r="N1403" s="26" t="s">
        <v>7515</v>
      </c>
      <c r="O1403" t="s">
        <v>6409</v>
      </c>
      <c r="P1403" t="s">
        <v>7509</v>
      </c>
      <c r="Q1403" s="16" t="s">
        <v>25</v>
      </c>
      <c r="R1403" t="s">
        <v>7516</v>
      </c>
    </row>
    <row r="1404" spans="1:28">
      <c r="A1404" t="s">
        <v>7533</v>
      </c>
      <c r="B1404" t="s">
        <v>7533</v>
      </c>
      <c r="C1404" s="16" t="s">
        <v>7554</v>
      </c>
      <c r="D1404" s="16" t="s">
        <v>6977</v>
      </c>
      <c r="E1404" s="14" t="s">
        <v>7575</v>
      </c>
      <c r="F1404" t="s">
        <v>7576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7575</v>
      </c>
      <c r="K1404" s="16"/>
      <c r="L1404" s="16"/>
      <c r="M1404">
        <v>0.08</v>
      </c>
      <c r="N1404" t="s">
        <v>7622</v>
      </c>
      <c r="O1404" s="16" t="s">
        <v>6977</v>
      </c>
      <c r="P1404" t="s">
        <v>7597</v>
      </c>
      <c r="Q1404" s="16" t="s">
        <v>25</v>
      </c>
      <c r="R1404" t="s">
        <v>7623</v>
      </c>
    </row>
    <row r="1405" spans="1:28">
      <c r="A1405" t="s">
        <v>7534</v>
      </c>
      <c r="B1405" t="s">
        <v>7534</v>
      </c>
      <c r="C1405" t="s">
        <v>7555</v>
      </c>
      <c r="D1405" s="16" t="s">
        <v>6977</v>
      </c>
      <c r="E1405" s="14" t="s">
        <v>7575</v>
      </c>
      <c r="F1405" t="s">
        <v>7577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</v>
      </c>
      <c r="N1405" t="s">
        <v>7622</v>
      </c>
      <c r="O1405" s="16" t="s">
        <v>6977</v>
      </c>
      <c r="P1405" t="s">
        <v>7598</v>
      </c>
      <c r="Q1405" s="16" t="s">
        <v>25</v>
      </c>
      <c r="R1405" t="s">
        <v>7624</v>
      </c>
    </row>
    <row r="1406" spans="1:28">
      <c r="A1406" t="s">
        <v>7535</v>
      </c>
      <c r="B1406" t="s">
        <v>7535</v>
      </c>
      <c r="C1406" t="s">
        <v>7556</v>
      </c>
      <c r="D1406" s="16" t="s">
        <v>6977</v>
      </c>
      <c r="E1406" s="14" t="s">
        <v>7575</v>
      </c>
      <c r="F1406" t="s">
        <v>7578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0.125</v>
      </c>
      <c r="N1406" t="s">
        <v>7622</v>
      </c>
      <c r="O1406" s="16" t="s">
        <v>6977</v>
      </c>
      <c r="P1406" t="s">
        <v>7599</v>
      </c>
      <c r="Q1406" s="16" t="s">
        <v>25</v>
      </c>
      <c r="R1406" t="s">
        <v>7625</v>
      </c>
    </row>
    <row r="1407" spans="1:28">
      <c r="A1407" t="s">
        <v>7536</v>
      </c>
      <c r="B1407" t="s">
        <v>7536</v>
      </c>
      <c r="C1407" t="s">
        <v>7557</v>
      </c>
      <c r="D1407" s="16" t="s">
        <v>6977</v>
      </c>
      <c r="E1407" s="14" t="s">
        <v>7575</v>
      </c>
      <c r="F1407" t="s">
        <v>7579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0.16</v>
      </c>
      <c r="N1407" t="s">
        <v>7622</v>
      </c>
      <c r="O1407" s="16" t="s">
        <v>6977</v>
      </c>
      <c r="P1407" t="s">
        <v>7600</v>
      </c>
      <c r="Q1407" s="16" t="s">
        <v>25</v>
      </c>
      <c r="R1407" t="s">
        <v>7626</v>
      </c>
    </row>
    <row r="1408" spans="1:28">
      <c r="A1408" t="s">
        <v>7537</v>
      </c>
      <c r="B1408" t="s">
        <v>7537</v>
      </c>
      <c r="C1408" t="s">
        <v>7558</v>
      </c>
      <c r="D1408" s="16" t="s">
        <v>6977</v>
      </c>
      <c r="E1408" s="14" t="s">
        <v>7575</v>
      </c>
      <c r="F1408" t="s">
        <v>7580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</v>
      </c>
      <c r="N1408" t="s">
        <v>7622</v>
      </c>
      <c r="O1408" s="16" t="s">
        <v>6977</v>
      </c>
      <c r="P1408" t="s">
        <v>7601</v>
      </c>
      <c r="Q1408" s="16" t="s">
        <v>25</v>
      </c>
      <c r="R1408" t="s">
        <v>7627</v>
      </c>
    </row>
    <row r="1409" spans="1:18">
      <c r="A1409" t="s">
        <v>7538</v>
      </c>
      <c r="B1409" t="s">
        <v>7538</v>
      </c>
      <c r="C1409" t="s">
        <v>7559</v>
      </c>
      <c r="D1409" s="16" t="s">
        <v>6977</v>
      </c>
      <c r="E1409" s="14" t="s">
        <v>7575</v>
      </c>
      <c r="F1409" t="s">
        <v>7581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0.25</v>
      </c>
      <c r="N1409" t="s">
        <v>7622</v>
      </c>
      <c r="O1409" s="16" t="s">
        <v>6977</v>
      </c>
      <c r="P1409" t="s">
        <v>7602</v>
      </c>
      <c r="Q1409" s="16" t="s">
        <v>25</v>
      </c>
      <c r="R1409" t="s">
        <v>7628</v>
      </c>
    </row>
    <row r="1410" spans="1:18">
      <c r="A1410" t="s">
        <v>7539</v>
      </c>
      <c r="B1410" t="s">
        <v>7539</v>
      </c>
      <c r="C1410" t="s">
        <v>7560</v>
      </c>
      <c r="D1410" s="16" t="s">
        <v>6977</v>
      </c>
      <c r="E1410" s="14" t="s">
        <v>7575</v>
      </c>
      <c r="F1410" t="s">
        <v>7582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0.315</v>
      </c>
      <c r="N1410" t="s">
        <v>7622</v>
      </c>
      <c r="O1410" s="16" t="s">
        <v>6977</v>
      </c>
      <c r="P1410" t="s">
        <v>7603</v>
      </c>
      <c r="Q1410" s="16" t="s">
        <v>25</v>
      </c>
      <c r="R1410" t="s">
        <v>7629</v>
      </c>
    </row>
    <row r="1411" spans="1:18">
      <c r="A1411" t="s">
        <v>7540</v>
      </c>
      <c r="B1411" t="s">
        <v>7540</v>
      </c>
      <c r="C1411" t="s">
        <v>7561</v>
      </c>
      <c r="D1411" s="16" t="s">
        <v>6977</v>
      </c>
      <c r="E1411" s="14" t="s">
        <v>7575</v>
      </c>
      <c r="F1411" t="s">
        <v>7583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0.4</v>
      </c>
      <c r="N1411" t="s">
        <v>7622</v>
      </c>
      <c r="O1411" s="16" t="s">
        <v>6977</v>
      </c>
      <c r="P1411" t="s">
        <v>7604</v>
      </c>
      <c r="Q1411" s="16" t="s">
        <v>25</v>
      </c>
      <c r="R1411" t="s">
        <v>7630</v>
      </c>
    </row>
    <row r="1412" spans="1:18">
      <c r="A1412" t="s">
        <v>7541</v>
      </c>
      <c r="B1412" t="s">
        <v>7541</v>
      </c>
      <c r="C1412" t="s">
        <v>7562</v>
      </c>
      <c r="D1412" s="16" t="s">
        <v>6977</v>
      </c>
      <c r="E1412" s="14" t="s">
        <v>7575</v>
      </c>
      <c r="F1412" t="s">
        <v>7584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0.5</v>
      </c>
      <c r="N1412" t="s">
        <v>7622</v>
      </c>
      <c r="O1412" s="16" t="s">
        <v>6977</v>
      </c>
      <c r="P1412" t="s">
        <v>7605</v>
      </c>
      <c r="Q1412" s="16" t="s">
        <v>25</v>
      </c>
      <c r="R1412" t="s">
        <v>7631</v>
      </c>
    </row>
    <row r="1413" spans="1:18">
      <c r="A1413" t="s">
        <v>7542</v>
      </c>
      <c r="B1413" t="s">
        <v>7542</v>
      </c>
      <c r="C1413" t="s">
        <v>7563</v>
      </c>
      <c r="D1413" s="16" t="s">
        <v>6977</v>
      </c>
      <c r="E1413" s="14" t="s">
        <v>7575</v>
      </c>
      <c r="F1413" t="s">
        <v>7585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0.63</v>
      </c>
      <c r="N1413" t="s">
        <v>7622</v>
      </c>
      <c r="O1413" s="16" t="s">
        <v>6977</v>
      </c>
      <c r="P1413" t="s">
        <v>7606</v>
      </c>
      <c r="Q1413" s="16" t="s">
        <v>25</v>
      </c>
      <c r="R1413" t="s">
        <v>7632</v>
      </c>
    </row>
    <row r="1414" spans="1:18">
      <c r="A1414" t="s">
        <v>7619</v>
      </c>
      <c r="B1414" t="s">
        <v>7619</v>
      </c>
      <c r="C1414" t="s">
        <v>7620</v>
      </c>
      <c r="D1414" s="16" t="s">
        <v>6977</v>
      </c>
      <c r="E1414" s="14" t="s">
        <v>7575</v>
      </c>
      <c r="F1414" t="s">
        <v>7621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0.8</v>
      </c>
      <c r="N1414" t="s">
        <v>7622</v>
      </c>
      <c r="O1414" s="16" t="s">
        <v>6977</v>
      </c>
      <c r="P1414" t="s">
        <v>7607</v>
      </c>
      <c r="Q1414" s="16" t="s">
        <v>25</v>
      </c>
      <c r="R1414" t="s">
        <v>7633</v>
      </c>
    </row>
    <row r="1415" spans="1:18">
      <c r="A1415" t="s">
        <v>7543</v>
      </c>
      <c r="B1415" t="s">
        <v>7543</v>
      </c>
      <c r="C1415" t="s">
        <v>7564</v>
      </c>
      <c r="D1415" s="16" t="s">
        <v>6977</v>
      </c>
      <c r="E1415" s="14" t="s">
        <v>7575</v>
      </c>
      <c r="F1415" t="s">
        <v>7586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</v>
      </c>
      <c r="N1415" t="s">
        <v>7622</v>
      </c>
      <c r="O1415" s="16" t="s">
        <v>6977</v>
      </c>
      <c r="P1415" t="s">
        <v>7608</v>
      </c>
      <c r="Q1415" s="16" t="s">
        <v>25</v>
      </c>
      <c r="R1415" t="s">
        <v>7634</v>
      </c>
    </row>
    <row r="1416" spans="1:18">
      <c r="A1416" t="s">
        <v>7544</v>
      </c>
      <c r="B1416" t="s">
        <v>7544</v>
      </c>
      <c r="C1416" t="s">
        <v>7565</v>
      </c>
      <c r="D1416" s="16" t="s">
        <v>6977</v>
      </c>
      <c r="E1416" s="14" t="s">
        <v>7575</v>
      </c>
      <c r="F1416" t="s">
        <v>7587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1.25</v>
      </c>
      <c r="N1416" t="s">
        <v>7622</v>
      </c>
      <c r="O1416" s="16" t="s">
        <v>6977</v>
      </c>
      <c r="P1416" t="s">
        <v>7609</v>
      </c>
      <c r="Q1416" s="16" t="s">
        <v>25</v>
      </c>
      <c r="R1416" t="s">
        <v>7635</v>
      </c>
    </row>
    <row r="1417" spans="1:18">
      <c r="A1417" t="s">
        <v>7545</v>
      </c>
      <c r="B1417" t="s">
        <v>7545</v>
      </c>
      <c r="C1417" t="s">
        <v>7566</v>
      </c>
      <c r="D1417" s="16" t="s">
        <v>6977</v>
      </c>
      <c r="E1417" s="14" t="s">
        <v>7575</v>
      </c>
      <c r="F1417" t="s">
        <v>7588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1.6</v>
      </c>
      <c r="N1417" t="s">
        <v>7622</v>
      </c>
      <c r="O1417" s="16" t="s">
        <v>6977</v>
      </c>
      <c r="P1417" t="s">
        <v>7610</v>
      </c>
      <c r="Q1417" s="16" t="s">
        <v>25</v>
      </c>
      <c r="R1417" t="s">
        <v>7636</v>
      </c>
    </row>
    <row r="1418" spans="1:18">
      <c r="A1418" t="s">
        <v>7546</v>
      </c>
      <c r="B1418" t="s">
        <v>7546</v>
      </c>
      <c r="C1418" t="s">
        <v>7567</v>
      </c>
      <c r="D1418" s="16" t="s">
        <v>6977</v>
      </c>
      <c r="E1418" s="14" t="s">
        <v>7575</v>
      </c>
      <c r="F1418" t="s">
        <v>7589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</v>
      </c>
      <c r="N1418" t="s">
        <v>7622</v>
      </c>
      <c r="O1418" s="16" t="s">
        <v>6977</v>
      </c>
      <c r="P1418" t="s">
        <v>7611</v>
      </c>
      <c r="Q1418" s="16" t="s">
        <v>25</v>
      </c>
      <c r="R1418" t="s">
        <v>7637</v>
      </c>
    </row>
    <row r="1419" spans="1:18">
      <c r="A1419" t="s">
        <v>7547</v>
      </c>
      <c r="B1419" t="s">
        <v>7547</v>
      </c>
      <c r="C1419" t="s">
        <v>7568</v>
      </c>
      <c r="D1419" s="16" t="s">
        <v>6977</v>
      </c>
      <c r="E1419" s="14" t="s">
        <v>7575</v>
      </c>
      <c r="F1419" t="s">
        <v>7590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2.5</v>
      </c>
      <c r="N1419" t="s">
        <v>7622</v>
      </c>
      <c r="O1419" s="16" t="s">
        <v>6977</v>
      </c>
      <c r="P1419" t="s">
        <v>7612</v>
      </c>
      <c r="Q1419" s="16" t="s">
        <v>25</v>
      </c>
      <c r="R1419" t="s">
        <v>7638</v>
      </c>
    </row>
    <row r="1420" spans="1:18">
      <c r="A1420" t="s">
        <v>7548</v>
      </c>
      <c r="B1420" t="s">
        <v>7548</v>
      </c>
      <c r="C1420" t="s">
        <v>7569</v>
      </c>
      <c r="D1420" s="16" t="s">
        <v>6977</v>
      </c>
      <c r="E1420" s="14" t="s">
        <v>7575</v>
      </c>
      <c r="F1420" t="s">
        <v>7591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3.15</v>
      </c>
      <c r="N1420" t="s">
        <v>7622</v>
      </c>
      <c r="O1420" s="16" t="s">
        <v>6977</v>
      </c>
      <c r="P1420" t="s">
        <v>7613</v>
      </c>
      <c r="Q1420" s="16" t="s">
        <v>25</v>
      </c>
      <c r="R1420" t="s">
        <v>7639</v>
      </c>
    </row>
    <row r="1421" spans="1:18">
      <c r="A1421" t="s">
        <v>7549</v>
      </c>
      <c r="B1421" t="s">
        <v>7549</v>
      </c>
      <c r="C1421" t="s">
        <v>7570</v>
      </c>
      <c r="D1421" s="16" t="s">
        <v>6977</v>
      </c>
      <c r="E1421" s="14" t="s">
        <v>7575</v>
      </c>
      <c r="F1421" t="s">
        <v>7592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4</v>
      </c>
      <c r="N1421" t="s">
        <v>7622</v>
      </c>
      <c r="O1421" s="16" t="s">
        <v>6977</v>
      </c>
      <c r="P1421" t="s">
        <v>7614</v>
      </c>
      <c r="Q1421" s="16" t="s">
        <v>25</v>
      </c>
      <c r="R1421" t="s">
        <v>7640</v>
      </c>
    </row>
    <row r="1422" spans="1:18">
      <c r="A1422" t="s">
        <v>7550</v>
      </c>
      <c r="B1422" t="s">
        <v>7550</v>
      </c>
      <c r="C1422" t="s">
        <v>7571</v>
      </c>
      <c r="D1422" s="16" t="s">
        <v>6977</v>
      </c>
      <c r="E1422" s="14" t="s">
        <v>7575</v>
      </c>
      <c r="F1422" t="s">
        <v>7593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5</v>
      </c>
      <c r="N1422" t="s">
        <v>7622</v>
      </c>
      <c r="O1422" s="16" t="s">
        <v>6977</v>
      </c>
      <c r="P1422" t="s">
        <v>7615</v>
      </c>
      <c r="Q1422" s="16" t="s">
        <v>25</v>
      </c>
      <c r="R1422" t="s">
        <v>7641</v>
      </c>
    </row>
    <row r="1423" spans="1:18">
      <c r="A1423" t="s">
        <v>7551</v>
      </c>
      <c r="B1423" t="s">
        <v>7551</v>
      </c>
      <c r="C1423" t="s">
        <v>7572</v>
      </c>
      <c r="D1423" s="16" t="s">
        <v>6977</v>
      </c>
      <c r="E1423" s="14" t="s">
        <v>7575</v>
      </c>
      <c r="F1423" t="s">
        <v>7594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6.3</v>
      </c>
      <c r="N1423" t="s">
        <v>7622</v>
      </c>
      <c r="O1423" s="16" t="s">
        <v>6977</v>
      </c>
      <c r="P1423" t="s">
        <v>7616</v>
      </c>
      <c r="Q1423" s="16" t="s">
        <v>25</v>
      </c>
      <c r="R1423" t="s">
        <v>7642</v>
      </c>
    </row>
    <row r="1424" spans="1:18">
      <c r="A1424" t="s">
        <v>7552</v>
      </c>
      <c r="B1424" t="s">
        <v>7552</v>
      </c>
      <c r="C1424" t="s">
        <v>7573</v>
      </c>
      <c r="D1424" s="16" t="s">
        <v>6977</v>
      </c>
      <c r="E1424" s="14" t="s">
        <v>7575</v>
      </c>
      <c r="F1424" t="s">
        <v>7595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8</v>
      </c>
      <c r="N1424" t="s">
        <v>7622</v>
      </c>
      <c r="O1424" s="16" t="s">
        <v>6977</v>
      </c>
      <c r="P1424" t="s">
        <v>7617</v>
      </c>
      <c r="Q1424" s="16" t="s">
        <v>25</v>
      </c>
      <c r="R1424" t="s">
        <v>7643</v>
      </c>
    </row>
    <row r="1425" spans="1:22">
      <c r="A1425" t="s">
        <v>7553</v>
      </c>
      <c r="B1425" t="s">
        <v>7553</v>
      </c>
      <c r="C1425" t="s">
        <v>7574</v>
      </c>
      <c r="D1425" s="16" t="s">
        <v>6977</v>
      </c>
      <c r="E1425" s="14" t="s">
        <v>7575</v>
      </c>
      <c r="F1425" t="s">
        <v>7596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7575</v>
      </c>
      <c r="K1425" s="16"/>
      <c r="L1425" s="16"/>
      <c r="M1425">
        <v>10</v>
      </c>
      <c r="N1425" t="s">
        <v>7622</v>
      </c>
      <c r="O1425" s="16" t="s">
        <v>6977</v>
      </c>
      <c r="P1425" t="s">
        <v>7618</v>
      </c>
      <c r="Q1425" s="16" t="s">
        <v>25</v>
      </c>
      <c r="R1425" t="s">
        <v>7644</v>
      </c>
    </row>
    <row r="1426" spans="1:22">
      <c r="A1426" t="s">
        <v>10782</v>
      </c>
      <c r="B1426" t="s">
        <v>10782</v>
      </c>
      <c r="C1426" t="s">
        <v>10783</v>
      </c>
      <c r="D1426" s="16" t="s">
        <v>10784</v>
      </c>
      <c r="E1426" s="14" t="s">
        <v>10785</v>
      </c>
      <c r="F1426" t="s">
        <v>7596</v>
      </c>
      <c r="G1426" s="17" t="str">
        <f>Config!$B$3</f>
        <v>SCH/R_IEC.SchLib</v>
      </c>
      <c r="H1426" s="17" t="s">
        <v>10797</v>
      </c>
      <c r="I1426" s="38"/>
      <c r="J1426" s="40"/>
      <c r="K1426" s="40"/>
      <c r="L1426" s="40"/>
      <c r="N1426" t="s">
        <v>12114</v>
      </c>
      <c r="O1426" s="16" t="s">
        <v>12115</v>
      </c>
      <c r="P1426" t="s">
        <v>12116</v>
      </c>
      <c r="Q1426" s="16" t="s">
        <v>25</v>
      </c>
      <c r="R1426" t="s">
        <v>12117</v>
      </c>
    </row>
    <row r="1427" spans="1:22">
      <c r="A1427" t="s">
        <v>10786</v>
      </c>
      <c r="B1427" t="s">
        <v>10786</v>
      </c>
      <c r="C1427" t="s">
        <v>12540</v>
      </c>
      <c r="D1427" s="16" t="s">
        <v>12541</v>
      </c>
      <c r="E1427" s="14" t="s">
        <v>10785</v>
      </c>
      <c r="G1427" s="17" t="str">
        <f>Config!$B$3</f>
        <v>SCH/R_IEC.SchLib</v>
      </c>
      <c r="H1427" t="s">
        <v>10788</v>
      </c>
      <c r="I1427" s="38" t="str">
        <f>_xlfn.CONCAT(PrivateLibraryPath,"PCB/Littelfuse.PcbLib")</f>
        <v>../altium_lib_private/PCB/Littelfuse.PcbLib</v>
      </c>
      <c r="J1427" s="16" t="s">
        <v>12118</v>
      </c>
      <c r="K1427" s="16"/>
      <c r="L1427" s="16"/>
      <c r="N1427" t="s">
        <v>12539</v>
      </c>
      <c r="O1427" s="16" t="s">
        <v>2669</v>
      </c>
      <c r="P1427" t="s">
        <v>12118</v>
      </c>
      <c r="Q1427" s="16" t="s">
        <v>25</v>
      </c>
      <c r="R1427" t="s">
        <v>12119</v>
      </c>
    </row>
    <row r="1428" spans="1:22">
      <c r="A1428" t="s">
        <v>10787</v>
      </c>
      <c r="B1428" t="s">
        <v>10787</v>
      </c>
      <c r="D1428" s="16"/>
      <c r="E1428" s="14" t="s">
        <v>10785</v>
      </c>
      <c r="G1428" s="17" t="str">
        <f>Config!$B$3</f>
        <v>SCH/R_IEC.SchLib</v>
      </c>
      <c r="H1428" t="s">
        <v>10789</v>
      </c>
      <c r="I1428" s="18"/>
      <c r="J1428" s="16"/>
      <c r="K1428" s="16"/>
      <c r="L1428" s="16"/>
      <c r="O1428" s="16"/>
      <c r="Q1428" s="16"/>
    </row>
    <row r="1429" spans="1:22">
      <c r="A1429" t="s">
        <v>13980</v>
      </c>
      <c r="B1429" t="s">
        <v>13980</v>
      </c>
      <c r="C1429" t="s">
        <v>14013</v>
      </c>
      <c r="D1429" s="16" t="s">
        <v>13994</v>
      </c>
      <c r="E1429" s="14" t="s">
        <v>13988</v>
      </c>
      <c r="F1429" t="s">
        <v>7589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13995</v>
      </c>
      <c r="O1429" s="16" t="s">
        <v>13994</v>
      </c>
      <c r="P1429">
        <v>3061295</v>
      </c>
      <c r="Q1429" s="16" t="s">
        <v>25</v>
      </c>
      <c r="R1429" t="s">
        <v>13996</v>
      </c>
    </row>
    <row r="1430" spans="1:22">
      <c r="A1430" t="s">
        <v>13981</v>
      </c>
      <c r="B1430" t="s">
        <v>13981</v>
      </c>
      <c r="C1430" t="s">
        <v>14014</v>
      </c>
      <c r="D1430" s="16" t="s">
        <v>13994</v>
      </c>
      <c r="E1430" s="14" t="s">
        <v>13988</v>
      </c>
      <c r="F1430" t="s">
        <v>7592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13997</v>
      </c>
      <c r="O1430" s="16" t="s">
        <v>13994</v>
      </c>
      <c r="P1430">
        <v>3061305</v>
      </c>
      <c r="Q1430" s="16" t="s">
        <v>25</v>
      </c>
      <c r="R1430" t="s">
        <v>13998</v>
      </c>
    </row>
    <row r="1431" spans="1:22">
      <c r="A1431" t="s">
        <v>13982</v>
      </c>
      <c r="B1431" t="s">
        <v>13982</v>
      </c>
      <c r="C1431" t="s">
        <v>14015</v>
      </c>
      <c r="D1431" s="16" t="s">
        <v>13994</v>
      </c>
      <c r="E1431" s="14" t="s">
        <v>13988</v>
      </c>
      <c r="F1431" t="s">
        <v>13989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13999</v>
      </c>
      <c r="O1431" s="16" t="s">
        <v>13994</v>
      </c>
      <c r="P1431">
        <v>3061318</v>
      </c>
      <c r="Q1431" s="16" t="s">
        <v>25</v>
      </c>
      <c r="R1431" t="s">
        <v>14000</v>
      </c>
    </row>
    <row r="1432" spans="1:22">
      <c r="A1432" t="s">
        <v>13983</v>
      </c>
      <c r="B1432" t="s">
        <v>13983</v>
      </c>
      <c r="C1432" t="s">
        <v>14016</v>
      </c>
      <c r="D1432" s="16" t="s">
        <v>13994</v>
      </c>
      <c r="E1432" s="14" t="s">
        <v>13988</v>
      </c>
      <c r="F1432" t="s">
        <v>7595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14001</v>
      </c>
      <c r="O1432" s="16" t="s">
        <v>13994</v>
      </c>
      <c r="P1432">
        <v>3061321</v>
      </c>
      <c r="Q1432" s="16" t="s">
        <v>25</v>
      </c>
      <c r="R1432" t="s">
        <v>14002</v>
      </c>
    </row>
    <row r="1433" spans="1:22">
      <c r="A1433" t="s">
        <v>13977</v>
      </c>
      <c r="B1433" t="s">
        <v>13977</v>
      </c>
      <c r="C1433" t="s">
        <v>14017</v>
      </c>
      <c r="D1433" s="16" t="s">
        <v>13994</v>
      </c>
      <c r="E1433" s="14" t="s">
        <v>13988</v>
      </c>
      <c r="F1433" t="s">
        <v>7596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14003</v>
      </c>
      <c r="O1433" s="16" t="s">
        <v>13994</v>
      </c>
      <c r="P1433">
        <v>3061334</v>
      </c>
      <c r="Q1433" s="16" t="s">
        <v>25</v>
      </c>
      <c r="R1433" t="s">
        <v>14004</v>
      </c>
    </row>
    <row r="1434" spans="1:22">
      <c r="A1434" t="s">
        <v>13979</v>
      </c>
      <c r="B1434" t="s">
        <v>13979</v>
      </c>
      <c r="C1434" t="s">
        <v>14018</v>
      </c>
      <c r="D1434" s="16" t="s">
        <v>13994</v>
      </c>
      <c r="E1434" s="14" t="s">
        <v>13988</v>
      </c>
      <c r="F1434" t="s">
        <v>13990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14005</v>
      </c>
      <c r="O1434" s="16" t="s">
        <v>13994</v>
      </c>
      <c r="P1434">
        <v>3061347</v>
      </c>
      <c r="Q1434" s="16" t="s">
        <v>25</v>
      </c>
      <c r="R1434" t="s">
        <v>14006</v>
      </c>
    </row>
    <row r="1435" spans="1:22">
      <c r="A1435" t="s">
        <v>13984</v>
      </c>
      <c r="B1435" t="s">
        <v>13984</v>
      </c>
      <c r="C1435" t="s">
        <v>14019</v>
      </c>
      <c r="D1435" s="16" t="s">
        <v>13994</v>
      </c>
      <c r="E1435" s="14" t="s">
        <v>13988</v>
      </c>
      <c r="F1435" t="s">
        <v>13991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14007</v>
      </c>
      <c r="O1435" s="16" t="s">
        <v>13994</v>
      </c>
      <c r="P1435">
        <v>3062784</v>
      </c>
      <c r="Q1435" s="16" t="s">
        <v>25</v>
      </c>
      <c r="R1435" t="s">
        <v>14008</v>
      </c>
    </row>
    <row r="1436" spans="1:22">
      <c r="A1436" t="s">
        <v>13985</v>
      </c>
      <c r="B1436" t="s">
        <v>13985</v>
      </c>
      <c r="C1436" t="s">
        <v>14020</v>
      </c>
      <c r="D1436" s="16" t="s">
        <v>13994</v>
      </c>
      <c r="E1436" s="14" t="s">
        <v>13988</v>
      </c>
      <c r="F1436" t="s">
        <v>13992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14009</v>
      </c>
      <c r="O1436" s="16" t="s">
        <v>13994</v>
      </c>
      <c r="P1436">
        <v>3061350</v>
      </c>
      <c r="Q1436" s="16" t="s">
        <v>25</v>
      </c>
      <c r="R1436" t="s">
        <v>14010</v>
      </c>
    </row>
    <row r="1437" spans="1:22">
      <c r="A1437" t="s">
        <v>13986</v>
      </c>
      <c r="B1437" t="s">
        <v>13986</v>
      </c>
      <c r="C1437" t="s">
        <v>14021</v>
      </c>
      <c r="D1437" s="16" t="s">
        <v>13994</v>
      </c>
      <c r="E1437" s="14" t="s">
        <v>13988</v>
      </c>
      <c r="F1437" t="s">
        <v>13993</v>
      </c>
      <c r="G1437" s="17" t="str">
        <f>Config!$B$3</f>
        <v>SCH/R_IEC.SchLib</v>
      </c>
      <c r="H1437" s="17" t="s">
        <v>10797</v>
      </c>
      <c r="I1437" s="18" t="s">
        <v>14759</v>
      </c>
      <c r="J1437" s="16" t="s">
        <v>14066</v>
      </c>
      <c r="K1437" s="18" t="s">
        <v>14759</v>
      </c>
      <c r="L1437" s="16" t="s">
        <v>14762</v>
      </c>
      <c r="N1437" t="s">
        <v>14011</v>
      </c>
      <c r="O1437" s="16" t="s">
        <v>13994</v>
      </c>
      <c r="P1437">
        <v>3061363</v>
      </c>
      <c r="Q1437" s="16" t="s">
        <v>25</v>
      </c>
      <c r="R1437" t="s">
        <v>14012</v>
      </c>
    </row>
    <row r="1438" spans="1:22">
      <c r="A1438" t="s">
        <v>13987</v>
      </c>
      <c r="B1438" t="s">
        <v>13987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14065</v>
      </c>
      <c r="K1438" s="16"/>
      <c r="L1438" s="16"/>
      <c r="N1438" t="s">
        <v>14022</v>
      </c>
      <c r="O1438" s="16" t="s">
        <v>14023</v>
      </c>
      <c r="P1438">
        <v>3576</v>
      </c>
      <c r="Q1438" s="16" t="s">
        <v>25</v>
      </c>
      <c r="R1438" t="s">
        <v>14024</v>
      </c>
      <c r="S1438" s="16" t="s">
        <v>14023</v>
      </c>
      <c r="T1438">
        <v>3576</v>
      </c>
      <c r="U1438" s="16" t="s">
        <v>4349</v>
      </c>
      <c r="V1438" t="s">
        <v>14028</v>
      </c>
    </row>
    <row r="1439" spans="1:22">
      <c r="A1439" t="s">
        <v>14025</v>
      </c>
      <c r="B1439" t="s">
        <v>14025</v>
      </c>
      <c r="D1439" s="16"/>
      <c r="E1439" s="14" t="s">
        <v>13988</v>
      </c>
      <c r="G1439" s="17" t="str">
        <f>Config!$B$3</f>
        <v>SCH/R_IEC.SchLib</v>
      </c>
      <c r="H1439" t="s">
        <v>10788</v>
      </c>
      <c r="I1439" s="18" t="s">
        <v>14758</v>
      </c>
      <c r="J1439" s="16" t="s">
        <v>14064</v>
      </c>
      <c r="K1439" s="16"/>
      <c r="L1439" s="16"/>
      <c r="N1439" t="s">
        <v>14026</v>
      </c>
      <c r="O1439" s="16" t="s">
        <v>14023</v>
      </c>
      <c r="P1439">
        <v>3574</v>
      </c>
      <c r="Q1439" s="16" t="s">
        <v>25</v>
      </c>
      <c r="R1439" t="s">
        <v>14027</v>
      </c>
      <c r="S1439" s="16" t="s">
        <v>14023</v>
      </c>
      <c r="T1439">
        <v>3574</v>
      </c>
      <c r="U1439" s="16" t="s">
        <v>4349</v>
      </c>
      <c r="V1439" t="s">
        <v>14029</v>
      </c>
    </row>
    <row r="1440" spans="1:22">
      <c r="A1440" t="s">
        <v>13978</v>
      </c>
      <c r="B1440" t="s">
        <v>13978</v>
      </c>
      <c r="D1440" s="16"/>
      <c r="E1440" s="14" t="s">
        <v>13988</v>
      </c>
      <c r="G1440" s="17" t="str">
        <f>Config!$B$3</f>
        <v>SCH/R_IEC.SchLib</v>
      </c>
      <c r="H1440" t="s">
        <v>10789</v>
      </c>
      <c r="I1440" s="18"/>
      <c r="J1440" s="40"/>
      <c r="K1440" s="40"/>
      <c r="L1440" s="40"/>
      <c r="O1440" s="16"/>
      <c r="Q1440" s="16"/>
    </row>
    <row r="1441" spans="1:28">
      <c r="A1441" t="s">
        <v>8042</v>
      </c>
      <c r="B1441" t="s">
        <v>8042</v>
      </c>
      <c r="C1441" t="s">
        <v>8047</v>
      </c>
      <c r="D1441" s="16" t="s">
        <v>4368</v>
      </c>
      <c r="E1441" s="14" t="s">
        <v>8045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8045</v>
      </c>
      <c r="M1441">
        <v>1000</v>
      </c>
      <c r="N1441" t="s">
        <v>8050</v>
      </c>
      <c r="O1441" t="s">
        <v>4546</v>
      </c>
      <c r="P1441" t="s">
        <v>8051</v>
      </c>
      <c r="Q1441" s="16" t="s">
        <v>25</v>
      </c>
      <c r="R1441" t="s">
        <v>8052</v>
      </c>
    </row>
    <row r="1442" spans="1:28">
      <c r="A1442" t="s">
        <v>8043</v>
      </c>
      <c r="B1442" t="s">
        <v>8043</v>
      </c>
      <c r="C1442" t="s">
        <v>8048</v>
      </c>
      <c r="D1442" s="16" t="s">
        <v>4368</v>
      </c>
      <c r="E1442" s="14" t="s">
        <v>8046</v>
      </c>
      <c r="F1442" t="s">
        <v>163</v>
      </c>
      <c r="G1442" s="17" t="str">
        <f>Config!$B$3</f>
        <v>SCH/R_IEC.SchLib</v>
      </c>
      <c r="H1442" t="s">
        <v>8044</v>
      </c>
      <c r="I1442" s="18" t="s">
        <v>8049</v>
      </c>
      <c r="J1442" t="s">
        <v>8046</v>
      </c>
      <c r="M1442">
        <v>1000</v>
      </c>
      <c r="N1442" t="s">
        <v>8050</v>
      </c>
      <c r="O1442" s="16" t="s">
        <v>4546</v>
      </c>
      <c r="P1442" t="s">
        <v>8053</v>
      </c>
      <c r="Q1442" s="16" t="s">
        <v>25</v>
      </c>
      <c r="R1442" t="s">
        <v>8054</v>
      </c>
    </row>
    <row r="1443" spans="1:28">
      <c r="A1443" s="16" t="s">
        <v>8115</v>
      </c>
      <c r="B1443" s="16" t="s">
        <v>8115</v>
      </c>
      <c r="C1443" s="16" t="s">
        <v>8286</v>
      </c>
      <c r="D1443" s="16" t="s">
        <v>21</v>
      </c>
      <c r="E1443" s="36" t="s">
        <v>8456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0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8116</v>
      </c>
      <c r="B1444" s="16" t="s">
        <v>8116</v>
      </c>
      <c r="C1444" s="16" t="s">
        <v>8287</v>
      </c>
      <c r="D1444" s="16" t="s">
        <v>21</v>
      </c>
      <c r="E1444" s="36" t="s">
        <v>8456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8117</v>
      </c>
      <c r="B1445" s="16" t="s">
        <v>8117</v>
      </c>
      <c r="C1445" s="16" t="s">
        <v>8288</v>
      </c>
      <c r="D1445" s="16" t="s">
        <v>21</v>
      </c>
      <c r="E1445" s="36" t="s">
        <v>8456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1.1000000000000001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8118</v>
      </c>
      <c r="B1446" s="16" t="s">
        <v>8118</v>
      </c>
      <c r="C1446" s="16" t="s">
        <v>8289</v>
      </c>
      <c r="D1446" s="16" t="s">
        <v>21</v>
      </c>
      <c r="E1446" s="36" t="s">
        <v>8456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1.2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8119</v>
      </c>
      <c r="B1447" s="16" t="s">
        <v>8119</v>
      </c>
      <c r="C1447" s="16" t="s">
        <v>8290</v>
      </c>
      <c r="D1447" s="16" t="s">
        <v>21</v>
      </c>
      <c r="E1447" s="36" t="s">
        <v>8456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1.3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8120</v>
      </c>
      <c r="B1448" s="16" t="s">
        <v>8120</v>
      </c>
      <c r="C1448" s="16" t="s">
        <v>8291</v>
      </c>
      <c r="D1448" s="16" t="s">
        <v>21</v>
      </c>
      <c r="E1448" s="36" t="s">
        <v>8456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1.5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8121</v>
      </c>
      <c r="B1449" s="16" t="s">
        <v>8121</v>
      </c>
      <c r="C1449" s="16" t="s">
        <v>8292</v>
      </c>
      <c r="D1449" s="16" t="s">
        <v>21</v>
      </c>
      <c r="E1449" s="36" t="s">
        <v>8456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1.6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8122</v>
      </c>
      <c r="B1450" s="16" t="s">
        <v>8122</v>
      </c>
      <c r="C1450" s="16" t="s">
        <v>8293</v>
      </c>
      <c r="D1450" s="16" t="s">
        <v>21</v>
      </c>
      <c r="E1450" s="36" t="s">
        <v>8456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1.8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8123</v>
      </c>
      <c r="B1451" s="16" t="s">
        <v>8123</v>
      </c>
      <c r="C1451" s="16" t="s">
        <v>8294</v>
      </c>
      <c r="D1451" s="16" t="s">
        <v>21</v>
      </c>
      <c r="E1451" s="36" t="s">
        <v>8456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8124</v>
      </c>
      <c r="B1452" s="16" t="s">
        <v>8124</v>
      </c>
      <c r="C1452" s="16" t="s">
        <v>8295</v>
      </c>
      <c r="D1452" s="16" t="s">
        <v>21</v>
      </c>
      <c r="E1452" s="36" t="s">
        <v>8456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2.2000000000000002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8125</v>
      </c>
      <c r="B1453" s="16" t="s">
        <v>8125</v>
      </c>
      <c r="C1453" s="16" t="s">
        <v>8296</v>
      </c>
      <c r="D1453" s="16" t="s">
        <v>21</v>
      </c>
      <c r="E1453" s="36" t="s">
        <v>8456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2.4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8126</v>
      </c>
      <c r="B1454" s="16" t="s">
        <v>8126</v>
      </c>
      <c r="C1454" s="16" t="s">
        <v>8297</v>
      </c>
      <c r="D1454" s="16" t="s">
        <v>21</v>
      </c>
      <c r="E1454" s="36" t="s">
        <v>8456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2.7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8127</v>
      </c>
      <c r="B1455" s="16" t="s">
        <v>8127</v>
      </c>
      <c r="C1455" s="16" t="s">
        <v>8298</v>
      </c>
      <c r="D1455" s="16" t="s">
        <v>21</v>
      </c>
      <c r="E1455" s="36" t="s">
        <v>8456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8128</v>
      </c>
      <c r="B1456" s="16" t="s">
        <v>8128</v>
      </c>
      <c r="C1456" s="16" t="s">
        <v>8299</v>
      </c>
      <c r="D1456" s="16" t="s">
        <v>21</v>
      </c>
      <c r="E1456" s="36" t="s">
        <v>8456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3.3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8129</v>
      </c>
      <c r="B1457" s="16" t="s">
        <v>8129</v>
      </c>
      <c r="C1457" s="16" t="s">
        <v>8300</v>
      </c>
      <c r="D1457" s="16" t="s">
        <v>21</v>
      </c>
      <c r="E1457" s="36" t="s">
        <v>8456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3.6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8130</v>
      </c>
      <c r="B1458" s="16" t="s">
        <v>8130</v>
      </c>
      <c r="C1458" s="16" t="s">
        <v>8301</v>
      </c>
      <c r="D1458" s="16" t="s">
        <v>21</v>
      </c>
      <c r="E1458" s="36" t="s">
        <v>8456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3.9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8131</v>
      </c>
      <c r="B1459" s="16" t="s">
        <v>8131</v>
      </c>
      <c r="C1459" s="16" t="s">
        <v>8302</v>
      </c>
      <c r="D1459" s="16" t="s">
        <v>21</v>
      </c>
      <c r="E1459" s="36" t="s">
        <v>8456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4.3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8132</v>
      </c>
      <c r="B1460" s="16" t="s">
        <v>8132</v>
      </c>
      <c r="C1460" s="16" t="s">
        <v>8303</v>
      </c>
      <c r="D1460" s="16" t="s">
        <v>21</v>
      </c>
      <c r="E1460" s="36" t="s">
        <v>8456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4.7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8133</v>
      </c>
      <c r="B1461" s="16" t="s">
        <v>8133</v>
      </c>
      <c r="C1461" s="16" t="s">
        <v>8304</v>
      </c>
      <c r="D1461" s="16" t="s">
        <v>21</v>
      </c>
      <c r="E1461" s="36" t="s">
        <v>8456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5.0999999999999996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8134</v>
      </c>
      <c r="B1462" s="16" t="s">
        <v>8134</v>
      </c>
      <c r="C1462" s="16" t="s">
        <v>8305</v>
      </c>
      <c r="D1462" s="16" t="s">
        <v>21</v>
      </c>
      <c r="E1462" s="36" t="s">
        <v>8456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5.6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8135</v>
      </c>
      <c r="B1463" s="16" t="s">
        <v>8135</v>
      </c>
      <c r="C1463" s="16" t="s">
        <v>8306</v>
      </c>
      <c r="D1463" s="16" t="s">
        <v>21</v>
      </c>
      <c r="E1463" s="36" t="s">
        <v>8456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6.2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8136</v>
      </c>
      <c r="B1464" s="16" t="s">
        <v>8136</v>
      </c>
      <c r="C1464" s="16" t="s">
        <v>8307</v>
      </c>
      <c r="D1464" s="16" t="s">
        <v>21</v>
      </c>
      <c r="E1464" s="36" t="s">
        <v>8456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6.8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8137</v>
      </c>
      <c r="B1465" s="16" t="s">
        <v>8137</v>
      </c>
      <c r="C1465" s="16" t="s">
        <v>8308</v>
      </c>
      <c r="D1465" s="16" t="s">
        <v>21</v>
      </c>
      <c r="E1465" s="36" t="s">
        <v>8456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7.5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8138</v>
      </c>
      <c r="B1466" s="16" t="s">
        <v>8138</v>
      </c>
      <c r="C1466" s="16" t="s">
        <v>8309</v>
      </c>
      <c r="D1466" s="16" t="s">
        <v>21</v>
      </c>
      <c r="E1466" s="36" t="s">
        <v>8456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8.1999999999999993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8139</v>
      </c>
      <c r="B1467" s="16" t="s">
        <v>8139</v>
      </c>
      <c r="C1467" s="16" t="s">
        <v>8310</v>
      </c>
      <c r="D1467" s="16" t="s">
        <v>21</v>
      </c>
      <c r="E1467" s="36" t="s">
        <v>8456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19">
        <v>9.1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8140</v>
      </c>
      <c r="B1468" s="16" t="s">
        <v>8140</v>
      </c>
      <c r="C1468" s="16" t="s">
        <v>8311</v>
      </c>
      <c r="D1468" s="16" t="s">
        <v>21</v>
      </c>
      <c r="E1468" s="36" t="s">
        <v>8456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10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8141</v>
      </c>
      <c r="B1469" s="16" t="s">
        <v>8141</v>
      </c>
      <c r="C1469" s="16" t="s">
        <v>8312</v>
      </c>
      <c r="D1469" s="16" t="s">
        <v>21</v>
      </c>
      <c r="E1469" s="36" t="s">
        <v>8456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11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8142</v>
      </c>
      <c r="B1470" s="16" t="s">
        <v>8142</v>
      </c>
      <c r="C1470" s="16" t="s">
        <v>8313</v>
      </c>
      <c r="D1470" s="16" t="s">
        <v>21</v>
      </c>
      <c r="E1470" s="36" t="s">
        <v>8456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12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8143</v>
      </c>
      <c r="B1471" s="16" t="s">
        <v>8143</v>
      </c>
      <c r="C1471" s="16" t="s">
        <v>8314</v>
      </c>
      <c r="D1471" s="16" t="s">
        <v>21</v>
      </c>
      <c r="E1471" s="36" t="s">
        <v>8456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13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8144</v>
      </c>
      <c r="B1472" s="16" t="s">
        <v>8144</v>
      </c>
      <c r="C1472" s="16" t="s">
        <v>8315</v>
      </c>
      <c r="D1472" s="16" t="s">
        <v>21</v>
      </c>
      <c r="E1472" s="36" t="s">
        <v>8456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15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8145</v>
      </c>
      <c r="B1473" s="16" t="s">
        <v>8145</v>
      </c>
      <c r="C1473" s="16" t="s">
        <v>8316</v>
      </c>
      <c r="D1473" s="16" t="s">
        <v>21</v>
      </c>
      <c r="E1473" s="36" t="s">
        <v>8456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16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8146</v>
      </c>
      <c r="B1474" s="16" t="s">
        <v>8146</v>
      </c>
      <c r="C1474" s="16" t="s">
        <v>8317</v>
      </c>
      <c r="D1474" s="16" t="s">
        <v>21</v>
      </c>
      <c r="E1474" s="36" t="s">
        <v>8456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18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8147</v>
      </c>
      <c r="B1475" s="16" t="s">
        <v>8147</v>
      </c>
      <c r="C1475" s="16" t="s">
        <v>8318</v>
      </c>
      <c r="D1475" s="16" t="s">
        <v>21</v>
      </c>
      <c r="E1475" s="36" t="s">
        <v>8456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8148</v>
      </c>
      <c r="B1476" s="16" t="s">
        <v>8148</v>
      </c>
      <c r="C1476" s="16" t="s">
        <v>8319</v>
      </c>
      <c r="D1476" s="16" t="s">
        <v>21</v>
      </c>
      <c r="E1476" s="36" t="s">
        <v>8456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22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8149</v>
      </c>
      <c r="B1477" s="16" t="s">
        <v>8149</v>
      </c>
      <c r="C1477" s="16" t="s">
        <v>8320</v>
      </c>
      <c r="D1477" s="16" t="s">
        <v>21</v>
      </c>
      <c r="E1477" s="36" t="s">
        <v>8456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24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8150</v>
      </c>
      <c r="B1478" s="16" t="s">
        <v>8150</v>
      </c>
      <c r="C1478" s="16" t="s">
        <v>8321</v>
      </c>
      <c r="D1478" s="16" t="s">
        <v>21</v>
      </c>
      <c r="E1478" s="36" t="s">
        <v>8456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27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8151</v>
      </c>
      <c r="B1479" s="16" t="s">
        <v>8151</v>
      </c>
      <c r="C1479" s="16" t="s">
        <v>8322</v>
      </c>
      <c r="D1479" s="16" t="s">
        <v>21</v>
      </c>
      <c r="E1479" s="36" t="s">
        <v>8456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8152</v>
      </c>
      <c r="B1480" s="16" t="s">
        <v>8152</v>
      </c>
      <c r="C1480" s="16" t="s">
        <v>8323</v>
      </c>
      <c r="D1480" s="16" t="s">
        <v>21</v>
      </c>
      <c r="E1480" s="36" t="s">
        <v>8456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33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8153</v>
      </c>
      <c r="B1481" s="16" t="s">
        <v>8153</v>
      </c>
      <c r="C1481" s="16" t="s">
        <v>8324</v>
      </c>
      <c r="D1481" s="16" t="s">
        <v>21</v>
      </c>
      <c r="E1481" s="36" t="s">
        <v>8456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36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8154</v>
      </c>
      <c r="B1482" s="16" t="s">
        <v>8154</v>
      </c>
      <c r="C1482" s="16" t="s">
        <v>8325</v>
      </c>
      <c r="D1482" s="16" t="s">
        <v>21</v>
      </c>
      <c r="E1482" s="36" t="s">
        <v>8456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39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8155</v>
      </c>
      <c r="B1483" s="16" t="s">
        <v>8155</v>
      </c>
      <c r="C1483" s="16" t="s">
        <v>8326</v>
      </c>
      <c r="D1483" s="16" t="s">
        <v>21</v>
      </c>
      <c r="E1483" s="36" t="s">
        <v>8456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43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8156</v>
      </c>
      <c r="B1484" s="16" t="s">
        <v>8156</v>
      </c>
      <c r="C1484" s="16" t="s">
        <v>8327</v>
      </c>
      <c r="D1484" s="16" t="s">
        <v>21</v>
      </c>
      <c r="E1484" s="36" t="s">
        <v>8456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47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8157</v>
      </c>
      <c r="B1485" s="16" t="s">
        <v>8157</v>
      </c>
      <c r="C1485" s="16" t="s">
        <v>8328</v>
      </c>
      <c r="D1485" s="16" t="s">
        <v>21</v>
      </c>
      <c r="E1485" s="36" t="s">
        <v>8456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51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8158</v>
      </c>
      <c r="B1486" s="16" t="s">
        <v>8158</v>
      </c>
      <c r="C1486" s="16" t="s">
        <v>8329</v>
      </c>
      <c r="D1486" s="16" t="s">
        <v>21</v>
      </c>
      <c r="E1486" s="36" t="s">
        <v>8456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56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8159</v>
      </c>
      <c r="B1487" s="16" t="s">
        <v>8159</v>
      </c>
      <c r="C1487" s="16" t="s">
        <v>8330</v>
      </c>
      <c r="D1487" s="16" t="s">
        <v>21</v>
      </c>
      <c r="E1487" s="36" t="s">
        <v>8456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62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8160</v>
      </c>
      <c r="B1488" s="16" t="s">
        <v>8160</v>
      </c>
      <c r="C1488" s="16" t="s">
        <v>8331</v>
      </c>
      <c r="D1488" s="16" t="s">
        <v>21</v>
      </c>
      <c r="E1488" s="36" t="s">
        <v>8456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68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8161</v>
      </c>
      <c r="B1489" s="16" t="s">
        <v>8161</v>
      </c>
      <c r="C1489" s="16" t="s">
        <v>8332</v>
      </c>
      <c r="D1489" s="16" t="s">
        <v>21</v>
      </c>
      <c r="E1489" s="36" t="s">
        <v>8456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75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8162</v>
      </c>
      <c r="B1490" s="16" t="s">
        <v>8162</v>
      </c>
      <c r="C1490" s="16" t="s">
        <v>8333</v>
      </c>
      <c r="D1490" s="16" t="s">
        <v>21</v>
      </c>
      <c r="E1490" s="36" t="s">
        <v>8456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82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8163</v>
      </c>
      <c r="B1491" s="16" t="s">
        <v>8163</v>
      </c>
      <c r="C1491" s="16" t="s">
        <v>8334</v>
      </c>
      <c r="D1491" s="16" t="s">
        <v>21</v>
      </c>
      <c r="E1491" s="36" t="s">
        <v>8456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91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8164</v>
      </c>
      <c r="B1492" s="16" t="s">
        <v>8164</v>
      </c>
      <c r="C1492" s="16" t="s">
        <v>8335</v>
      </c>
      <c r="D1492" s="16" t="s">
        <v>21</v>
      </c>
      <c r="E1492" s="36" t="s">
        <v>8456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100</v>
      </c>
      <c r="N1492" s="19" t="s">
        <v>8472</v>
      </c>
      <c r="O1492" s="16" t="s">
        <v>4414</v>
      </c>
      <c r="P1492" s="16" t="s">
        <v>8474</v>
      </c>
      <c r="Q1492" s="16" t="s">
        <v>25</v>
      </c>
      <c r="R1492" s="16" t="s">
        <v>10591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8165</v>
      </c>
      <c r="B1493" s="16" t="s">
        <v>8165</v>
      </c>
      <c r="C1493" s="16" t="s">
        <v>8336</v>
      </c>
      <c r="D1493" s="16" t="s">
        <v>21</v>
      </c>
      <c r="E1493" s="36" t="s">
        <v>8456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110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8166</v>
      </c>
      <c r="B1494" s="16" t="s">
        <v>8166</v>
      </c>
      <c r="C1494" s="16" t="s">
        <v>8337</v>
      </c>
      <c r="D1494" s="16" t="s">
        <v>21</v>
      </c>
      <c r="E1494" s="36" t="s">
        <v>8456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120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8167</v>
      </c>
      <c r="B1495" s="16" t="s">
        <v>8167</v>
      </c>
      <c r="C1495" s="16" t="s">
        <v>8338</v>
      </c>
      <c r="D1495" s="16" t="s">
        <v>21</v>
      </c>
      <c r="E1495" s="36" t="s">
        <v>8456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130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8168</v>
      </c>
      <c r="B1496" s="16" t="s">
        <v>8168</v>
      </c>
      <c r="C1496" s="16" t="s">
        <v>8339</v>
      </c>
      <c r="D1496" s="16" t="s">
        <v>21</v>
      </c>
      <c r="E1496" s="36" t="s">
        <v>8456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150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8169</v>
      </c>
      <c r="B1497" s="16" t="s">
        <v>8169</v>
      </c>
      <c r="C1497" s="16" t="s">
        <v>8340</v>
      </c>
      <c r="D1497" s="16" t="s">
        <v>21</v>
      </c>
      <c r="E1497" s="36" t="s">
        <v>8456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160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8170</v>
      </c>
      <c r="B1498" s="16" t="s">
        <v>8170</v>
      </c>
      <c r="C1498" s="16" t="s">
        <v>8341</v>
      </c>
      <c r="D1498" s="16" t="s">
        <v>21</v>
      </c>
      <c r="E1498" s="36" t="s">
        <v>8456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180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8171</v>
      </c>
      <c r="B1499" s="16" t="s">
        <v>8171</v>
      </c>
      <c r="C1499" s="16" t="s">
        <v>8342</v>
      </c>
      <c r="D1499" s="16" t="s">
        <v>21</v>
      </c>
      <c r="E1499" s="36" t="s">
        <v>8456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8172</v>
      </c>
      <c r="B1500" s="16" t="s">
        <v>8172</v>
      </c>
      <c r="C1500" s="16" t="s">
        <v>8343</v>
      </c>
      <c r="D1500" s="16" t="s">
        <v>21</v>
      </c>
      <c r="E1500" s="36" t="s">
        <v>8456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220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8173</v>
      </c>
      <c r="B1501" s="16" t="s">
        <v>8173</v>
      </c>
      <c r="C1501" s="16" t="s">
        <v>8344</v>
      </c>
      <c r="D1501" s="16" t="s">
        <v>21</v>
      </c>
      <c r="E1501" s="36" t="s">
        <v>8456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240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8174</v>
      </c>
      <c r="B1502" s="16" t="s">
        <v>8174</v>
      </c>
      <c r="C1502" s="16" t="s">
        <v>8345</v>
      </c>
      <c r="D1502" s="16" t="s">
        <v>21</v>
      </c>
      <c r="E1502" s="36" t="s">
        <v>8456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270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8175</v>
      </c>
      <c r="B1503" s="16" t="s">
        <v>8175</v>
      </c>
      <c r="C1503" s="16" t="s">
        <v>8346</v>
      </c>
      <c r="D1503" s="16" t="s">
        <v>21</v>
      </c>
      <c r="E1503" s="36" t="s">
        <v>8456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8176</v>
      </c>
      <c r="B1504" s="16" t="s">
        <v>8176</v>
      </c>
      <c r="C1504" s="16" t="s">
        <v>8347</v>
      </c>
      <c r="D1504" s="16" t="s">
        <v>21</v>
      </c>
      <c r="E1504" s="36" t="s">
        <v>8456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330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8177</v>
      </c>
      <c r="B1505" s="16" t="s">
        <v>8177</v>
      </c>
      <c r="C1505" s="16" t="s">
        <v>8348</v>
      </c>
      <c r="D1505" s="16" t="s">
        <v>21</v>
      </c>
      <c r="E1505" s="36" t="s">
        <v>8456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360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8178</v>
      </c>
      <c r="B1506" s="16" t="s">
        <v>8178</v>
      </c>
      <c r="C1506" s="16" t="s">
        <v>8349</v>
      </c>
      <c r="D1506" s="16" t="s">
        <v>21</v>
      </c>
      <c r="E1506" s="36" t="s">
        <v>8456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390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8179</v>
      </c>
      <c r="B1507" s="16" t="s">
        <v>8179</v>
      </c>
      <c r="C1507" s="16" t="s">
        <v>8350</v>
      </c>
      <c r="D1507" s="16" t="s">
        <v>21</v>
      </c>
      <c r="E1507" s="36" t="s">
        <v>8456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430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8180</v>
      </c>
      <c r="B1508" s="16" t="s">
        <v>8180</v>
      </c>
      <c r="C1508" s="16" t="s">
        <v>8351</v>
      </c>
      <c r="D1508" s="16" t="s">
        <v>21</v>
      </c>
      <c r="E1508" s="36" t="s">
        <v>8456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470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8181</v>
      </c>
      <c r="B1509" s="16" t="s">
        <v>8181</v>
      </c>
      <c r="C1509" s="16" t="s">
        <v>8352</v>
      </c>
      <c r="D1509" s="16" t="s">
        <v>21</v>
      </c>
      <c r="E1509" s="36" t="s">
        <v>8456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510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8182</v>
      </c>
      <c r="B1510" s="16" t="s">
        <v>8182</v>
      </c>
      <c r="C1510" s="16" t="s">
        <v>8353</v>
      </c>
      <c r="D1510" s="16" t="s">
        <v>21</v>
      </c>
      <c r="E1510" s="36" t="s">
        <v>8456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560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8183</v>
      </c>
      <c r="B1511" s="16" t="s">
        <v>8183</v>
      </c>
      <c r="C1511" s="16" t="s">
        <v>8354</v>
      </c>
      <c r="D1511" s="16" t="s">
        <v>21</v>
      </c>
      <c r="E1511" s="36" t="s">
        <v>8456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620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8184</v>
      </c>
      <c r="B1512" s="16" t="s">
        <v>8184</v>
      </c>
      <c r="C1512" s="16" t="s">
        <v>8355</v>
      </c>
      <c r="D1512" s="16" t="s">
        <v>21</v>
      </c>
      <c r="E1512" s="36" t="s">
        <v>8456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680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8185</v>
      </c>
      <c r="B1513" s="16" t="s">
        <v>8185</v>
      </c>
      <c r="C1513" s="16" t="s">
        <v>8356</v>
      </c>
      <c r="D1513" s="16" t="s">
        <v>21</v>
      </c>
      <c r="E1513" s="36" t="s">
        <v>8456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750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8186</v>
      </c>
      <c r="B1514" s="16" t="s">
        <v>8186</v>
      </c>
      <c r="C1514" s="16" t="s">
        <v>8357</v>
      </c>
      <c r="D1514" s="16" t="s">
        <v>21</v>
      </c>
      <c r="E1514" s="36" t="s">
        <v>8456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820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8187</v>
      </c>
      <c r="B1515" s="16" t="s">
        <v>8187</v>
      </c>
      <c r="C1515" s="16" t="s">
        <v>8358</v>
      </c>
      <c r="D1515" s="16" t="s">
        <v>21</v>
      </c>
      <c r="E1515" s="36" t="s">
        <v>8456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910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8188</v>
      </c>
      <c r="B1516" s="16" t="s">
        <v>8188</v>
      </c>
      <c r="C1516" s="16" t="s">
        <v>8359</v>
      </c>
      <c r="D1516" s="16" t="s">
        <v>21</v>
      </c>
      <c r="E1516" s="36" t="s">
        <v>8456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1000</v>
      </c>
      <c r="N1516" s="19" t="s">
        <v>8472</v>
      </c>
      <c r="O1516" s="16" t="s">
        <v>4414</v>
      </c>
      <c r="P1516" s="16" t="s">
        <v>8473</v>
      </c>
      <c r="Q1516" s="16" t="s">
        <v>25</v>
      </c>
      <c r="R1516" s="16" t="s">
        <v>10592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8189</v>
      </c>
      <c r="B1517" s="16" t="s">
        <v>8189</v>
      </c>
      <c r="C1517" s="16" t="s">
        <v>8360</v>
      </c>
      <c r="D1517" s="16" t="s">
        <v>21</v>
      </c>
      <c r="E1517" s="36" t="s">
        <v>8456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1100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8190</v>
      </c>
      <c r="B1518" s="16" t="s">
        <v>8190</v>
      </c>
      <c r="C1518" s="16" t="s">
        <v>8361</v>
      </c>
      <c r="D1518" s="16" t="s">
        <v>21</v>
      </c>
      <c r="E1518" s="36" t="s">
        <v>8456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1200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8191</v>
      </c>
      <c r="B1519" s="16" t="s">
        <v>8191</v>
      </c>
      <c r="C1519" s="16" t="s">
        <v>8362</v>
      </c>
      <c r="D1519" s="16" t="s">
        <v>21</v>
      </c>
      <c r="E1519" s="36" t="s">
        <v>8456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1300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8192</v>
      </c>
      <c r="B1520" s="16" t="s">
        <v>8192</v>
      </c>
      <c r="C1520" s="16" t="s">
        <v>8363</v>
      </c>
      <c r="D1520" s="16" t="s">
        <v>21</v>
      </c>
      <c r="E1520" s="36" t="s">
        <v>8456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1500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8193</v>
      </c>
      <c r="B1521" s="16" t="s">
        <v>8193</v>
      </c>
      <c r="C1521" s="16" t="s">
        <v>8364</v>
      </c>
      <c r="D1521" s="16" t="s">
        <v>21</v>
      </c>
      <c r="E1521" s="36" t="s">
        <v>8456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1600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8194</v>
      </c>
      <c r="B1522" s="16" t="s">
        <v>8194</v>
      </c>
      <c r="C1522" s="16" t="s">
        <v>8365</v>
      </c>
      <c r="D1522" s="16" t="s">
        <v>21</v>
      </c>
      <c r="E1522" s="36" t="s">
        <v>8456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1800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8195</v>
      </c>
      <c r="B1523" s="16" t="s">
        <v>8195</v>
      </c>
      <c r="C1523" s="16" t="s">
        <v>8366</v>
      </c>
      <c r="D1523" s="16" t="s">
        <v>21</v>
      </c>
      <c r="E1523" s="36" t="s">
        <v>8456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8196</v>
      </c>
      <c r="B1524" s="16" t="s">
        <v>8196</v>
      </c>
      <c r="C1524" s="16" t="s">
        <v>8367</v>
      </c>
      <c r="D1524" s="16" t="s">
        <v>21</v>
      </c>
      <c r="E1524" s="36" t="s">
        <v>8456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2200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8197</v>
      </c>
      <c r="B1525" s="16" t="s">
        <v>8197</v>
      </c>
      <c r="C1525" s="16" t="s">
        <v>8368</v>
      </c>
      <c r="D1525" s="16" t="s">
        <v>21</v>
      </c>
      <c r="E1525" s="36" t="s">
        <v>8456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2400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8198</v>
      </c>
      <c r="B1526" s="16" t="s">
        <v>8198</v>
      </c>
      <c r="C1526" s="16" t="s">
        <v>8369</v>
      </c>
      <c r="D1526" s="16" t="s">
        <v>21</v>
      </c>
      <c r="E1526" s="36" t="s">
        <v>8456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2700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8199</v>
      </c>
      <c r="B1527" s="16" t="s">
        <v>8199</v>
      </c>
      <c r="C1527" s="16" t="s">
        <v>8370</v>
      </c>
      <c r="D1527" s="16" t="s">
        <v>21</v>
      </c>
      <c r="E1527" s="36" t="s">
        <v>8456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8200</v>
      </c>
      <c r="B1528" s="16" t="s">
        <v>8200</v>
      </c>
      <c r="C1528" s="16" t="s">
        <v>8371</v>
      </c>
      <c r="D1528" s="16" t="s">
        <v>21</v>
      </c>
      <c r="E1528" s="36" t="s">
        <v>8456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3300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8201</v>
      </c>
      <c r="B1529" s="16" t="s">
        <v>8201</v>
      </c>
      <c r="C1529" s="16" t="s">
        <v>8372</v>
      </c>
      <c r="D1529" s="16" t="s">
        <v>21</v>
      </c>
      <c r="E1529" s="36" t="s">
        <v>8456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3600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8202</v>
      </c>
      <c r="B1530" s="16" t="s">
        <v>8202</v>
      </c>
      <c r="C1530" s="16" t="s">
        <v>8373</v>
      </c>
      <c r="D1530" s="16" t="s">
        <v>21</v>
      </c>
      <c r="E1530" s="36" t="s">
        <v>8456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3900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8203</v>
      </c>
      <c r="B1531" s="16" t="s">
        <v>8203</v>
      </c>
      <c r="C1531" s="16" t="s">
        <v>8374</v>
      </c>
      <c r="D1531" s="16" t="s">
        <v>21</v>
      </c>
      <c r="E1531" s="36" t="s">
        <v>8456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4300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8204</v>
      </c>
      <c r="B1532" s="16" t="s">
        <v>8204</v>
      </c>
      <c r="C1532" s="16" t="s">
        <v>8375</v>
      </c>
      <c r="D1532" s="16" t="s">
        <v>21</v>
      </c>
      <c r="E1532" s="36" t="s">
        <v>8456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4700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8205</v>
      </c>
      <c r="B1533" s="16" t="s">
        <v>8205</v>
      </c>
      <c r="C1533" s="16" t="s">
        <v>8376</v>
      </c>
      <c r="D1533" s="16" t="s">
        <v>21</v>
      </c>
      <c r="E1533" s="36" t="s">
        <v>8456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5100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8206</v>
      </c>
      <c r="B1534" s="16" t="s">
        <v>8206</v>
      </c>
      <c r="C1534" s="16" t="s">
        <v>8377</v>
      </c>
      <c r="D1534" s="16" t="s">
        <v>21</v>
      </c>
      <c r="E1534" s="36" t="s">
        <v>8456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5600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8207</v>
      </c>
      <c r="B1535" s="16" t="s">
        <v>8207</v>
      </c>
      <c r="C1535" s="16" t="s">
        <v>8378</v>
      </c>
      <c r="D1535" s="16" t="s">
        <v>21</v>
      </c>
      <c r="E1535" s="36" t="s">
        <v>8456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6200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8208</v>
      </c>
      <c r="B1536" s="16" t="s">
        <v>8208</v>
      </c>
      <c r="C1536" s="16" t="s">
        <v>8379</v>
      </c>
      <c r="D1536" s="16" t="s">
        <v>21</v>
      </c>
      <c r="E1536" s="36" t="s">
        <v>8456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6800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8209</v>
      </c>
      <c r="B1537" s="16" t="s">
        <v>8209</v>
      </c>
      <c r="C1537" s="16" t="s">
        <v>8380</v>
      </c>
      <c r="D1537" s="16" t="s">
        <v>21</v>
      </c>
      <c r="E1537" s="36" t="s">
        <v>8456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7500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8210</v>
      </c>
      <c r="B1538" s="16" t="s">
        <v>8210</v>
      </c>
      <c r="C1538" s="16" t="s">
        <v>8381</v>
      </c>
      <c r="D1538" s="16" t="s">
        <v>21</v>
      </c>
      <c r="E1538" s="36" t="s">
        <v>8456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8200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8211</v>
      </c>
      <c r="B1539" s="16" t="s">
        <v>8211</v>
      </c>
      <c r="C1539" s="16" t="s">
        <v>8382</v>
      </c>
      <c r="D1539" s="16" t="s">
        <v>21</v>
      </c>
      <c r="E1539" s="36" t="s">
        <v>8456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9100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8212</v>
      </c>
      <c r="B1540" s="16" t="s">
        <v>8212</v>
      </c>
      <c r="C1540" s="16" t="s">
        <v>8383</v>
      </c>
      <c r="D1540" s="16" t="s">
        <v>21</v>
      </c>
      <c r="E1540" s="36" t="s">
        <v>8456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10000</v>
      </c>
      <c r="N1540" s="19" t="s">
        <v>8472</v>
      </c>
      <c r="O1540" s="16" t="s">
        <v>4414</v>
      </c>
      <c r="P1540" s="16" t="s">
        <v>8457</v>
      </c>
      <c r="Q1540" s="16" t="s">
        <v>25</v>
      </c>
      <c r="R1540" s="16" t="s">
        <v>10592</v>
      </c>
      <c r="S1540" s="16" t="s">
        <v>4414</v>
      </c>
      <c r="T1540" s="16" t="s">
        <v>8457</v>
      </c>
      <c r="U1540" s="16" t="s">
        <v>8459</v>
      </c>
      <c r="V1540" s="16" t="s">
        <v>8460</v>
      </c>
      <c r="W1540" s="17"/>
      <c r="X1540" s="17"/>
      <c r="Y1540" s="16"/>
      <c r="Z1540" s="17"/>
      <c r="AA1540" s="17"/>
      <c r="AB1540" s="17"/>
    </row>
    <row r="1541" spans="1:28">
      <c r="A1541" s="16" t="s">
        <v>8213</v>
      </c>
      <c r="B1541" s="16" t="s">
        <v>8213</v>
      </c>
      <c r="C1541" s="16" t="s">
        <v>8384</v>
      </c>
      <c r="D1541" s="16" t="s">
        <v>21</v>
      </c>
      <c r="E1541" s="36" t="s">
        <v>8456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11000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8214</v>
      </c>
      <c r="B1542" s="16" t="s">
        <v>8214</v>
      </c>
      <c r="C1542" s="16" t="s">
        <v>8385</v>
      </c>
      <c r="D1542" s="16" t="s">
        <v>21</v>
      </c>
      <c r="E1542" s="36" t="s">
        <v>8456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12000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8215</v>
      </c>
      <c r="B1543" s="16" t="s">
        <v>8215</v>
      </c>
      <c r="C1543" s="16" t="s">
        <v>8386</v>
      </c>
      <c r="D1543" s="16" t="s">
        <v>21</v>
      </c>
      <c r="E1543" s="36" t="s">
        <v>8456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13000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8216</v>
      </c>
      <c r="B1544" s="16" t="s">
        <v>8216</v>
      </c>
      <c r="C1544" s="16" t="s">
        <v>8387</v>
      </c>
      <c r="D1544" s="16" t="s">
        <v>21</v>
      </c>
      <c r="E1544" s="36" t="s">
        <v>8456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15000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8217</v>
      </c>
      <c r="B1545" s="16" t="s">
        <v>8217</v>
      </c>
      <c r="C1545" s="16" t="s">
        <v>8388</v>
      </c>
      <c r="D1545" s="16" t="s">
        <v>21</v>
      </c>
      <c r="E1545" s="36" t="s">
        <v>8456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16000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8218</v>
      </c>
      <c r="B1546" s="16" t="s">
        <v>8218</v>
      </c>
      <c r="C1546" s="16" t="s">
        <v>8389</v>
      </c>
      <c r="D1546" s="16" t="s">
        <v>21</v>
      </c>
      <c r="E1546" s="36" t="s">
        <v>8456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18000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8219</v>
      </c>
      <c r="B1547" s="16" t="s">
        <v>8219</v>
      </c>
      <c r="C1547" s="16" t="s">
        <v>8390</v>
      </c>
      <c r="D1547" s="16" t="s">
        <v>21</v>
      </c>
      <c r="E1547" s="36" t="s">
        <v>8456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8220</v>
      </c>
      <c r="B1548" s="16" t="s">
        <v>8220</v>
      </c>
      <c r="C1548" s="16" t="s">
        <v>8391</v>
      </c>
      <c r="D1548" s="16" t="s">
        <v>21</v>
      </c>
      <c r="E1548" s="36" t="s">
        <v>8456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22000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8221</v>
      </c>
      <c r="B1549" s="16" t="s">
        <v>8221</v>
      </c>
      <c r="C1549" s="16" t="s">
        <v>8392</v>
      </c>
      <c r="D1549" s="16" t="s">
        <v>21</v>
      </c>
      <c r="E1549" s="36" t="s">
        <v>8456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24000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8222</v>
      </c>
      <c r="B1550" s="16" t="s">
        <v>8222</v>
      </c>
      <c r="C1550" s="16" t="s">
        <v>8393</v>
      </c>
      <c r="D1550" s="16" t="s">
        <v>21</v>
      </c>
      <c r="E1550" s="36" t="s">
        <v>8456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27000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8223</v>
      </c>
      <c r="B1551" s="16" t="s">
        <v>8223</v>
      </c>
      <c r="C1551" s="16" t="s">
        <v>8394</v>
      </c>
      <c r="D1551" s="16" t="s">
        <v>21</v>
      </c>
      <c r="E1551" s="36" t="s">
        <v>8456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8224</v>
      </c>
      <c r="B1552" s="16" t="s">
        <v>8224</v>
      </c>
      <c r="C1552" s="16" t="s">
        <v>8395</v>
      </c>
      <c r="D1552" s="16" t="s">
        <v>21</v>
      </c>
      <c r="E1552" s="36" t="s">
        <v>8456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33000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8225</v>
      </c>
      <c r="B1553" s="16" t="s">
        <v>8225</v>
      </c>
      <c r="C1553" s="16" t="s">
        <v>8396</v>
      </c>
      <c r="D1553" s="16" t="s">
        <v>21</v>
      </c>
      <c r="E1553" s="36" t="s">
        <v>8456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36000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8226</v>
      </c>
      <c r="B1554" s="16" t="s">
        <v>8226</v>
      </c>
      <c r="C1554" s="16" t="s">
        <v>8397</v>
      </c>
      <c r="D1554" s="16" t="s">
        <v>21</v>
      </c>
      <c r="E1554" s="36" t="s">
        <v>8456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39000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8227</v>
      </c>
      <c r="B1555" s="16" t="s">
        <v>8227</v>
      </c>
      <c r="C1555" s="16" t="s">
        <v>8398</v>
      </c>
      <c r="D1555" s="16" t="s">
        <v>21</v>
      </c>
      <c r="E1555" s="36" t="s">
        <v>8456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43000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8228</v>
      </c>
      <c r="B1556" s="16" t="s">
        <v>8228</v>
      </c>
      <c r="C1556" s="16" t="s">
        <v>8399</v>
      </c>
      <c r="D1556" s="16" t="s">
        <v>21</v>
      </c>
      <c r="E1556" s="36" t="s">
        <v>8456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47000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8229</v>
      </c>
      <c r="B1557" s="16" t="s">
        <v>8229</v>
      </c>
      <c r="C1557" s="16" t="s">
        <v>8400</v>
      </c>
      <c r="D1557" s="16" t="s">
        <v>21</v>
      </c>
      <c r="E1557" s="36" t="s">
        <v>8456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51000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8230</v>
      </c>
      <c r="B1558" s="16" t="s">
        <v>8230</v>
      </c>
      <c r="C1558" s="16" t="s">
        <v>8401</v>
      </c>
      <c r="D1558" s="16" t="s">
        <v>21</v>
      </c>
      <c r="E1558" s="36" t="s">
        <v>8456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56000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8231</v>
      </c>
      <c r="B1559" s="16" t="s">
        <v>8231</v>
      </c>
      <c r="C1559" s="16" t="s">
        <v>8402</v>
      </c>
      <c r="D1559" s="16" t="s">
        <v>21</v>
      </c>
      <c r="E1559" s="36" t="s">
        <v>8456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62000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8232</v>
      </c>
      <c r="B1560" s="16" t="s">
        <v>8232</v>
      </c>
      <c r="C1560" s="16" t="s">
        <v>8403</v>
      </c>
      <c r="D1560" s="16" t="s">
        <v>21</v>
      </c>
      <c r="E1560" s="36" t="s">
        <v>8456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68000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8233</v>
      </c>
      <c r="B1561" s="16" t="s">
        <v>8233</v>
      </c>
      <c r="C1561" s="16" t="s">
        <v>8404</v>
      </c>
      <c r="D1561" s="16" t="s">
        <v>21</v>
      </c>
      <c r="E1561" s="36" t="s">
        <v>8456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75000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8234</v>
      </c>
      <c r="B1562" s="16" t="s">
        <v>8234</v>
      </c>
      <c r="C1562" s="16" t="s">
        <v>8405</v>
      </c>
      <c r="D1562" s="16" t="s">
        <v>21</v>
      </c>
      <c r="E1562" s="36" t="s">
        <v>8456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82000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8235</v>
      </c>
      <c r="B1563" s="16" t="s">
        <v>8235</v>
      </c>
      <c r="C1563" s="16" t="s">
        <v>8406</v>
      </c>
      <c r="D1563" s="16" t="s">
        <v>21</v>
      </c>
      <c r="E1563" s="36" t="s">
        <v>8456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91000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8236</v>
      </c>
      <c r="B1564" s="16" t="s">
        <v>8236</v>
      </c>
      <c r="C1564" s="16" t="s">
        <v>8407</v>
      </c>
      <c r="D1564" s="16" t="s">
        <v>21</v>
      </c>
      <c r="E1564" s="36" t="s">
        <v>8456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100000</v>
      </c>
      <c r="N1564" s="19" t="s">
        <v>8472</v>
      </c>
      <c r="O1564" s="16" t="s">
        <v>4414</v>
      </c>
      <c r="P1564" s="16" t="s">
        <v>8458</v>
      </c>
      <c r="Q1564" s="16" t="s">
        <v>25</v>
      </c>
      <c r="R1564" t="s">
        <v>10592</v>
      </c>
      <c r="S1564" s="16" t="s">
        <v>4414</v>
      </c>
      <c r="T1564" s="16" t="s">
        <v>8458</v>
      </c>
      <c r="U1564" s="16" t="s">
        <v>8459</v>
      </c>
      <c r="V1564" s="16" t="s">
        <v>8460</v>
      </c>
      <c r="W1564" s="16"/>
      <c r="X1564" s="17"/>
      <c r="Y1564" s="16"/>
      <c r="Z1564" s="17"/>
      <c r="AA1564" s="16"/>
      <c r="AB1564" s="17"/>
    </row>
    <row r="1565" spans="1:28">
      <c r="A1565" s="16" t="s">
        <v>8237</v>
      </c>
      <c r="B1565" s="16" t="s">
        <v>8237</v>
      </c>
      <c r="C1565" s="16" t="s">
        <v>8408</v>
      </c>
      <c r="D1565" s="16" t="s">
        <v>21</v>
      </c>
      <c r="E1565" s="36" t="s">
        <v>8456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110000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8238</v>
      </c>
      <c r="B1566" s="16" t="s">
        <v>8238</v>
      </c>
      <c r="C1566" s="16" t="s">
        <v>8409</v>
      </c>
      <c r="D1566" s="16" t="s">
        <v>21</v>
      </c>
      <c r="E1566" s="36" t="s">
        <v>8456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120000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8239</v>
      </c>
      <c r="B1567" s="16" t="s">
        <v>8239</v>
      </c>
      <c r="C1567" s="16" t="s">
        <v>8410</v>
      </c>
      <c r="D1567" s="16" t="s">
        <v>21</v>
      </c>
      <c r="E1567" s="36" t="s">
        <v>8456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130000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8240</v>
      </c>
      <c r="B1568" s="16" t="s">
        <v>8240</v>
      </c>
      <c r="C1568" s="16" t="s">
        <v>8411</v>
      </c>
      <c r="D1568" s="16" t="s">
        <v>21</v>
      </c>
      <c r="E1568" s="36" t="s">
        <v>8456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150000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8241</v>
      </c>
      <c r="B1569" s="16" t="s">
        <v>8241</v>
      </c>
      <c r="C1569" s="16" t="s">
        <v>8412</v>
      </c>
      <c r="D1569" s="16" t="s">
        <v>21</v>
      </c>
      <c r="E1569" s="36" t="s">
        <v>8456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160000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8242</v>
      </c>
      <c r="B1570" s="16" t="s">
        <v>8242</v>
      </c>
      <c r="C1570" s="16" t="s">
        <v>8413</v>
      </c>
      <c r="D1570" s="16" t="s">
        <v>21</v>
      </c>
      <c r="E1570" s="36" t="s">
        <v>8456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180000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8243</v>
      </c>
      <c r="B1571" s="16" t="s">
        <v>8243</v>
      </c>
      <c r="C1571" s="16" t="s">
        <v>8414</v>
      </c>
      <c r="D1571" s="16" t="s">
        <v>21</v>
      </c>
      <c r="E1571" s="36" t="s">
        <v>8456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8244</v>
      </c>
      <c r="B1572" s="16" t="s">
        <v>8244</v>
      </c>
      <c r="C1572" s="16" t="s">
        <v>8415</v>
      </c>
      <c r="D1572" s="16" t="s">
        <v>21</v>
      </c>
      <c r="E1572" s="36" t="s">
        <v>8456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220000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8245</v>
      </c>
      <c r="B1573" s="16" t="s">
        <v>8245</v>
      </c>
      <c r="C1573" s="16" t="s">
        <v>8416</v>
      </c>
      <c r="D1573" s="16" t="s">
        <v>21</v>
      </c>
      <c r="E1573" s="36" t="s">
        <v>8456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240000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8246</v>
      </c>
      <c r="B1574" s="16" t="s">
        <v>8246</v>
      </c>
      <c r="C1574" s="16" t="s">
        <v>8417</v>
      </c>
      <c r="D1574" s="16" t="s">
        <v>21</v>
      </c>
      <c r="E1574" s="36" t="s">
        <v>8456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270000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8247</v>
      </c>
      <c r="B1575" s="16" t="s">
        <v>8247</v>
      </c>
      <c r="C1575" s="16" t="s">
        <v>8418</v>
      </c>
      <c r="D1575" s="16" t="s">
        <v>21</v>
      </c>
      <c r="E1575" s="36" t="s">
        <v>8456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8248</v>
      </c>
      <c r="B1576" s="16" t="s">
        <v>8248</v>
      </c>
      <c r="C1576" s="16" t="s">
        <v>8419</v>
      </c>
      <c r="D1576" s="16" t="s">
        <v>21</v>
      </c>
      <c r="E1576" s="36" t="s">
        <v>8456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330000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8249</v>
      </c>
      <c r="B1577" s="16" t="s">
        <v>8249</v>
      </c>
      <c r="C1577" s="16" t="s">
        <v>8420</v>
      </c>
      <c r="D1577" s="16" t="s">
        <v>21</v>
      </c>
      <c r="E1577" s="36" t="s">
        <v>8456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360000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8250</v>
      </c>
      <c r="B1578" s="16" t="s">
        <v>8250</v>
      </c>
      <c r="C1578" s="16" t="s">
        <v>8421</v>
      </c>
      <c r="D1578" s="16" t="s">
        <v>21</v>
      </c>
      <c r="E1578" s="36" t="s">
        <v>8456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390000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8251</v>
      </c>
      <c r="B1579" s="16" t="s">
        <v>8251</v>
      </c>
      <c r="C1579" s="16" t="s">
        <v>8422</v>
      </c>
      <c r="D1579" s="16" t="s">
        <v>21</v>
      </c>
      <c r="E1579" s="36" t="s">
        <v>8456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430000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8252</v>
      </c>
      <c r="B1580" s="16" t="s">
        <v>8252</v>
      </c>
      <c r="C1580" s="16" t="s">
        <v>8423</v>
      </c>
      <c r="D1580" s="16" t="s">
        <v>21</v>
      </c>
      <c r="E1580" s="36" t="s">
        <v>8456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470000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8253</v>
      </c>
      <c r="B1581" s="16" t="s">
        <v>8253</v>
      </c>
      <c r="C1581" s="16" t="s">
        <v>8424</v>
      </c>
      <c r="D1581" s="16" t="s">
        <v>21</v>
      </c>
      <c r="E1581" s="36" t="s">
        <v>8456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510000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8254</v>
      </c>
      <c r="B1582" s="16" t="s">
        <v>8254</v>
      </c>
      <c r="C1582" s="16" t="s">
        <v>8425</v>
      </c>
      <c r="D1582" s="16" t="s">
        <v>21</v>
      </c>
      <c r="E1582" s="36" t="s">
        <v>8456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560000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8255</v>
      </c>
      <c r="B1583" s="16" t="s">
        <v>8255</v>
      </c>
      <c r="C1583" s="16" t="s">
        <v>8426</v>
      </c>
      <c r="D1583" s="16" t="s">
        <v>21</v>
      </c>
      <c r="E1583" s="36" t="s">
        <v>8456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620000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8256</v>
      </c>
      <c r="B1584" s="16" t="s">
        <v>8256</v>
      </c>
      <c r="C1584" s="16" t="s">
        <v>8427</v>
      </c>
      <c r="D1584" s="16" t="s">
        <v>21</v>
      </c>
      <c r="E1584" s="36" t="s">
        <v>8456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680000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8257</v>
      </c>
      <c r="B1585" s="16" t="s">
        <v>8257</v>
      </c>
      <c r="C1585" s="16" t="s">
        <v>8428</v>
      </c>
      <c r="D1585" s="16" t="s">
        <v>21</v>
      </c>
      <c r="E1585" s="36" t="s">
        <v>8456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750000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8258</v>
      </c>
      <c r="B1586" s="16" t="s">
        <v>8258</v>
      </c>
      <c r="C1586" s="16" t="s">
        <v>8429</v>
      </c>
      <c r="D1586" s="16" t="s">
        <v>21</v>
      </c>
      <c r="E1586" s="36" t="s">
        <v>8456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820000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8259</v>
      </c>
      <c r="B1587" s="16" t="s">
        <v>8259</v>
      </c>
      <c r="C1587" s="16" t="s">
        <v>8430</v>
      </c>
      <c r="D1587" s="16" t="s">
        <v>21</v>
      </c>
      <c r="E1587" s="36" t="s">
        <v>8456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910000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8260</v>
      </c>
      <c r="B1588" s="16" t="s">
        <v>8260</v>
      </c>
      <c r="C1588" s="16" t="s">
        <v>8431</v>
      </c>
      <c r="D1588" s="16" t="s">
        <v>21</v>
      </c>
      <c r="E1588" s="36" t="s">
        <v>8456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1000000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8261</v>
      </c>
      <c r="B1589" s="16" t="s">
        <v>8261</v>
      </c>
      <c r="C1589" s="16" t="s">
        <v>8432</v>
      </c>
      <c r="D1589" s="16" t="s">
        <v>21</v>
      </c>
      <c r="E1589" s="36" t="s">
        <v>8456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1100000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8262</v>
      </c>
      <c r="B1590" s="16" t="s">
        <v>8262</v>
      </c>
      <c r="C1590" s="16" t="s">
        <v>8433</v>
      </c>
      <c r="D1590" s="16" t="s">
        <v>21</v>
      </c>
      <c r="E1590" s="36" t="s">
        <v>8456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1200000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8263</v>
      </c>
      <c r="B1591" s="16" t="s">
        <v>8263</v>
      </c>
      <c r="C1591" s="16" t="s">
        <v>8434</v>
      </c>
      <c r="D1591" s="16" t="s">
        <v>21</v>
      </c>
      <c r="E1591" s="36" t="s">
        <v>8456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1300000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8264</v>
      </c>
      <c r="B1592" s="16" t="s">
        <v>8264</v>
      </c>
      <c r="C1592" s="16" t="s">
        <v>8435</v>
      </c>
      <c r="D1592" s="16" t="s">
        <v>21</v>
      </c>
      <c r="E1592" s="36" t="s">
        <v>8456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1500000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8265</v>
      </c>
      <c r="B1593" s="16" t="s">
        <v>8265</v>
      </c>
      <c r="C1593" s="16" t="s">
        <v>8436</v>
      </c>
      <c r="D1593" s="16" t="s">
        <v>21</v>
      </c>
      <c r="E1593" s="36" t="s">
        <v>8456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1600000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8266</v>
      </c>
      <c r="B1594" s="16" t="s">
        <v>8266</v>
      </c>
      <c r="C1594" s="16" t="s">
        <v>8437</v>
      </c>
      <c r="D1594" s="16" t="s">
        <v>21</v>
      </c>
      <c r="E1594" s="36" t="s">
        <v>8456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1800000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8267</v>
      </c>
      <c r="B1595" s="16" t="s">
        <v>8267</v>
      </c>
      <c r="C1595" s="16" t="s">
        <v>8438</v>
      </c>
      <c r="D1595" s="16" t="s">
        <v>21</v>
      </c>
      <c r="E1595" s="36" t="s">
        <v>8456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2000000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8268</v>
      </c>
      <c r="B1596" s="16" t="s">
        <v>8268</v>
      </c>
      <c r="C1596" s="16" t="s">
        <v>8439</v>
      </c>
      <c r="D1596" s="16" t="s">
        <v>21</v>
      </c>
      <c r="E1596" s="36" t="s">
        <v>8456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2200000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8269</v>
      </c>
      <c r="B1597" s="16" t="s">
        <v>8269</v>
      </c>
      <c r="C1597" s="16" t="s">
        <v>8440</v>
      </c>
      <c r="D1597" s="16" t="s">
        <v>21</v>
      </c>
      <c r="E1597" s="36" t="s">
        <v>8456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2400000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8270</v>
      </c>
      <c r="B1598" s="16" t="s">
        <v>8270</v>
      </c>
      <c r="C1598" s="16" t="s">
        <v>8441</v>
      </c>
      <c r="D1598" s="16" t="s">
        <v>21</v>
      </c>
      <c r="E1598" s="36" t="s">
        <v>8456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2700000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8271</v>
      </c>
      <c r="B1599" s="16" t="s">
        <v>8271</v>
      </c>
      <c r="C1599" s="16" t="s">
        <v>8442</v>
      </c>
      <c r="D1599" s="16" t="s">
        <v>21</v>
      </c>
      <c r="E1599" s="36" t="s">
        <v>8456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3000000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8272</v>
      </c>
      <c r="B1600" s="16" t="s">
        <v>8272</v>
      </c>
      <c r="C1600" s="16" t="s">
        <v>8443</v>
      </c>
      <c r="D1600" s="16" t="s">
        <v>21</v>
      </c>
      <c r="E1600" s="36" t="s">
        <v>8456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3300000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8273</v>
      </c>
      <c r="B1601" s="16" t="s">
        <v>8273</v>
      </c>
      <c r="C1601" s="16" t="s">
        <v>8444</v>
      </c>
      <c r="D1601" s="16" t="s">
        <v>21</v>
      </c>
      <c r="E1601" s="36" t="s">
        <v>8456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3600000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8274</v>
      </c>
      <c r="B1602" s="16" t="s">
        <v>8274</v>
      </c>
      <c r="C1602" s="16" t="s">
        <v>8445</v>
      </c>
      <c r="D1602" s="16" t="s">
        <v>21</v>
      </c>
      <c r="E1602" s="36" t="s">
        <v>8456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3900000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8275</v>
      </c>
      <c r="B1603" s="16" t="s">
        <v>8275</v>
      </c>
      <c r="C1603" s="16" t="s">
        <v>8446</v>
      </c>
      <c r="D1603" s="16" t="s">
        <v>21</v>
      </c>
      <c r="E1603" s="36" t="s">
        <v>8456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4300000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8276</v>
      </c>
      <c r="B1604" s="16" t="s">
        <v>8276</v>
      </c>
      <c r="C1604" s="16" t="s">
        <v>8447</v>
      </c>
      <c r="D1604" s="16" t="s">
        <v>21</v>
      </c>
      <c r="E1604" s="36" t="s">
        <v>8456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4700000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8277</v>
      </c>
      <c r="B1605" s="16" t="s">
        <v>8277</v>
      </c>
      <c r="C1605" s="16" t="s">
        <v>8448</v>
      </c>
      <c r="D1605" s="16" t="s">
        <v>21</v>
      </c>
      <c r="E1605" s="36" t="s">
        <v>8456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5100000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8278</v>
      </c>
      <c r="B1606" s="16" t="s">
        <v>8278</v>
      </c>
      <c r="C1606" s="16" t="s">
        <v>8449</v>
      </c>
      <c r="D1606" s="16" t="s">
        <v>21</v>
      </c>
      <c r="E1606" s="36" t="s">
        <v>8456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5600000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8279</v>
      </c>
      <c r="B1607" s="16" t="s">
        <v>8279</v>
      </c>
      <c r="C1607" s="16" t="s">
        <v>8450</v>
      </c>
      <c r="D1607" s="16" t="s">
        <v>21</v>
      </c>
      <c r="E1607" s="36" t="s">
        <v>8456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6200000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8280</v>
      </c>
      <c r="B1608" s="16" t="s">
        <v>8280</v>
      </c>
      <c r="C1608" s="16" t="s">
        <v>8451</v>
      </c>
      <c r="D1608" s="16" t="s">
        <v>21</v>
      </c>
      <c r="E1608" s="36" t="s">
        <v>8456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6800000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8281</v>
      </c>
      <c r="B1609" s="16" t="s">
        <v>8281</v>
      </c>
      <c r="C1609" s="16" t="s">
        <v>8452</v>
      </c>
      <c r="D1609" s="16" t="s">
        <v>21</v>
      </c>
      <c r="E1609" s="36" t="s">
        <v>8456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8285</v>
      </c>
      <c r="K1609" s="16"/>
      <c r="L1609" s="16"/>
      <c r="M1609" s="20">
        <v>7500000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8282</v>
      </c>
      <c r="B1610" s="17" t="s">
        <v>8282</v>
      </c>
      <c r="C1610" s="17" t="s">
        <v>8453</v>
      </c>
      <c r="D1610" s="17" t="s">
        <v>21</v>
      </c>
      <c r="E1610" s="37" t="s">
        <v>8456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8200000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8283</v>
      </c>
      <c r="B1611" s="17" t="s">
        <v>8283</v>
      </c>
      <c r="C1611" s="17" t="s">
        <v>8454</v>
      </c>
      <c r="D1611" s="17" t="s">
        <v>21</v>
      </c>
      <c r="E1611" s="37" t="s">
        <v>8456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9100000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8284</v>
      </c>
      <c r="B1612" s="17" t="s">
        <v>8284</v>
      </c>
      <c r="C1612" s="17" t="s">
        <v>8455</v>
      </c>
      <c r="D1612" s="17" t="s">
        <v>21</v>
      </c>
      <c r="E1612" s="37" t="s">
        <v>8456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7503</v>
      </c>
      <c r="J1612" s="16" t="s">
        <v>8285</v>
      </c>
      <c r="K1612" s="16"/>
      <c r="L1612" s="16"/>
      <c r="M1612" s="21">
        <v>10000000</v>
      </c>
      <c r="N1612" s="19" t="s">
        <v>8472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8536</v>
      </c>
      <c r="B1613" s="16" t="s">
        <v>8115</v>
      </c>
      <c r="C1613" s="16" t="s">
        <v>8706</v>
      </c>
      <c r="D1613" s="16" t="s">
        <v>21</v>
      </c>
      <c r="E1613" s="36" t="s">
        <v>8456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0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8537</v>
      </c>
      <c r="B1614" s="16" t="s">
        <v>8116</v>
      </c>
      <c r="C1614" s="16" t="s">
        <v>8707</v>
      </c>
      <c r="D1614" s="16" t="s">
        <v>21</v>
      </c>
      <c r="E1614" s="36" t="s">
        <v>8456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8538</v>
      </c>
      <c r="B1615" s="16" t="s">
        <v>8117</v>
      </c>
      <c r="C1615" s="16" t="s">
        <v>8708</v>
      </c>
      <c r="D1615" s="16" t="s">
        <v>21</v>
      </c>
      <c r="E1615" s="36" t="s">
        <v>8456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1.1000000000000001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8539</v>
      </c>
      <c r="B1616" s="16" t="s">
        <v>8118</v>
      </c>
      <c r="C1616" s="16" t="s">
        <v>8709</v>
      </c>
      <c r="D1616" s="16" t="s">
        <v>21</v>
      </c>
      <c r="E1616" s="36" t="s">
        <v>8456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1.2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8540</v>
      </c>
      <c r="B1617" s="16" t="s">
        <v>8119</v>
      </c>
      <c r="C1617" s="16" t="s">
        <v>8710</v>
      </c>
      <c r="D1617" s="16" t="s">
        <v>21</v>
      </c>
      <c r="E1617" s="36" t="s">
        <v>8456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1.3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8541</v>
      </c>
      <c r="B1618" s="16" t="s">
        <v>8120</v>
      </c>
      <c r="C1618" s="16" t="s">
        <v>8711</v>
      </c>
      <c r="D1618" s="16" t="s">
        <v>21</v>
      </c>
      <c r="E1618" s="36" t="s">
        <v>8456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1.5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8542</v>
      </c>
      <c r="B1619" s="16" t="s">
        <v>8121</v>
      </c>
      <c r="C1619" s="16" t="s">
        <v>8712</v>
      </c>
      <c r="D1619" s="16" t="s">
        <v>21</v>
      </c>
      <c r="E1619" s="36" t="s">
        <v>8456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1.6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8543</v>
      </c>
      <c r="B1620" s="16" t="s">
        <v>8122</v>
      </c>
      <c r="C1620" s="16" t="s">
        <v>8713</v>
      </c>
      <c r="D1620" s="16" t="s">
        <v>21</v>
      </c>
      <c r="E1620" s="36" t="s">
        <v>8456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1.8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8544</v>
      </c>
      <c r="B1621" s="16" t="s">
        <v>8123</v>
      </c>
      <c r="C1621" s="16" t="s">
        <v>8714</v>
      </c>
      <c r="D1621" s="16" t="s">
        <v>21</v>
      </c>
      <c r="E1621" s="36" t="s">
        <v>8456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8545</v>
      </c>
      <c r="B1622" s="16" t="s">
        <v>8124</v>
      </c>
      <c r="C1622" s="16" t="s">
        <v>8715</v>
      </c>
      <c r="D1622" s="16" t="s">
        <v>21</v>
      </c>
      <c r="E1622" s="36" t="s">
        <v>8456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2.2000000000000002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8546</v>
      </c>
      <c r="B1623" s="16" t="s">
        <v>8125</v>
      </c>
      <c r="C1623" s="16" t="s">
        <v>8716</v>
      </c>
      <c r="D1623" s="16" t="s">
        <v>21</v>
      </c>
      <c r="E1623" s="36" t="s">
        <v>8456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2.4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8547</v>
      </c>
      <c r="B1624" s="16" t="s">
        <v>8126</v>
      </c>
      <c r="C1624" s="16" t="s">
        <v>8717</v>
      </c>
      <c r="D1624" s="16" t="s">
        <v>21</v>
      </c>
      <c r="E1624" s="36" t="s">
        <v>8456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2.7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8548</v>
      </c>
      <c r="B1625" s="16" t="s">
        <v>8127</v>
      </c>
      <c r="C1625" s="16" t="s">
        <v>8718</v>
      </c>
      <c r="D1625" s="16" t="s">
        <v>21</v>
      </c>
      <c r="E1625" s="36" t="s">
        <v>8456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8549</v>
      </c>
      <c r="B1626" s="16" t="s">
        <v>8128</v>
      </c>
      <c r="C1626" s="16" t="s">
        <v>8719</v>
      </c>
      <c r="D1626" s="16" t="s">
        <v>21</v>
      </c>
      <c r="E1626" s="36" t="s">
        <v>8456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3.3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8550</v>
      </c>
      <c r="B1627" s="16" t="s">
        <v>8129</v>
      </c>
      <c r="C1627" s="16" t="s">
        <v>8720</v>
      </c>
      <c r="D1627" s="16" t="s">
        <v>21</v>
      </c>
      <c r="E1627" s="36" t="s">
        <v>8456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3.6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8551</v>
      </c>
      <c r="B1628" s="16" t="s">
        <v>8130</v>
      </c>
      <c r="C1628" s="16" t="s">
        <v>8721</v>
      </c>
      <c r="D1628" s="16" t="s">
        <v>21</v>
      </c>
      <c r="E1628" s="36" t="s">
        <v>8456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3.9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8552</v>
      </c>
      <c r="B1629" s="16" t="s">
        <v>8131</v>
      </c>
      <c r="C1629" s="16" t="s">
        <v>8722</v>
      </c>
      <c r="D1629" s="16" t="s">
        <v>21</v>
      </c>
      <c r="E1629" s="36" t="s">
        <v>8456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4.3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8553</v>
      </c>
      <c r="B1630" s="16" t="s">
        <v>8132</v>
      </c>
      <c r="C1630" s="16" t="s">
        <v>8723</v>
      </c>
      <c r="D1630" s="16" t="s">
        <v>21</v>
      </c>
      <c r="E1630" s="36" t="s">
        <v>8456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4.7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8554</v>
      </c>
      <c r="B1631" s="16" t="s">
        <v>8133</v>
      </c>
      <c r="C1631" s="16" t="s">
        <v>8724</v>
      </c>
      <c r="D1631" s="16" t="s">
        <v>21</v>
      </c>
      <c r="E1631" s="36" t="s">
        <v>8456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5.0999999999999996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8555</v>
      </c>
      <c r="B1632" s="16" t="s">
        <v>8134</v>
      </c>
      <c r="C1632" s="16" t="s">
        <v>8725</v>
      </c>
      <c r="D1632" s="16" t="s">
        <v>21</v>
      </c>
      <c r="E1632" s="36" t="s">
        <v>8456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5.6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8556</v>
      </c>
      <c r="B1633" s="16" t="s">
        <v>8135</v>
      </c>
      <c r="C1633" s="16" t="s">
        <v>8726</v>
      </c>
      <c r="D1633" s="16" t="s">
        <v>21</v>
      </c>
      <c r="E1633" s="36" t="s">
        <v>8456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6.2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8557</v>
      </c>
      <c r="B1634" s="16" t="s">
        <v>8136</v>
      </c>
      <c r="C1634" s="16" t="s">
        <v>8727</v>
      </c>
      <c r="D1634" s="16" t="s">
        <v>21</v>
      </c>
      <c r="E1634" s="36" t="s">
        <v>8456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6.8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8558</v>
      </c>
      <c r="B1635" s="16" t="s">
        <v>8137</v>
      </c>
      <c r="C1635" s="16" t="s">
        <v>8728</v>
      </c>
      <c r="D1635" s="16" t="s">
        <v>21</v>
      </c>
      <c r="E1635" s="36" t="s">
        <v>8456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7.5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8559</v>
      </c>
      <c r="B1636" s="16" t="s">
        <v>8138</v>
      </c>
      <c r="C1636" s="16" t="s">
        <v>8729</v>
      </c>
      <c r="D1636" s="16" t="s">
        <v>21</v>
      </c>
      <c r="E1636" s="36" t="s">
        <v>8456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8.1999999999999993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8560</v>
      </c>
      <c r="B1637" s="16" t="s">
        <v>8139</v>
      </c>
      <c r="C1637" s="16" t="s">
        <v>8730</v>
      </c>
      <c r="D1637" s="16" t="s">
        <v>21</v>
      </c>
      <c r="E1637" s="36" t="s">
        <v>8456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19">
        <v>9.1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8561</v>
      </c>
      <c r="B1638" s="16" t="s">
        <v>8140</v>
      </c>
      <c r="C1638" s="16" t="s">
        <v>8731</v>
      </c>
      <c r="D1638" s="16" t="s">
        <v>21</v>
      </c>
      <c r="E1638" s="36" t="s">
        <v>8456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10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8562</v>
      </c>
      <c r="B1639" s="16" t="s">
        <v>8141</v>
      </c>
      <c r="C1639" s="16" t="s">
        <v>8732</v>
      </c>
      <c r="D1639" s="16" t="s">
        <v>21</v>
      </c>
      <c r="E1639" s="36" t="s">
        <v>8456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11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8563</v>
      </c>
      <c r="B1640" s="16" t="s">
        <v>8142</v>
      </c>
      <c r="C1640" s="16" t="s">
        <v>8733</v>
      </c>
      <c r="D1640" s="16" t="s">
        <v>21</v>
      </c>
      <c r="E1640" s="36" t="s">
        <v>8456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12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8564</v>
      </c>
      <c r="B1641" s="16" t="s">
        <v>8143</v>
      </c>
      <c r="C1641" s="16" t="s">
        <v>8734</v>
      </c>
      <c r="D1641" s="16" t="s">
        <v>21</v>
      </c>
      <c r="E1641" s="36" t="s">
        <v>8456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13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8565</v>
      </c>
      <c r="B1642" s="16" t="s">
        <v>8144</v>
      </c>
      <c r="C1642" s="16" t="s">
        <v>8735</v>
      </c>
      <c r="D1642" s="16" t="s">
        <v>21</v>
      </c>
      <c r="E1642" s="36" t="s">
        <v>8456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15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8566</v>
      </c>
      <c r="B1643" s="16" t="s">
        <v>8145</v>
      </c>
      <c r="C1643" s="16" t="s">
        <v>8736</v>
      </c>
      <c r="D1643" s="16" t="s">
        <v>21</v>
      </c>
      <c r="E1643" s="36" t="s">
        <v>8456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16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8567</v>
      </c>
      <c r="B1644" s="16" t="s">
        <v>8146</v>
      </c>
      <c r="C1644" s="16" t="s">
        <v>8737</v>
      </c>
      <c r="D1644" s="16" t="s">
        <v>21</v>
      </c>
      <c r="E1644" s="36" t="s">
        <v>8456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18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8568</v>
      </c>
      <c r="B1645" s="16" t="s">
        <v>8147</v>
      </c>
      <c r="C1645" s="16" t="s">
        <v>8738</v>
      </c>
      <c r="D1645" s="16" t="s">
        <v>21</v>
      </c>
      <c r="E1645" s="36" t="s">
        <v>8456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8569</v>
      </c>
      <c r="B1646" s="16" t="s">
        <v>8148</v>
      </c>
      <c r="C1646" s="16" t="s">
        <v>8739</v>
      </c>
      <c r="D1646" s="16" t="s">
        <v>21</v>
      </c>
      <c r="E1646" s="36" t="s">
        <v>8456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22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8570</v>
      </c>
      <c r="B1647" s="16" t="s">
        <v>8149</v>
      </c>
      <c r="C1647" s="16" t="s">
        <v>8740</v>
      </c>
      <c r="D1647" s="16" t="s">
        <v>21</v>
      </c>
      <c r="E1647" s="36" t="s">
        <v>8456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24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8571</v>
      </c>
      <c r="B1648" s="16" t="s">
        <v>8150</v>
      </c>
      <c r="C1648" s="16" t="s">
        <v>8741</v>
      </c>
      <c r="D1648" s="16" t="s">
        <v>21</v>
      </c>
      <c r="E1648" s="36" t="s">
        <v>8456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27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8572</v>
      </c>
      <c r="B1649" s="16" t="s">
        <v>8151</v>
      </c>
      <c r="C1649" s="16" t="s">
        <v>8742</v>
      </c>
      <c r="D1649" s="16" t="s">
        <v>21</v>
      </c>
      <c r="E1649" s="36" t="s">
        <v>8456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8573</v>
      </c>
      <c r="B1650" s="16" t="s">
        <v>8152</v>
      </c>
      <c r="C1650" s="16" t="s">
        <v>8743</v>
      </c>
      <c r="D1650" s="16" t="s">
        <v>21</v>
      </c>
      <c r="E1650" s="36" t="s">
        <v>8456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33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8574</v>
      </c>
      <c r="B1651" s="16" t="s">
        <v>8153</v>
      </c>
      <c r="C1651" s="16" t="s">
        <v>8744</v>
      </c>
      <c r="D1651" s="16" t="s">
        <v>21</v>
      </c>
      <c r="E1651" s="36" t="s">
        <v>8456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36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8575</v>
      </c>
      <c r="B1652" s="16" t="s">
        <v>8154</v>
      </c>
      <c r="C1652" s="16" t="s">
        <v>8745</v>
      </c>
      <c r="D1652" s="16" t="s">
        <v>21</v>
      </c>
      <c r="E1652" s="36" t="s">
        <v>8456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39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8576</v>
      </c>
      <c r="B1653" s="16" t="s">
        <v>8155</v>
      </c>
      <c r="C1653" s="16" t="s">
        <v>8746</v>
      </c>
      <c r="D1653" s="16" t="s">
        <v>21</v>
      </c>
      <c r="E1653" s="36" t="s">
        <v>8456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43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8577</v>
      </c>
      <c r="B1654" s="16" t="s">
        <v>8156</v>
      </c>
      <c r="C1654" s="16" t="s">
        <v>8747</v>
      </c>
      <c r="D1654" s="16" t="s">
        <v>21</v>
      </c>
      <c r="E1654" s="36" t="s">
        <v>8456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47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8578</v>
      </c>
      <c r="B1655" s="16" t="s">
        <v>8157</v>
      </c>
      <c r="C1655" s="16" t="s">
        <v>8748</v>
      </c>
      <c r="D1655" s="16" t="s">
        <v>21</v>
      </c>
      <c r="E1655" s="36" t="s">
        <v>8456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51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8579</v>
      </c>
      <c r="B1656" s="16" t="s">
        <v>8158</v>
      </c>
      <c r="C1656" s="16" t="s">
        <v>8749</v>
      </c>
      <c r="D1656" s="16" t="s">
        <v>21</v>
      </c>
      <c r="E1656" s="36" t="s">
        <v>8456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56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8580</v>
      </c>
      <c r="B1657" s="16" t="s">
        <v>8159</v>
      </c>
      <c r="C1657" s="16" t="s">
        <v>8750</v>
      </c>
      <c r="D1657" s="16" t="s">
        <v>21</v>
      </c>
      <c r="E1657" s="36" t="s">
        <v>8456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62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8581</v>
      </c>
      <c r="B1658" s="16" t="s">
        <v>8160</v>
      </c>
      <c r="C1658" s="16" t="s">
        <v>8751</v>
      </c>
      <c r="D1658" s="16" t="s">
        <v>21</v>
      </c>
      <c r="E1658" s="36" t="s">
        <v>8456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68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8582</v>
      </c>
      <c r="B1659" s="16" t="s">
        <v>8161</v>
      </c>
      <c r="C1659" s="16" t="s">
        <v>8752</v>
      </c>
      <c r="D1659" s="16" t="s">
        <v>21</v>
      </c>
      <c r="E1659" s="36" t="s">
        <v>8456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75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8583</v>
      </c>
      <c r="B1660" s="16" t="s">
        <v>8162</v>
      </c>
      <c r="C1660" s="16" t="s">
        <v>8753</v>
      </c>
      <c r="D1660" s="16" t="s">
        <v>21</v>
      </c>
      <c r="E1660" s="36" t="s">
        <v>8456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82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8584</v>
      </c>
      <c r="B1661" s="16" t="s">
        <v>8163</v>
      </c>
      <c r="C1661" s="16" t="s">
        <v>8754</v>
      </c>
      <c r="D1661" s="16" t="s">
        <v>21</v>
      </c>
      <c r="E1661" s="36" t="s">
        <v>8456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91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8585</v>
      </c>
      <c r="B1662" s="16" t="s">
        <v>8164</v>
      </c>
      <c r="C1662" s="16" t="s">
        <v>8755</v>
      </c>
      <c r="D1662" s="16" t="s">
        <v>21</v>
      </c>
      <c r="E1662" s="36" t="s">
        <v>8456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100</v>
      </c>
      <c r="N1662" s="19" t="s">
        <v>8472</v>
      </c>
      <c r="O1662" s="16" t="s">
        <v>4414</v>
      </c>
      <c r="P1662" s="16" t="s">
        <v>8474</v>
      </c>
      <c r="Q1662" s="16" t="s">
        <v>25</v>
      </c>
      <c r="R1662" s="16" t="s">
        <v>10591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8586</v>
      </c>
      <c r="B1663" s="16" t="s">
        <v>8165</v>
      </c>
      <c r="C1663" s="16" t="s">
        <v>8756</v>
      </c>
      <c r="D1663" s="16" t="s">
        <v>21</v>
      </c>
      <c r="E1663" s="36" t="s">
        <v>8456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110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8587</v>
      </c>
      <c r="B1664" s="16" t="s">
        <v>8166</v>
      </c>
      <c r="C1664" s="16" t="s">
        <v>8757</v>
      </c>
      <c r="D1664" s="16" t="s">
        <v>21</v>
      </c>
      <c r="E1664" s="36" t="s">
        <v>8456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120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8588</v>
      </c>
      <c r="B1665" s="16" t="s">
        <v>8167</v>
      </c>
      <c r="C1665" s="16" t="s">
        <v>8758</v>
      </c>
      <c r="D1665" s="16" t="s">
        <v>21</v>
      </c>
      <c r="E1665" s="36" t="s">
        <v>8456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130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8589</v>
      </c>
      <c r="B1666" s="16" t="s">
        <v>8168</v>
      </c>
      <c r="C1666" s="16" t="s">
        <v>8759</v>
      </c>
      <c r="D1666" s="16" t="s">
        <v>21</v>
      </c>
      <c r="E1666" s="36" t="s">
        <v>8456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150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8590</v>
      </c>
      <c r="B1667" s="16" t="s">
        <v>8169</v>
      </c>
      <c r="C1667" s="16" t="s">
        <v>8760</v>
      </c>
      <c r="D1667" s="16" t="s">
        <v>21</v>
      </c>
      <c r="E1667" s="36" t="s">
        <v>8456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160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8591</v>
      </c>
      <c r="B1668" s="16" t="s">
        <v>8170</v>
      </c>
      <c r="C1668" s="16" t="s">
        <v>8761</v>
      </c>
      <c r="D1668" s="16" t="s">
        <v>21</v>
      </c>
      <c r="E1668" s="36" t="s">
        <v>8456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180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8592</v>
      </c>
      <c r="B1669" s="16" t="s">
        <v>8171</v>
      </c>
      <c r="C1669" s="16" t="s">
        <v>8762</v>
      </c>
      <c r="D1669" s="16" t="s">
        <v>21</v>
      </c>
      <c r="E1669" s="36" t="s">
        <v>8456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8593</v>
      </c>
      <c r="B1670" s="16" t="s">
        <v>8172</v>
      </c>
      <c r="C1670" s="16" t="s">
        <v>8763</v>
      </c>
      <c r="D1670" s="16" t="s">
        <v>21</v>
      </c>
      <c r="E1670" s="36" t="s">
        <v>8456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220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8594</v>
      </c>
      <c r="B1671" s="16" t="s">
        <v>8173</v>
      </c>
      <c r="C1671" s="16" t="s">
        <v>8764</v>
      </c>
      <c r="D1671" s="16" t="s">
        <v>21</v>
      </c>
      <c r="E1671" s="36" t="s">
        <v>8456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240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8595</v>
      </c>
      <c r="B1672" s="16" t="s">
        <v>8174</v>
      </c>
      <c r="C1672" s="16" t="s">
        <v>8765</v>
      </c>
      <c r="D1672" s="16" t="s">
        <v>21</v>
      </c>
      <c r="E1672" s="36" t="s">
        <v>8456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270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8596</v>
      </c>
      <c r="B1673" s="16" t="s">
        <v>8175</v>
      </c>
      <c r="C1673" s="16" t="s">
        <v>8766</v>
      </c>
      <c r="D1673" s="16" t="s">
        <v>21</v>
      </c>
      <c r="E1673" s="36" t="s">
        <v>8456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8597</v>
      </c>
      <c r="B1674" s="16" t="s">
        <v>8176</v>
      </c>
      <c r="C1674" s="16" t="s">
        <v>8767</v>
      </c>
      <c r="D1674" s="16" t="s">
        <v>21</v>
      </c>
      <c r="E1674" s="36" t="s">
        <v>8456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330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8598</v>
      </c>
      <c r="B1675" s="16" t="s">
        <v>8177</v>
      </c>
      <c r="C1675" s="16" t="s">
        <v>8768</v>
      </c>
      <c r="D1675" s="16" t="s">
        <v>21</v>
      </c>
      <c r="E1675" s="36" t="s">
        <v>8456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360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8599</v>
      </c>
      <c r="B1676" s="16" t="s">
        <v>8178</v>
      </c>
      <c r="C1676" s="16" t="s">
        <v>8769</v>
      </c>
      <c r="D1676" s="16" t="s">
        <v>21</v>
      </c>
      <c r="E1676" s="36" t="s">
        <v>8456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390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8600</v>
      </c>
      <c r="B1677" s="16" t="s">
        <v>8179</v>
      </c>
      <c r="C1677" s="16" t="s">
        <v>8770</v>
      </c>
      <c r="D1677" s="16" t="s">
        <v>21</v>
      </c>
      <c r="E1677" s="36" t="s">
        <v>8456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430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8601</v>
      </c>
      <c r="B1678" s="16" t="s">
        <v>8180</v>
      </c>
      <c r="C1678" s="16" t="s">
        <v>8771</v>
      </c>
      <c r="D1678" s="16" t="s">
        <v>21</v>
      </c>
      <c r="E1678" s="36" t="s">
        <v>8456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470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8602</v>
      </c>
      <c r="B1679" s="16" t="s">
        <v>8181</v>
      </c>
      <c r="C1679" s="16" t="s">
        <v>8772</v>
      </c>
      <c r="D1679" s="16" t="s">
        <v>21</v>
      </c>
      <c r="E1679" s="36" t="s">
        <v>8456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510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8603</v>
      </c>
      <c r="B1680" s="16" t="s">
        <v>8182</v>
      </c>
      <c r="C1680" s="16" t="s">
        <v>8773</v>
      </c>
      <c r="D1680" s="16" t="s">
        <v>21</v>
      </c>
      <c r="E1680" s="36" t="s">
        <v>8456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560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8604</v>
      </c>
      <c r="B1681" s="16" t="s">
        <v>8183</v>
      </c>
      <c r="C1681" s="16" t="s">
        <v>8774</v>
      </c>
      <c r="D1681" s="16" t="s">
        <v>21</v>
      </c>
      <c r="E1681" s="36" t="s">
        <v>8456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620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8605</v>
      </c>
      <c r="B1682" s="16" t="s">
        <v>8184</v>
      </c>
      <c r="C1682" s="16" t="s">
        <v>8775</v>
      </c>
      <c r="D1682" s="16" t="s">
        <v>21</v>
      </c>
      <c r="E1682" s="36" t="s">
        <v>8456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680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8606</v>
      </c>
      <c r="B1683" s="16" t="s">
        <v>8185</v>
      </c>
      <c r="C1683" s="16" t="s">
        <v>8776</v>
      </c>
      <c r="D1683" s="16" t="s">
        <v>21</v>
      </c>
      <c r="E1683" s="36" t="s">
        <v>8456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750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8607</v>
      </c>
      <c r="B1684" s="16" t="s">
        <v>8186</v>
      </c>
      <c r="C1684" s="16" t="s">
        <v>8777</v>
      </c>
      <c r="D1684" s="16" t="s">
        <v>21</v>
      </c>
      <c r="E1684" s="36" t="s">
        <v>8456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820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8608</v>
      </c>
      <c r="B1685" s="16" t="s">
        <v>8187</v>
      </c>
      <c r="C1685" s="16" t="s">
        <v>8778</v>
      </c>
      <c r="D1685" s="16" t="s">
        <v>21</v>
      </c>
      <c r="E1685" s="36" t="s">
        <v>8456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910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8609</v>
      </c>
      <c r="B1686" s="16" t="s">
        <v>8188</v>
      </c>
      <c r="C1686" s="16" t="s">
        <v>8779</v>
      </c>
      <c r="D1686" s="16" t="s">
        <v>21</v>
      </c>
      <c r="E1686" s="36" t="s">
        <v>8456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1000</v>
      </c>
      <c r="N1686" s="19" t="s">
        <v>8472</v>
      </c>
      <c r="O1686" s="16" t="s">
        <v>4414</v>
      </c>
      <c r="P1686" s="16" t="s">
        <v>8473</v>
      </c>
      <c r="Q1686" s="16" t="s">
        <v>25</v>
      </c>
      <c r="R1686" s="16" t="s">
        <v>10592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8610</v>
      </c>
      <c r="B1687" s="16" t="s">
        <v>8189</v>
      </c>
      <c r="C1687" s="16" t="s">
        <v>8780</v>
      </c>
      <c r="D1687" s="16" t="s">
        <v>21</v>
      </c>
      <c r="E1687" s="36" t="s">
        <v>8456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1100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8611</v>
      </c>
      <c r="B1688" s="16" t="s">
        <v>8190</v>
      </c>
      <c r="C1688" s="16" t="s">
        <v>8781</v>
      </c>
      <c r="D1688" s="16" t="s">
        <v>21</v>
      </c>
      <c r="E1688" s="36" t="s">
        <v>8456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1200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8612</v>
      </c>
      <c r="B1689" s="16" t="s">
        <v>8191</v>
      </c>
      <c r="C1689" s="16" t="s">
        <v>8782</v>
      </c>
      <c r="D1689" s="16" t="s">
        <v>21</v>
      </c>
      <c r="E1689" s="36" t="s">
        <v>8456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1300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8613</v>
      </c>
      <c r="B1690" s="16" t="s">
        <v>8192</v>
      </c>
      <c r="C1690" s="16" t="s">
        <v>8783</v>
      </c>
      <c r="D1690" s="16" t="s">
        <v>21</v>
      </c>
      <c r="E1690" s="36" t="s">
        <v>8456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1500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8614</v>
      </c>
      <c r="B1691" s="16" t="s">
        <v>8193</v>
      </c>
      <c r="C1691" s="16" t="s">
        <v>8784</v>
      </c>
      <c r="D1691" s="16" t="s">
        <v>21</v>
      </c>
      <c r="E1691" s="36" t="s">
        <v>8456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1600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8615</v>
      </c>
      <c r="B1692" s="16" t="s">
        <v>8194</v>
      </c>
      <c r="C1692" s="16" t="s">
        <v>8785</v>
      </c>
      <c r="D1692" s="16" t="s">
        <v>21</v>
      </c>
      <c r="E1692" s="36" t="s">
        <v>8456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1800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8616</v>
      </c>
      <c r="B1693" s="16" t="s">
        <v>8195</v>
      </c>
      <c r="C1693" s="16" t="s">
        <v>8786</v>
      </c>
      <c r="D1693" s="16" t="s">
        <v>21</v>
      </c>
      <c r="E1693" s="36" t="s">
        <v>8456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8617</v>
      </c>
      <c r="B1694" s="16" t="s">
        <v>8196</v>
      </c>
      <c r="C1694" s="16" t="s">
        <v>8787</v>
      </c>
      <c r="D1694" s="16" t="s">
        <v>21</v>
      </c>
      <c r="E1694" s="36" t="s">
        <v>8456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2200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8618</v>
      </c>
      <c r="B1695" s="16" t="s">
        <v>8197</v>
      </c>
      <c r="C1695" s="16" t="s">
        <v>8788</v>
      </c>
      <c r="D1695" s="16" t="s">
        <v>21</v>
      </c>
      <c r="E1695" s="36" t="s">
        <v>8456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2400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8619</v>
      </c>
      <c r="B1696" s="16" t="s">
        <v>8198</v>
      </c>
      <c r="C1696" s="16" t="s">
        <v>8789</v>
      </c>
      <c r="D1696" s="16" t="s">
        <v>21</v>
      </c>
      <c r="E1696" s="36" t="s">
        <v>8456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2700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8620</v>
      </c>
      <c r="B1697" s="16" t="s">
        <v>8199</v>
      </c>
      <c r="C1697" s="16" t="s">
        <v>8790</v>
      </c>
      <c r="D1697" s="16" t="s">
        <v>21</v>
      </c>
      <c r="E1697" s="36" t="s">
        <v>8456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8621</v>
      </c>
      <c r="B1698" s="16" t="s">
        <v>8200</v>
      </c>
      <c r="C1698" s="16" t="s">
        <v>8791</v>
      </c>
      <c r="D1698" s="16" t="s">
        <v>21</v>
      </c>
      <c r="E1698" s="36" t="s">
        <v>8456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3300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8622</v>
      </c>
      <c r="B1699" s="16" t="s">
        <v>8201</v>
      </c>
      <c r="C1699" s="16" t="s">
        <v>8792</v>
      </c>
      <c r="D1699" s="16" t="s">
        <v>21</v>
      </c>
      <c r="E1699" s="36" t="s">
        <v>8456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3600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8623</v>
      </c>
      <c r="B1700" s="16" t="s">
        <v>8202</v>
      </c>
      <c r="C1700" s="16" t="s">
        <v>8793</v>
      </c>
      <c r="D1700" s="16" t="s">
        <v>21</v>
      </c>
      <c r="E1700" s="36" t="s">
        <v>8456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3900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8624</v>
      </c>
      <c r="B1701" s="16" t="s">
        <v>8203</v>
      </c>
      <c r="C1701" s="16" t="s">
        <v>8794</v>
      </c>
      <c r="D1701" s="16" t="s">
        <v>21</v>
      </c>
      <c r="E1701" s="36" t="s">
        <v>8456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4300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8625</v>
      </c>
      <c r="B1702" s="16" t="s">
        <v>8204</v>
      </c>
      <c r="C1702" s="16" t="s">
        <v>8795</v>
      </c>
      <c r="D1702" s="16" t="s">
        <v>21</v>
      </c>
      <c r="E1702" s="36" t="s">
        <v>8456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4700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8626</v>
      </c>
      <c r="B1703" s="16" t="s">
        <v>8205</v>
      </c>
      <c r="C1703" s="16" t="s">
        <v>8796</v>
      </c>
      <c r="D1703" s="16" t="s">
        <v>21</v>
      </c>
      <c r="E1703" s="36" t="s">
        <v>8456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5100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8627</v>
      </c>
      <c r="B1704" s="16" t="s">
        <v>8206</v>
      </c>
      <c r="C1704" s="16" t="s">
        <v>8797</v>
      </c>
      <c r="D1704" s="16" t="s">
        <v>21</v>
      </c>
      <c r="E1704" s="36" t="s">
        <v>8456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5600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8628</v>
      </c>
      <c r="B1705" s="16" t="s">
        <v>8207</v>
      </c>
      <c r="C1705" s="16" t="s">
        <v>8798</v>
      </c>
      <c r="D1705" s="16" t="s">
        <v>21</v>
      </c>
      <c r="E1705" s="36" t="s">
        <v>8456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6200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8629</v>
      </c>
      <c r="B1706" s="16" t="s">
        <v>8208</v>
      </c>
      <c r="C1706" s="16" t="s">
        <v>8799</v>
      </c>
      <c r="D1706" s="16" t="s">
        <v>21</v>
      </c>
      <c r="E1706" s="36" t="s">
        <v>8456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6800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8630</v>
      </c>
      <c r="B1707" s="16" t="s">
        <v>8209</v>
      </c>
      <c r="C1707" s="16" t="s">
        <v>8800</v>
      </c>
      <c r="D1707" s="16" t="s">
        <v>21</v>
      </c>
      <c r="E1707" s="36" t="s">
        <v>8456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7500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8631</v>
      </c>
      <c r="B1708" s="16" t="s">
        <v>8210</v>
      </c>
      <c r="C1708" s="16" t="s">
        <v>8801</v>
      </c>
      <c r="D1708" s="16" t="s">
        <v>21</v>
      </c>
      <c r="E1708" s="36" t="s">
        <v>8456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8200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8632</v>
      </c>
      <c r="B1709" s="16" t="s">
        <v>8211</v>
      </c>
      <c r="C1709" s="16" t="s">
        <v>8802</v>
      </c>
      <c r="D1709" s="16" t="s">
        <v>21</v>
      </c>
      <c r="E1709" s="36" t="s">
        <v>8456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9100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8633</v>
      </c>
      <c r="B1710" s="16" t="s">
        <v>8212</v>
      </c>
      <c r="C1710" s="16" t="s">
        <v>8803</v>
      </c>
      <c r="D1710" s="16" t="s">
        <v>21</v>
      </c>
      <c r="E1710" s="36" t="s">
        <v>8456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10000</v>
      </c>
      <c r="N1710" s="19" t="s">
        <v>8472</v>
      </c>
      <c r="O1710" s="16" t="s">
        <v>4414</v>
      </c>
      <c r="P1710" s="16" t="s">
        <v>8457</v>
      </c>
      <c r="Q1710" s="16" t="s">
        <v>25</v>
      </c>
      <c r="R1710" s="16" t="s">
        <v>10593</v>
      </c>
      <c r="S1710" s="16" t="s">
        <v>4414</v>
      </c>
      <c r="T1710" s="16" t="s">
        <v>8457</v>
      </c>
      <c r="U1710" s="16" t="s">
        <v>8459</v>
      </c>
      <c r="V1710" s="16" t="s">
        <v>8460</v>
      </c>
      <c r="W1710" s="17"/>
      <c r="X1710" s="17"/>
      <c r="Y1710" s="16"/>
      <c r="Z1710" s="17"/>
      <c r="AA1710" s="17"/>
      <c r="AB1710" s="17"/>
    </row>
    <row r="1711" spans="1:28">
      <c r="A1711" s="16" t="s">
        <v>8634</v>
      </c>
      <c r="B1711" s="16" t="s">
        <v>8213</v>
      </c>
      <c r="C1711" s="16" t="s">
        <v>8804</v>
      </c>
      <c r="D1711" s="16" t="s">
        <v>21</v>
      </c>
      <c r="E1711" s="36" t="s">
        <v>8456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11000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8635</v>
      </c>
      <c r="B1712" s="16" t="s">
        <v>8214</v>
      </c>
      <c r="C1712" s="16" t="s">
        <v>8805</v>
      </c>
      <c r="D1712" s="16" t="s">
        <v>21</v>
      </c>
      <c r="E1712" s="36" t="s">
        <v>8456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12000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8636</v>
      </c>
      <c r="B1713" s="16" t="s">
        <v>8215</v>
      </c>
      <c r="C1713" s="16" t="s">
        <v>8806</v>
      </c>
      <c r="D1713" s="16" t="s">
        <v>21</v>
      </c>
      <c r="E1713" s="36" t="s">
        <v>8456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13000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8637</v>
      </c>
      <c r="B1714" s="16" t="s">
        <v>8216</v>
      </c>
      <c r="C1714" s="16" t="s">
        <v>8807</v>
      </c>
      <c r="D1714" s="16" t="s">
        <v>21</v>
      </c>
      <c r="E1714" s="36" t="s">
        <v>8456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15000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8638</v>
      </c>
      <c r="B1715" s="16" t="s">
        <v>8217</v>
      </c>
      <c r="C1715" s="16" t="s">
        <v>8808</v>
      </c>
      <c r="D1715" s="16" t="s">
        <v>21</v>
      </c>
      <c r="E1715" s="36" t="s">
        <v>8456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16000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8639</v>
      </c>
      <c r="B1716" s="16" t="s">
        <v>8218</v>
      </c>
      <c r="C1716" s="16" t="s">
        <v>8809</v>
      </c>
      <c r="D1716" s="16" t="s">
        <v>21</v>
      </c>
      <c r="E1716" s="36" t="s">
        <v>8456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18000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8640</v>
      </c>
      <c r="B1717" s="16" t="s">
        <v>8219</v>
      </c>
      <c r="C1717" s="16" t="s">
        <v>8810</v>
      </c>
      <c r="D1717" s="16" t="s">
        <v>21</v>
      </c>
      <c r="E1717" s="36" t="s">
        <v>8456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8641</v>
      </c>
      <c r="B1718" s="16" t="s">
        <v>8220</v>
      </c>
      <c r="C1718" s="16" t="s">
        <v>8811</v>
      </c>
      <c r="D1718" s="16" t="s">
        <v>21</v>
      </c>
      <c r="E1718" s="36" t="s">
        <v>8456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22000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8642</v>
      </c>
      <c r="B1719" s="16" t="s">
        <v>8221</v>
      </c>
      <c r="C1719" s="16" t="s">
        <v>8812</v>
      </c>
      <c r="D1719" s="16" t="s">
        <v>21</v>
      </c>
      <c r="E1719" s="36" t="s">
        <v>8456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24000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8643</v>
      </c>
      <c r="B1720" s="16" t="s">
        <v>8222</v>
      </c>
      <c r="C1720" s="16" t="s">
        <v>8813</v>
      </c>
      <c r="D1720" s="16" t="s">
        <v>21</v>
      </c>
      <c r="E1720" s="36" t="s">
        <v>8456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27000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8644</v>
      </c>
      <c r="B1721" s="16" t="s">
        <v>8223</v>
      </c>
      <c r="C1721" s="16" t="s">
        <v>8814</v>
      </c>
      <c r="D1721" s="16" t="s">
        <v>21</v>
      </c>
      <c r="E1721" s="36" t="s">
        <v>8456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8645</v>
      </c>
      <c r="B1722" s="16" t="s">
        <v>8224</v>
      </c>
      <c r="C1722" s="16" t="s">
        <v>8815</v>
      </c>
      <c r="D1722" s="16" t="s">
        <v>21</v>
      </c>
      <c r="E1722" s="36" t="s">
        <v>8456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33000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8646</v>
      </c>
      <c r="B1723" s="16" t="s">
        <v>8225</v>
      </c>
      <c r="C1723" s="16" t="s">
        <v>8816</v>
      </c>
      <c r="D1723" s="16" t="s">
        <v>21</v>
      </c>
      <c r="E1723" s="36" t="s">
        <v>8456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36000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8647</v>
      </c>
      <c r="B1724" s="16" t="s">
        <v>8226</v>
      </c>
      <c r="C1724" s="16" t="s">
        <v>8817</v>
      </c>
      <c r="D1724" s="16" t="s">
        <v>21</v>
      </c>
      <c r="E1724" s="36" t="s">
        <v>8456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39000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8648</v>
      </c>
      <c r="B1725" s="16" t="s">
        <v>8227</v>
      </c>
      <c r="C1725" s="16" t="s">
        <v>8818</v>
      </c>
      <c r="D1725" s="16" t="s">
        <v>21</v>
      </c>
      <c r="E1725" s="36" t="s">
        <v>8456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43000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8649</v>
      </c>
      <c r="B1726" s="16" t="s">
        <v>8228</v>
      </c>
      <c r="C1726" s="16" t="s">
        <v>8819</v>
      </c>
      <c r="D1726" s="16" t="s">
        <v>21</v>
      </c>
      <c r="E1726" s="36" t="s">
        <v>8456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47000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8650</v>
      </c>
      <c r="B1727" s="16" t="s">
        <v>8229</v>
      </c>
      <c r="C1727" s="16" t="s">
        <v>8820</v>
      </c>
      <c r="D1727" s="16" t="s">
        <v>21</v>
      </c>
      <c r="E1727" s="36" t="s">
        <v>8456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51000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8651</v>
      </c>
      <c r="B1728" s="16" t="s">
        <v>8230</v>
      </c>
      <c r="C1728" s="16" t="s">
        <v>8821</v>
      </c>
      <c r="D1728" s="16" t="s">
        <v>21</v>
      </c>
      <c r="E1728" s="36" t="s">
        <v>8456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56000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8652</v>
      </c>
      <c r="B1729" s="16" t="s">
        <v>8231</v>
      </c>
      <c r="C1729" s="16" t="s">
        <v>8822</v>
      </c>
      <c r="D1729" s="16" t="s">
        <v>21</v>
      </c>
      <c r="E1729" s="36" t="s">
        <v>8456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62000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8653</v>
      </c>
      <c r="B1730" s="16" t="s">
        <v>8232</v>
      </c>
      <c r="C1730" s="16" t="s">
        <v>8823</v>
      </c>
      <c r="D1730" s="16" t="s">
        <v>21</v>
      </c>
      <c r="E1730" s="36" t="s">
        <v>8456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68000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8654</v>
      </c>
      <c r="B1731" s="16" t="s">
        <v>8233</v>
      </c>
      <c r="C1731" s="16" t="s">
        <v>8824</v>
      </c>
      <c r="D1731" s="16" t="s">
        <v>21</v>
      </c>
      <c r="E1731" s="36" t="s">
        <v>8456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75000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8655</v>
      </c>
      <c r="B1732" s="16" t="s">
        <v>8234</v>
      </c>
      <c r="C1732" s="16" t="s">
        <v>8825</v>
      </c>
      <c r="D1732" s="16" t="s">
        <v>21</v>
      </c>
      <c r="E1732" s="36" t="s">
        <v>8456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82000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8656</v>
      </c>
      <c r="B1733" s="16" t="s">
        <v>8235</v>
      </c>
      <c r="C1733" s="16" t="s">
        <v>8826</v>
      </c>
      <c r="D1733" s="16" t="s">
        <v>21</v>
      </c>
      <c r="E1733" s="36" t="s">
        <v>8456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91000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8657</v>
      </c>
      <c r="B1734" s="16" t="s">
        <v>8236</v>
      </c>
      <c r="C1734" s="16" t="s">
        <v>8827</v>
      </c>
      <c r="D1734" s="16" t="s">
        <v>21</v>
      </c>
      <c r="E1734" s="36" t="s">
        <v>8456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100000</v>
      </c>
      <c r="N1734" s="19" t="s">
        <v>8472</v>
      </c>
      <c r="O1734" s="16" t="s">
        <v>4414</v>
      </c>
      <c r="P1734" s="16" t="s">
        <v>8458</v>
      </c>
      <c r="Q1734" s="16" t="s">
        <v>25</v>
      </c>
      <c r="R1734" s="16" t="s">
        <v>10594</v>
      </c>
      <c r="S1734" s="16" t="s">
        <v>4414</v>
      </c>
      <c r="T1734" s="16" t="s">
        <v>8458</v>
      </c>
      <c r="U1734" s="16" t="s">
        <v>8459</v>
      </c>
      <c r="V1734" s="16" t="s">
        <v>8460</v>
      </c>
      <c r="W1734" s="16"/>
      <c r="X1734" s="17"/>
      <c r="Y1734" s="16"/>
      <c r="Z1734" s="17"/>
      <c r="AA1734" s="16"/>
      <c r="AB1734" s="17"/>
    </row>
    <row r="1735" spans="1:28">
      <c r="A1735" s="16" t="s">
        <v>8658</v>
      </c>
      <c r="B1735" s="16" t="s">
        <v>8237</v>
      </c>
      <c r="C1735" s="16" t="s">
        <v>8828</v>
      </c>
      <c r="D1735" s="16" t="s">
        <v>21</v>
      </c>
      <c r="E1735" s="36" t="s">
        <v>8456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110000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8659</v>
      </c>
      <c r="B1736" s="16" t="s">
        <v>8238</v>
      </c>
      <c r="C1736" s="16" t="s">
        <v>8829</v>
      </c>
      <c r="D1736" s="16" t="s">
        <v>21</v>
      </c>
      <c r="E1736" s="36" t="s">
        <v>8456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120000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8660</v>
      </c>
      <c r="B1737" s="16" t="s">
        <v>8239</v>
      </c>
      <c r="C1737" s="16" t="s">
        <v>8830</v>
      </c>
      <c r="D1737" s="16" t="s">
        <v>21</v>
      </c>
      <c r="E1737" s="36" t="s">
        <v>8456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130000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8661</v>
      </c>
      <c r="B1738" s="16" t="s">
        <v>8240</v>
      </c>
      <c r="C1738" s="16" t="s">
        <v>8831</v>
      </c>
      <c r="D1738" s="16" t="s">
        <v>21</v>
      </c>
      <c r="E1738" s="36" t="s">
        <v>8456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150000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8662</v>
      </c>
      <c r="B1739" s="16" t="s">
        <v>8241</v>
      </c>
      <c r="C1739" s="16" t="s">
        <v>8832</v>
      </c>
      <c r="D1739" s="16" t="s">
        <v>21</v>
      </c>
      <c r="E1739" s="36" t="s">
        <v>8456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160000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8663</v>
      </c>
      <c r="B1740" s="16" t="s">
        <v>8242</v>
      </c>
      <c r="C1740" s="16" t="s">
        <v>8833</v>
      </c>
      <c r="D1740" s="16" t="s">
        <v>21</v>
      </c>
      <c r="E1740" s="36" t="s">
        <v>8456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180000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8664</v>
      </c>
      <c r="B1741" s="16" t="s">
        <v>8243</v>
      </c>
      <c r="C1741" s="16" t="s">
        <v>8834</v>
      </c>
      <c r="D1741" s="16" t="s">
        <v>21</v>
      </c>
      <c r="E1741" s="36" t="s">
        <v>8456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8665</v>
      </c>
      <c r="B1742" s="16" t="s">
        <v>8244</v>
      </c>
      <c r="C1742" s="16" t="s">
        <v>8835</v>
      </c>
      <c r="D1742" s="16" t="s">
        <v>21</v>
      </c>
      <c r="E1742" s="36" t="s">
        <v>8456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220000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8666</v>
      </c>
      <c r="B1743" s="16" t="s">
        <v>8245</v>
      </c>
      <c r="C1743" s="16" t="s">
        <v>8836</v>
      </c>
      <c r="D1743" s="16" t="s">
        <v>21</v>
      </c>
      <c r="E1743" s="36" t="s">
        <v>8456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240000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8667</v>
      </c>
      <c r="B1744" s="16" t="s">
        <v>8246</v>
      </c>
      <c r="C1744" s="16" t="s">
        <v>8837</v>
      </c>
      <c r="D1744" s="16" t="s">
        <v>21</v>
      </c>
      <c r="E1744" s="36" t="s">
        <v>8456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270000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8668</v>
      </c>
      <c r="B1745" s="16" t="s">
        <v>8247</v>
      </c>
      <c r="C1745" s="16" t="s">
        <v>8838</v>
      </c>
      <c r="D1745" s="16" t="s">
        <v>21</v>
      </c>
      <c r="E1745" s="36" t="s">
        <v>8456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8669</v>
      </c>
      <c r="B1746" s="16" t="s">
        <v>8248</v>
      </c>
      <c r="C1746" s="16" t="s">
        <v>8839</v>
      </c>
      <c r="D1746" s="16" t="s">
        <v>21</v>
      </c>
      <c r="E1746" s="36" t="s">
        <v>8456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330000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8670</v>
      </c>
      <c r="B1747" s="16" t="s">
        <v>8249</v>
      </c>
      <c r="C1747" s="16" t="s">
        <v>8840</v>
      </c>
      <c r="D1747" s="16" t="s">
        <v>21</v>
      </c>
      <c r="E1747" s="36" t="s">
        <v>8456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360000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8671</v>
      </c>
      <c r="B1748" s="16" t="s">
        <v>8250</v>
      </c>
      <c r="C1748" s="16" t="s">
        <v>8841</v>
      </c>
      <c r="D1748" s="16" t="s">
        <v>21</v>
      </c>
      <c r="E1748" s="36" t="s">
        <v>8456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390000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8672</v>
      </c>
      <c r="B1749" s="16" t="s">
        <v>8251</v>
      </c>
      <c r="C1749" s="16" t="s">
        <v>8842</v>
      </c>
      <c r="D1749" s="16" t="s">
        <v>21</v>
      </c>
      <c r="E1749" s="36" t="s">
        <v>8456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430000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8673</v>
      </c>
      <c r="B1750" s="16" t="s">
        <v>8252</v>
      </c>
      <c r="C1750" s="16" t="s">
        <v>8843</v>
      </c>
      <c r="D1750" s="16" t="s">
        <v>21</v>
      </c>
      <c r="E1750" s="36" t="s">
        <v>8456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470000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8674</v>
      </c>
      <c r="B1751" s="16" t="s">
        <v>8253</v>
      </c>
      <c r="C1751" s="16" t="s">
        <v>8844</v>
      </c>
      <c r="D1751" s="16" t="s">
        <v>21</v>
      </c>
      <c r="E1751" s="36" t="s">
        <v>8456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510000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8675</v>
      </c>
      <c r="B1752" s="16" t="s">
        <v>8254</v>
      </c>
      <c r="C1752" s="16" t="s">
        <v>8845</v>
      </c>
      <c r="D1752" s="16" t="s">
        <v>21</v>
      </c>
      <c r="E1752" s="36" t="s">
        <v>8456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560000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8676</v>
      </c>
      <c r="B1753" s="16" t="s">
        <v>8255</v>
      </c>
      <c r="C1753" s="16" t="s">
        <v>8846</v>
      </c>
      <c r="D1753" s="16" t="s">
        <v>21</v>
      </c>
      <c r="E1753" s="36" t="s">
        <v>8456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620000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8677</v>
      </c>
      <c r="B1754" s="16" t="s">
        <v>8256</v>
      </c>
      <c r="C1754" s="16" t="s">
        <v>8847</v>
      </c>
      <c r="D1754" s="16" t="s">
        <v>21</v>
      </c>
      <c r="E1754" s="36" t="s">
        <v>8456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680000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8678</v>
      </c>
      <c r="B1755" s="16" t="s">
        <v>8257</v>
      </c>
      <c r="C1755" s="16" t="s">
        <v>8848</v>
      </c>
      <c r="D1755" s="16" t="s">
        <v>21</v>
      </c>
      <c r="E1755" s="36" t="s">
        <v>8456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750000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8679</v>
      </c>
      <c r="B1756" s="16" t="s">
        <v>8258</v>
      </c>
      <c r="C1756" s="16" t="s">
        <v>8849</v>
      </c>
      <c r="D1756" s="16" t="s">
        <v>21</v>
      </c>
      <c r="E1756" s="36" t="s">
        <v>8456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820000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8680</v>
      </c>
      <c r="B1757" s="16" t="s">
        <v>8259</v>
      </c>
      <c r="C1757" s="16" t="s">
        <v>8850</v>
      </c>
      <c r="D1757" s="16" t="s">
        <v>21</v>
      </c>
      <c r="E1757" s="36" t="s">
        <v>8456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910000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8681</v>
      </c>
      <c r="B1758" s="16" t="s">
        <v>8260</v>
      </c>
      <c r="C1758" s="16" t="s">
        <v>8851</v>
      </c>
      <c r="D1758" s="16" t="s">
        <v>21</v>
      </c>
      <c r="E1758" s="36" t="s">
        <v>8456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1000000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8682</v>
      </c>
      <c r="B1759" s="16" t="s">
        <v>8261</v>
      </c>
      <c r="C1759" s="16" t="s">
        <v>8852</v>
      </c>
      <c r="D1759" s="16" t="s">
        <v>21</v>
      </c>
      <c r="E1759" s="36" t="s">
        <v>8456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1100000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8683</v>
      </c>
      <c r="B1760" s="16" t="s">
        <v>8262</v>
      </c>
      <c r="C1760" s="16" t="s">
        <v>8853</v>
      </c>
      <c r="D1760" s="16" t="s">
        <v>21</v>
      </c>
      <c r="E1760" s="36" t="s">
        <v>8456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1200000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8684</v>
      </c>
      <c r="B1761" s="16" t="s">
        <v>8263</v>
      </c>
      <c r="C1761" s="16" t="s">
        <v>8854</v>
      </c>
      <c r="D1761" s="16" t="s">
        <v>21</v>
      </c>
      <c r="E1761" s="36" t="s">
        <v>8456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1300000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8685</v>
      </c>
      <c r="B1762" s="16" t="s">
        <v>8264</v>
      </c>
      <c r="C1762" s="16" t="s">
        <v>8855</v>
      </c>
      <c r="D1762" s="16" t="s">
        <v>21</v>
      </c>
      <c r="E1762" s="36" t="s">
        <v>8456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1500000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8686</v>
      </c>
      <c r="B1763" s="16" t="s">
        <v>8265</v>
      </c>
      <c r="C1763" s="16" t="s">
        <v>8856</v>
      </c>
      <c r="D1763" s="16" t="s">
        <v>21</v>
      </c>
      <c r="E1763" s="36" t="s">
        <v>8456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1600000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8687</v>
      </c>
      <c r="B1764" s="16" t="s">
        <v>8266</v>
      </c>
      <c r="C1764" s="16" t="s">
        <v>8857</v>
      </c>
      <c r="D1764" s="16" t="s">
        <v>21</v>
      </c>
      <c r="E1764" s="36" t="s">
        <v>8456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1800000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8688</v>
      </c>
      <c r="B1765" s="16" t="s">
        <v>8267</v>
      </c>
      <c r="C1765" s="16" t="s">
        <v>8858</v>
      </c>
      <c r="D1765" s="16" t="s">
        <v>21</v>
      </c>
      <c r="E1765" s="36" t="s">
        <v>8456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2000000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8689</v>
      </c>
      <c r="B1766" s="16" t="s">
        <v>8268</v>
      </c>
      <c r="C1766" s="16" t="s">
        <v>8859</v>
      </c>
      <c r="D1766" s="16" t="s">
        <v>21</v>
      </c>
      <c r="E1766" s="36" t="s">
        <v>8456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2200000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8690</v>
      </c>
      <c r="B1767" s="16" t="s">
        <v>8269</v>
      </c>
      <c r="C1767" s="16" t="s">
        <v>8860</v>
      </c>
      <c r="D1767" s="16" t="s">
        <v>21</v>
      </c>
      <c r="E1767" s="36" t="s">
        <v>8456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2400000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8691</v>
      </c>
      <c r="B1768" s="16" t="s">
        <v>8270</v>
      </c>
      <c r="C1768" s="16" t="s">
        <v>8861</v>
      </c>
      <c r="D1768" s="16" t="s">
        <v>21</v>
      </c>
      <c r="E1768" s="36" t="s">
        <v>8456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2700000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8692</v>
      </c>
      <c r="B1769" s="16" t="s">
        <v>8271</v>
      </c>
      <c r="C1769" s="16" t="s">
        <v>8862</v>
      </c>
      <c r="D1769" s="16" t="s">
        <v>21</v>
      </c>
      <c r="E1769" s="36" t="s">
        <v>8456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3000000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8693</v>
      </c>
      <c r="B1770" s="16" t="s">
        <v>8272</v>
      </c>
      <c r="C1770" s="16" t="s">
        <v>8863</v>
      </c>
      <c r="D1770" s="16" t="s">
        <v>21</v>
      </c>
      <c r="E1770" s="36" t="s">
        <v>8456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3300000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8694</v>
      </c>
      <c r="B1771" s="16" t="s">
        <v>8273</v>
      </c>
      <c r="C1771" s="16" t="s">
        <v>8864</v>
      </c>
      <c r="D1771" s="16" t="s">
        <v>21</v>
      </c>
      <c r="E1771" s="36" t="s">
        <v>8456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3600000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8695</v>
      </c>
      <c r="B1772" s="16" t="s">
        <v>8274</v>
      </c>
      <c r="C1772" s="16" t="s">
        <v>8865</v>
      </c>
      <c r="D1772" s="16" t="s">
        <v>21</v>
      </c>
      <c r="E1772" s="36" t="s">
        <v>8456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3900000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8696</v>
      </c>
      <c r="B1773" s="16" t="s">
        <v>8275</v>
      </c>
      <c r="C1773" s="16" t="s">
        <v>8866</v>
      </c>
      <c r="D1773" s="16" t="s">
        <v>21</v>
      </c>
      <c r="E1773" s="36" t="s">
        <v>8456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4300000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8697</v>
      </c>
      <c r="B1774" s="16" t="s">
        <v>8276</v>
      </c>
      <c r="C1774" s="16" t="s">
        <v>8867</v>
      </c>
      <c r="D1774" s="16" t="s">
        <v>21</v>
      </c>
      <c r="E1774" s="36" t="s">
        <v>8456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4700000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8698</v>
      </c>
      <c r="B1775" s="16" t="s">
        <v>8277</v>
      </c>
      <c r="C1775" s="16" t="s">
        <v>8868</v>
      </c>
      <c r="D1775" s="16" t="s">
        <v>21</v>
      </c>
      <c r="E1775" s="36" t="s">
        <v>8456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5100000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8699</v>
      </c>
      <c r="B1776" s="16" t="s">
        <v>8278</v>
      </c>
      <c r="C1776" s="16" t="s">
        <v>8869</v>
      </c>
      <c r="D1776" s="16" t="s">
        <v>21</v>
      </c>
      <c r="E1776" s="36" t="s">
        <v>8456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5600000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8700</v>
      </c>
      <c r="B1777" s="16" t="s">
        <v>8279</v>
      </c>
      <c r="C1777" s="16" t="s">
        <v>8870</v>
      </c>
      <c r="D1777" s="16" t="s">
        <v>21</v>
      </c>
      <c r="E1777" s="36" t="s">
        <v>8456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6200000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8701</v>
      </c>
      <c r="B1778" s="16" t="s">
        <v>8280</v>
      </c>
      <c r="C1778" s="16" t="s">
        <v>8871</v>
      </c>
      <c r="D1778" s="16" t="s">
        <v>21</v>
      </c>
      <c r="E1778" s="36" t="s">
        <v>8456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6800000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8702</v>
      </c>
      <c r="B1779" s="16" t="s">
        <v>8281</v>
      </c>
      <c r="C1779" s="16" t="s">
        <v>8872</v>
      </c>
      <c r="D1779" s="16" t="s">
        <v>21</v>
      </c>
      <c r="E1779" s="36" t="s">
        <v>8456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7503</v>
      </c>
      <c r="J1779" s="16" t="s">
        <v>8876</v>
      </c>
      <c r="K1779" s="16"/>
      <c r="L1779" s="16"/>
      <c r="M1779" s="20">
        <v>7500000</v>
      </c>
      <c r="N1779" s="19" t="s">
        <v>8472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8703</v>
      </c>
      <c r="B1780" s="17" t="s">
        <v>8282</v>
      </c>
      <c r="C1780" s="17" t="s">
        <v>8873</v>
      </c>
      <c r="D1780" s="17" t="s">
        <v>21</v>
      </c>
      <c r="E1780" s="37" t="s">
        <v>8456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8200000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8704</v>
      </c>
      <c r="B1781" s="17" t="s">
        <v>8283</v>
      </c>
      <c r="C1781" s="17" t="s">
        <v>8874</v>
      </c>
      <c r="D1781" s="17" t="s">
        <v>21</v>
      </c>
      <c r="E1781" s="37" t="s">
        <v>8456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9100000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8705</v>
      </c>
      <c r="B1782" s="17" t="s">
        <v>8284</v>
      </c>
      <c r="C1782" s="17" t="s">
        <v>8875</v>
      </c>
      <c r="D1782" s="17" t="s">
        <v>21</v>
      </c>
      <c r="E1782" s="37" t="s">
        <v>8456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7503</v>
      </c>
      <c r="J1782" s="16" t="s">
        <v>8876</v>
      </c>
      <c r="K1782" s="16"/>
      <c r="L1782" s="16"/>
      <c r="M1782" s="21">
        <v>10000000</v>
      </c>
      <c r="N1782" s="19" t="s">
        <v>8472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11693</v>
      </c>
      <c r="B1783" t="s">
        <v>11637</v>
      </c>
      <c r="C1783" t="s">
        <v>11749</v>
      </c>
      <c r="D1783" s="17" t="s">
        <v>21</v>
      </c>
      <c r="E1783" t="s">
        <v>11613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5.0999999999999996</v>
      </c>
      <c r="N1783" t="s">
        <v>11453</v>
      </c>
      <c r="O1783" t="s">
        <v>11508</v>
      </c>
      <c r="P1783" t="s">
        <v>11558</v>
      </c>
      <c r="Q1783" t="s">
        <v>25</v>
      </c>
      <c r="R1783" t="s">
        <v>11967</v>
      </c>
    </row>
    <row r="1784" spans="1:28">
      <c r="A1784" t="s">
        <v>11698</v>
      </c>
      <c r="B1784" t="s">
        <v>11642</v>
      </c>
      <c r="C1784" t="s">
        <v>11754</v>
      </c>
      <c r="D1784" s="17" t="s">
        <v>21</v>
      </c>
      <c r="E1784" t="s">
        <v>11613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5.6</v>
      </c>
      <c r="N1784" t="s">
        <v>11460</v>
      </c>
      <c r="O1784" t="s">
        <v>11508</v>
      </c>
      <c r="P1784" t="s">
        <v>11565</v>
      </c>
      <c r="Q1784" t="s">
        <v>25</v>
      </c>
      <c r="R1784" t="s">
        <v>11974</v>
      </c>
    </row>
    <row r="1785" spans="1:28">
      <c r="A1785" t="s">
        <v>11694</v>
      </c>
      <c r="B1785" t="s">
        <v>11638</v>
      </c>
      <c r="C1785" t="s">
        <v>11750</v>
      </c>
      <c r="D1785" s="17" t="s">
        <v>21</v>
      </c>
      <c r="E1785" t="s">
        <v>11613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6.2</v>
      </c>
      <c r="N1785" t="s">
        <v>11454</v>
      </c>
      <c r="O1785" t="s">
        <v>11508</v>
      </c>
      <c r="P1785" t="s">
        <v>11559</v>
      </c>
      <c r="Q1785" t="s">
        <v>25</v>
      </c>
      <c r="R1785" t="s">
        <v>11968</v>
      </c>
    </row>
    <row r="1786" spans="1:28">
      <c r="A1786" t="s">
        <v>11715</v>
      </c>
      <c r="B1786" t="s">
        <v>11659</v>
      </c>
      <c r="C1786" t="s">
        <v>11771</v>
      </c>
      <c r="D1786" s="17" t="s">
        <v>21</v>
      </c>
      <c r="E1786" t="s">
        <v>11613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6.8</v>
      </c>
      <c r="N1786" t="s">
        <v>11486</v>
      </c>
      <c r="O1786" t="s">
        <v>11508</v>
      </c>
      <c r="P1786" t="s">
        <v>11591</v>
      </c>
      <c r="Q1786" t="s">
        <v>25</v>
      </c>
      <c r="R1786" t="s">
        <v>12000</v>
      </c>
    </row>
    <row r="1787" spans="1:28">
      <c r="A1787" t="s">
        <v>11695</v>
      </c>
      <c r="B1787" t="s">
        <v>11639</v>
      </c>
      <c r="C1787" t="s">
        <v>11751</v>
      </c>
      <c r="D1787" s="17" t="s">
        <v>21</v>
      </c>
      <c r="E1787" t="s">
        <v>11613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7.5</v>
      </c>
      <c r="N1787" t="s">
        <v>11455</v>
      </c>
      <c r="O1787" t="s">
        <v>11508</v>
      </c>
      <c r="P1787" t="s">
        <v>11560</v>
      </c>
      <c r="Q1787" t="s">
        <v>25</v>
      </c>
      <c r="R1787" t="s">
        <v>11969</v>
      </c>
    </row>
    <row r="1788" spans="1:28">
      <c r="A1788" t="s">
        <v>11697</v>
      </c>
      <c r="B1788" t="s">
        <v>11641</v>
      </c>
      <c r="C1788" t="s">
        <v>11753</v>
      </c>
      <c r="D1788" s="17" t="s">
        <v>21</v>
      </c>
      <c r="E1788" t="s">
        <v>11613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8.1999999999999993</v>
      </c>
      <c r="N1788" t="s">
        <v>11457</v>
      </c>
      <c r="O1788" t="s">
        <v>11508</v>
      </c>
      <c r="P1788" t="s">
        <v>11562</v>
      </c>
      <c r="Q1788" t="s">
        <v>25</v>
      </c>
      <c r="R1788" t="s">
        <v>11971</v>
      </c>
    </row>
    <row r="1789" spans="1:28">
      <c r="A1789" t="s">
        <v>11721</v>
      </c>
      <c r="B1789" t="s">
        <v>11665</v>
      </c>
      <c r="C1789" t="s">
        <v>11777</v>
      </c>
      <c r="D1789" s="17" t="s">
        <v>21</v>
      </c>
      <c r="E1789" t="s">
        <v>11613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9.1</v>
      </c>
      <c r="N1789" t="s">
        <v>11498</v>
      </c>
      <c r="O1789" t="s">
        <v>11508</v>
      </c>
      <c r="P1789" t="s">
        <v>11603</v>
      </c>
      <c r="Q1789" t="s">
        <v>25</v>
      </c>
      <c r="R1789" t="s">
        <v>12012</v>
      </c>
    </row>
    <row r="1790" spans="1:28">
      <c r="A1790" t="s">
        <v>11808</v>
      </c>
      <c r="B1790" t="s">
        <v>11853</v>
      </c>
      <c r="C1790" t="s">
        <v>11898</v>
      </c>
      <c r="D1790" s="17" t="s">
        <v>21</v>
      </c>
      <c r="E1790" t="s">
        <v>11613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10</v>
      </c>
      <c r="N1790" t="s">
        <v>11459</v>
      </c>
      <c r="O1790" t="s">
        <v>11508</v>
      </c>
      <c r="P1790" t="s">
        <v>11564</v>
      </c>
      <c r="Q1790" t="s">
        <v>25</v>
      </c>
      <c r="R1790" t="s">
        <v>11973</v>
      </c>
    </row>
    <row r="1791" spans="1:28">
      <c r="A1791" t="s">
        <v>11825</v>
      </c>
      <c r="B1791" t="s">
        <v>11870</v>
      </c>
      <c r="C1791" t="s">
        <v>11915</v>
      </c>
      <c r="D1791" s="17" t="s">
        <v>21</v>
      </c>
      <c r="E1791" t="s">
        <v>11613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11</v>
      </c>
      <c r="N1791" t="s">
        <v>11502</v>
      </c>
      <c r="O1791" t="s">
        <v>11508</v>
      </c>
      <c r="P1791" t="s">
        <v>11607</v>
      </c>
      <c r="Q1791" t="s">
        <v>25</v>
      </c>
      <c r="R1791" t="s">
        <v>12016</v>
      </c>
    </row>
    <row r="1792" spans="1:28">
      <c r="A1792" t="s">
        <v>11819</v>
      </c>
      <c r="B1792" t="s">
        <v>11864</v>
      </c>
      <c r="C1792" t="s">
        <v>11909</v>
      </c>
      <c r="D1792" s="17" t="s">
        <v>21</v>
      </c>
      <c r="E1792" t="s">
        <v>11613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12</v>
      </c>
      <c r="N1792" t="s">
        <v>11490</v>
      </c>
      <c r="O1792" t="s">
        <v>11508</v>
      </c>
      <c r="P1792" t="s">
        <v>11595</v>
      </c>
      <c r="Q1792" t="s">
        <v>25</v>
      </c>
      <c r="R1792" t="s">
        <v>12004</v>
      </c>
    </row>
    <row r="1793" spans="1:18">
      <c r="A1793" t="s">
        <v>11824</v>
      </c>
      <c r="B1793" t="s">
        <v>11869</v>
      </c>
      <c r="C1793" t="s">
        <v>11914</v>
      </c>
      <c r="D1793" s="17" t="s">
        <v>21</v>
      </c>
      <c r="E1793" t="s">
        <v>11613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13</v>
      </c>
      <c r="N1793" t="s">
        <v>11499</v>
      </c>
      <c r="O1793" t="s">
        <v>11508</v>
      </c>
      <c r="P1793" t="s">
        <v>11604</v>
      </c>
      <c r="Q1793" t="s">
        <v>25</v>
      </c>
      <c r="R1793" t="s">
        <v>12013</v>
      </c>
    </row>
    <row r="1794" spans="1:18">
      <c r="A1794" t="s">
        <v>11787</v>
      </c>
      <c r="B1794" t="s">
        <v>11832</v>
      </c>
      <c r="C1794" t="s">
        <v>11877</v>
      </c>
      <c r="D1794" s="17" t="s">
        <v>21</v>
      </c>
      <c r="E1794" t="s">
        <v>11613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15</v>
      </c>
      <c r="N1794" t="s">
        <v>11410</v>
      </c>
      <c r="O1794" t="s">
        <v>11508</v>
      </c>
      <c r="P1794" t="s">
        <v>11515</v>
      </c>
      <c r="Q1794" t="s">
        <v>25</v>
      </c>
      <c r="R1794" t="s">
        <v>11924</v>
      </c>
    </row>
    <row r="1795" spans="1:18">
      <c r="A1795" t="s">
        <v>11792</v>
      </c>
      <c r="B1795" t="s">
        <v>11837</v>
      </c>
      <c r="C1795" t="s">
        <v>11882</v>
      </c>
      <c r="D1795" s="17" t="s">
        <v>21</v>
      </c>
      <c r="E1795" t="s">
        <v>11613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16</v>
      </c>
      <c r="N1795" t="s">
        <v>11421</v>
      </c>
      <c r="O1795" t="s">
        <v>11508</v>
      </c>
      <c r="P1795" t="s">
        <v>11526</v>
      </c>
      <c r="Q1795" t="s">
        <v>25</v>
      </c>
      <c r="R1795" t="s">
        <v>11935</v>
      </c>
    </row>
    <row r="1796" spans="1:18">
      <c r="A1796" t="s">
        <v>11798</v>
      </c>
      <c r="B1796" t="s">
        <v>11843</v>
      </c>
      <c r="C1796" t="s">
        <v>11888</v>
      </c>
      <c r="D1796" s="17" t="s">
        <v>21</v>
      </c>
      <c r="E1796" t="s">
        <v>11613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18</v>
      </c>
      <c r="N1796" t="s">
        <v>11429</v>
      </c>
      <c r="O1796" t="s">
        <v>11508</v>
      </c>
      <c r="P1796" t="s">
        <v>11534</v>
      </c>
      <c r="Q1796" t="s">
        <v>25</v>
      </c>
      <c r="R1796" t="s">
        <v>11943</v>
      </c>
    </row>
    <row r="1797" spans="1:18">
      <c r="A1797" t="s">
        <v>11801</v>
      </c>
      <c r="B1797" t="s">
        <v>11846</v>
      </c>
      <c r="C1797" t="s">
        <v>11891</v>
      </c>
      <c r="D1797" s="17" t="s">
        <v>21</v>
      </c>
      <c r="E1797" t="s">
        <v>11613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20</v>
      </c>
      <c r="N1797" t="s">
        <v>11440</v>
      </c>
      <c r="O1797" t="s">
        <v>11508</v>
      </c>
      <c r="P1797" t="s">
        <v>11545</v>
      </c>
      <c r="Q1797" t="s">
        <v>25</v>
      </c>
      <c r="R1797" t="s">
        <v>11954</v>
      </c>
    </row>
    <row r="1798" spans="1:18">
      <c r="A1798" t="s">
        <v>11814</v>
      </c>
      <c r="B1798" t="s">
        <v>11859</v>
      </c>
      <c r="C1798" t="s">
        <v>11904</v>
      </c>
      <c r="D1798" s="17" t="s">
        <v>21</v>
      </c>
      <c r="E1798" t="s">
        <v>11613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22</v>
      </c>
      <c r="N1798" t="s">
        <v>11480</v>
      </c>
      <c r="O1798" t="s">
        <v>11508</v>
      </c>
      <c r="P1798" t="s">
        <v>11585</v>
      </c>
      <c r="Q1798" t="s">
        <v>25</v>
      </c>
      <c r="R1798" t="s">
        <v>11994</v>
      </c>
    </row>
    <row r="1799" spans="1:18">
      <c r="A1799" t="s">
        <v>11823</v>
      </c>
      <c r="B1799" t="s">
        <v>11868</v>
      </c>
      <c r="C1799" t="s">
        <v>11913</v>
      </c>
      <c r="D1799" s="17" t="s">
        <v>21</v>
      </c>
      <c r="E1799" t="s">
        <v>11613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24</v>
      </c>
      <c r="N1799" t="s">
        <v>11494</v>
      </c>
      <c r="O1799" t="s">
        <v>11508</v>
      </c>
      <c r="P1799" t="s">
        <v>11599</v>
      </c>
      <c r="Q1799" t="s">
        <v>25</v>
      </c>
      <c r="R1799" t="s">
        <v>12008</v>
      </c>
    </row>
    <row r="1800" spans="1:18">
      <c r="A1800" t="s">
        <v>11789</v>
      </c>
      <c r="B1800" t="s">
        <v>11834</v>
      </c>
      <c r="C1800" t="s">
        <v>11879</v>
      </c>
      <c r="D1800" s="17" t="s">
        <v>21</v>
      </c>
      <c r="E1800" t="s">
        <v>11613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27</v>
      </c>
      <c r="N1800" t="s">
        <v>11412</v>
      </c>
      <c r="O1800" t="s">
        <v>11508</v>
      </c>
      <c r="P1800" t="s">
        <v>11517</v>
      </c>
      <c r="Q1800" t="s">
        <v>25</v>
      </c>
      <c r="R1800" t="s">
        <v>11926</v>
      </c>
    </row>
    <row r="1801" spans="1:18">
      <c r="A1801" t="s">
        <v>11807</v>
      </c>
      <c r="B1801" t="s">
        <v>11852</v>
      </c>
      <c r="C1801" t="s">
        <v>11897</v>
      </c>
      <c r="D1801" s="17" t="s">
        <v>21</v>
      </c>
      <c r="E1801" t="s">
        <v>11613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30</v>
      </c>
      <c r="N1801" t="s">
        <v>11458</v>
      </c>
      <c r="O1801" t="s">
        <v>11508</v>
      </c>
      <c r="P1801" t="s">
        <v>11563</v>
      </c>
      <c r="Q1801" t="s">
        <v>25</v>
      </c>
      <c r="R1801" t="s">
        <v>11972</v>
      </c>
    </row>
    <row r="1802" spans="1:18">
      <c r="A1802" t="s">
        <v>11810</v>
      </c>
      <c r="B1802" t="s">
        <v>11855</v>
      </c>
      <c r="C1802" t="s">
        <v>11900</v>
      </c>
      <c r="D1802" s="17" t="s">
        <v>21</v>
      </c>
      <c r="E1802" t="s">
        <v>11613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33</v>
      </c>
      <c r="N1802" t="s">
        <v>11464</v>
      </c>
      <c r="O1802" t="s">
        <v>11508</v>
      </c>
      <c r="P1802" t="s">
        <v>11569</v>
      </c>
      <c r="Q1802" t="s">
        <v>25</v>
      </c>
      <c r="R1802" t="s">
        <v>11978</v>
      </c>
    </row>
    <row r="1803" spans="1:18">
      <c r="A1803" t="s">
        <v>11826</v>
      </c>
      <c r="B1803" t="s">
        <v>11871</v>
      </c>
      <c r="C1803" t="s">
        <v>11916</v>
      </c>
      <c r="D1803" s="17" t="s">
        <v>21</v>
      </c>
      <c r="E1803" t="s">
        <v>11613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36</v>
      </c>
      <c r="N1803" t="s">
        <v>11503</v>
      </c>
      <c r="O1803" t="s">
        <v>11508</v>
      </c>
      <c r="P1803" t="s">
        <v>11608</v>
      </c>
      <c r="Q1803" t="s">
        <v>25</v>
      </c>
      <c r="R1803" t="s">
        <v>12017</v>
      </c>
    </row>
    <row r="1804" spans="1:18">
      <c r="A1804" t="s">
        <v>11822</v>
      </c>
      <c r="B1804" t="s">
        <v>11867</v>
      </c>
      <c r="C1804" t="s">
        <v>11912</v>
      </c>
      <c r="D1804" s="17" t="s">
        <v>21</v>
      </c>
      <c r="E1804" t="s">
        <v>11613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39</v>
      </c>
      <c r="N1804" t="s">
        <v>11493</v>
      </c>
      <c r="O1804" t="s">
        <v>11508</v>
      </c>
      <c r="P1804" t="s">
        <v>11598</v>
      </c>
      <c r="Q1804" t="s">
        <v>25</v>
      </c>
      <c r="R1804" t="s">
        <v>12007</v>
      </c>
    </row>
    <row r="1805" spans="1:18">
      <c r="A1805" t="s">
        <v>11805</v>
      </c>
      <c r="B1805" t="s">
        <v>11850</v>
      </c>
      <c r="C1805" t="s">
        <v>11895</v>
      </c>
      <c r="D1805" s="17" t="s">
        <v>21</v>
      </c>
      <c r="E1805" t="s">
        <v>11613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43</v>
      </c>
      <c r="N1805" t="s">
        <v>11448</v>
      </c>
      <c r="O1805" t="s">
        <v>11508</v>
      </c>
      <c r="P1805" t="s">
        <v>11553</v>
      </c>
      <c r="Q1805" t="s">
        <v>25</v>
      </c>
      <c r="R1805" t="s">
        <v>11962</v>
      </c>
    </row>
    <row r="1806" spans="1:18">
      <c r="A1806" t="s">
        <v>12022</v>
      </c>
      <c r="B1806" t="s">
        <v>12023</v>
      </c>
      <c r="C1806" t="s">
        <v>12024</v>
      </c>
      <c r="D1806" s="17" t="s">
        <v>21</v>
      </c>
      <c r="E1806" t="s">
        <v>11613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47</v>
      </c>
      <c r="N1806" t="s">
        <v>11433</v>
      </c>
      <c r="O1806" t="s">
        <v>11508</v>
      </c>
      <c r="P1806" t="s">
        <v>11538</v>
      </c>
      <c r="Q1806" t="s">
        <v>25</v>
      </c>
      <c r="R1806" t="s">
        <v>11947</v>
      </c>
    </row>
    <row r="1807" spans="1:18">
      <c r="A1807" t="s">
        <v>11783</v>
      </c>
      <c r="B1807" t="s">
        <v>11828</v>
      </c>
      <c r="C1807" t="s">
        <v>11873</v>
      </c>
      <c r="D1807" s="17" t="s">
        <v>21</v>
      </c>
      <c r="E1807" t="s">
        <v>11613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51</v>
      </c>
      <c r="N1807" t="s">
        <v>11404</v>
      </c>
      <c r="O1807" t="s">
        <v>11508</v>
      </c>
      <c r="P1807" t="s">
        <v>11509</v>
      </c>
      <c r="Q1807" t="s">
        <v>25</v>
      </c>
      <c r="R1807" t="s">
        <v>11918</v>
      </c>
    </row>
    <row r="1808" spans="1:18">
      <c r="A1808" t="s">
        <v>12025</v>
      </c>
      <c r="B1808" t="s">
        <v>12026</v>
      </c>
      <c r="C1808" t="s">
        <v>12027</v>
      </c>
      <c r="D1808" s="17" t="s">
        <v>21</v>
      </c>
      <c r="E1808" t="s">
        <v>11613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56</v>
      </c>
      <c r="N1808" t="s">
        <v>11413</v>
      </c>
      <c r="O1808" t="s">
        <v>11508</v>
      </c>
      <c r="P1808" t="s">
        <v>11518</v>
      </c>
      <c r="Q1808" t="s">
        <v>25</v>
      </c>
      <c r="R1808" t="s">
        <v>11927</v>
      </c>
    </row>
    <row r="1809" spans="1:18">
      <c r="A1809" t="s">
        <v>11784</v>
      </c>
      <c r="B1809" t="s">
        <v>11829</v>
      </c>
      <c r="C1809" t="s">
        <v>11874</v>
      </c>
      <c r="D1809" s="17" t="s">
        <v>21</v>
      </c>
      <c r="E1809" t="s">
        <v>11613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62</v>
      </c>
      <c r="N1809" t="s">
        <v>11406</v>
      </c>
      <c r="O1809" t="s">
        <v>11508</v>
      </c>
      <c r="P1809" t="s">
        <v>11511</v>
      </c>
      <c r="Q1809" t="s">
        <v>25</v>
      </c>
      <c r="R1809" t="s">
        <v>11920</v>
      </c>
    </row>
    <row r="1810" spans="1:18">
      <c r="A1810" t="s">
        <v>11821</v>
      </c>
      <c r="B1810" t="s">
        <v>11866</v>
      </c>
      <c r="C1810" t="s">
        <v>11911</v>
      </c>
      <c r="D1810" s="17" t="s">
        <v>21</v>
      </c>
      <c r="E1810" t="s">
        <v>11613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68</v>
      </c>
      <c r="N1810" t="s">
        <v>11492</v>
      </c>
      <c r="O1810" t="s">
        <v>11508</v>
      </c>
      <c r="P1810" t="s">
        <v>11597</v>
      </c>
      <c r="Q1810" t="s">
        <v>25</v>
      </c>
      <c r="R1810" t="s">
        <v>12006</v>
      </c>
    </row>
    <row r="1811" spans="1:18">
      <c r="A1811" t="s">
        <v>12028</v>
      </c>
      <c r="B1811" t="s">
        <v>12029</v>
      </c>
      <c r="C1811" t="s">
        <v>12030</v>
      </c>
      <c r="D1811" s="17" t="s">
        <v>21</v>
      </c>
      <c r="E1811" t="s">
        <v>11613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75</v>
      </c>
      <c r="N1811" t="s">
        <v>11434</v>
      </c>
      <c r="O1811" t="s">
        <v>11508</v>
      </c>
      <c r="P1811" t="s">
        <v>11539</v>
      </c>
      <c r="Q1811" t="s">
        <v>25</v>
      </c>
      <c r="R1811" t="s">
        <v>11948</v>
      </c>
    </row>
    <row r="1812" spans="1:18">
      <c r="A1812" t="s">
        <v>11815</v>
      </c>
      <c r="B1812" t="s">
        <v>11860</v>
      </c>
      <c r="C1812" t="s">
        <v>11905</v>
      </c>
      <c r="D1812" s="17" t="s">
        <v>21</v>
      </c>
      <c r="E1812" t="s">
        <v>11613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82</v>
      </c>
      <c r="N1812" t="s">
        <v>11481</v>
      </c>
      <c r="O1812" t="s">
        <v>11508</v>
      </c>
      <c r="P1812" t="s">
        <v>11586</v>
      </c>
      <c r="Q1812" t="s">
        <v>25</v>
      </c>
      <c r="R1812" t="s">
        <v>11995</v>
      </c>
    </row>
    <row r="1813" spans="1:18">
      <c r="A1813" t="s">
        <v>11820</v>
      </c>
      <c r="B1813" t="s">
        <v>11865</v>
      </c>
      <c r="C1813" t="s">
        <v>11910</v>
      </c>
      <c r="D1813" s="17" t="s">
        <v>21</v>
      </c>
      <c r="E1813" t="s">
        <v>11613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91</v>
      </c>
      <c r="N1813" t="s">
        <v>11491</v>
      </c>
      <c r="O1813" t="s">
        <v>11508</v>
      </c>
      <c r="P1813" t="s">
        <v>11596</v>
      </c>
      <c r="Q1813" t="s">
        <v>25</v>
      </c>
      <c r="R1813" t="s">
        <v>12005</v>
      </c>
    </row>
    <row r="1814" spans="1:18">
      <c r="A1814" t="s">
        <v>11786</v>
      </c>
      <c r="B1814" t="s">
        <v>11831</v>
      </c>
      <c r="C1814" t="s">
        <v>11876</v>
      </c>
      <c r="D1814" s="17" t="s">
        <v>21</v>
      </c>
      <c r="E1814" t="s">
        <v>11613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100</v>
      </c>
      <c r="N1814" t="s">
        <v>11409</v>
      </c>
      <c r="O1814" t="s">
        <v>11508</v>
      </c>
      <c r="P1814" t="s">
        <v>11514</v>
      </c>
      <c r="Q1814" t="s">
        <v>25</v>
      </c>
      <c r="R1814" t="s">
        <v>11923</v>
      </c>
    </row>
    <row r="1815" spans="1:18">
      <c r="A1815" t="s">
        <v>11793</v>
      </c>
      <c r="B1815" t="s">
        <v>11838</v>
      </c>
      <c r="C1815" t="s">
        <v>11883</v>
      </c>
      <c r="D1815" s="17" t="s">
        <v>21</v>
      </c>
      <c r="E1815" t="s">
        <v>11613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110</v>
      </c>
      <c r="N1815" t="s">
        <v>11424</v>
      </c>
      <c r="O1815" t="s">
        <v>11508</v>
      </c>
      <c r="P1815" t="s">
        <v>11529</v>
      </c>
      <c r="Q1815" t="s">
        <v>25</v>
      </c>
      <c r="R1815" t="s">
        <v>11938</v>
      </c>
    </row>
    <row r="1816" spans="1:18">
      <c r="A1816" t="s">
        <v>11797</v>
      </c>
      <c r="B1816" t="s">
        <v>11842</v>
      </c>
      <c r="C1816" t="s">
        <v>11887</v>
      </c>
      <c r="D1816" s="17" t="s">
        <v>21</v>
      </c>
      <c r="E1816" t="s">
        <v>11613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120</v>
      </c>
      <c r="N1816" t="s">
        <v>11428</v>
      </c>
      <c r="O1816" t="s">
        <v>11508</v>
      </c>
      <c r="P1816" t="s">
        <v>11533</v>
      </c>
      <c r="Q1816" t="s">
        <v>25</v>
      </c>
      <c r="R1816" t="s">
        <v>11942</v>
      </c>
    </row>
    <row r="1817" spans="1:18">
      <c r="A1817" t="s">
        <v>11799</v>
      </c>
      <c r="B1817" t="s">
        <v>11844</v>
      </c>
      <c r="C1817" t="s">
        <v>11889</v>
      </c>
      <c r="D1817" s="17" t="s">
        <v>21</v>
      </c>
      <c r="E1817" t="s">
        <v>11613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130</v>
      </c>
      <c r="N1817" t="s">
        <v>11437</v>
      </c>
      <c r="O1817" t="s">
        <v>11508</v>
      </c>
      <c r="P1817" t="s">
        <v>11542</v>
      </c>
      <c r="Q1817" t="s">
        <v>25</v>
      </c>
      <c r="R1817" t="s">
        <v>11951</v>
      </c>
    </row>
    <row r="1818" spans="1:18">
      <c r="A1818" t="s">
        <v>11816</v>
      </c>
      <c r="B1818" t="s">
        <v>11861</v>
      </c>
      <c r="C1818" t="s">
        <v>11906</v>
      </c>
      <c r="D1818" s="17" t="s">
        <v>21</v>
      </c>
      <c r="E1818" t="s">
        <v>11613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150</v>
      </c>
      <c r="N1818" t="s">
        <v>11483</v>
      </c>
      <c r="O1818" t="s">
        <v>11508</v>
      </c>
      <c r="P1818" t="s">
        <v>11588</v>
      </c>
      <c r="Q1818" t="s">
        <v>25</v>
      </c>
      <c r="R1818" t="s">
        <v>11997</v>
      </c>
    </row>
    <row r="1819" spans="1:18">
      <c r="A1819" t="s">
        <v>11800</v>
      </c>
      <c r="B1819" t="s">
        <v>11845</v>
      </c>
      <c r="C1819" t="s">
        <v>11890</v>
      </c>
      <c r="D1819" s="17" t="s">
        <v>21</v>
      </c>
      <c r="E1819" t="s">
        <v>11613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160</v>
      </c>
      <c r="N1819" t="s">
        <v>11438</v>
      </c>
      <c r="O1819" t="s">
        <v>11508</v>
      </c>
      <c r="P1819" t="s">
        <v>11543</v>
      </c>
      <c r="Q1819" t="s">
        <v>25</v>
      </c>
      <c r="R1819" t="s">
        <v>11952</v>
      </c>
    </row>
    <row r="1820" spans="1:18">
      <c r="A1820" t="s">
        <v>11803</v>
      </c>
      <c r="B1820" t="s">
        <v>11848</v>
      </c>
      <c r="C1820" t="s">
        <v>11893</v>
      </c>
      <c r="D1820" s="17" t="s">
        <v>21</v>
      </c>
      <c r="E1820" t="s">
        <v>11613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180</v>
      </c>
      <c r="N1820" t="s">
        <v>11445</v>
      </c>
      <c r="O1820" t="s">
        <v>11508</v>
      </c>
      <c r="P1820" t="s">
        <v>11550</v>
      </c>
      <c r="Q1820" t="s">
        <v>25</v>
      </c>
      <c r="R1820" t="s">
        <v>11959</v>
      </c>
    </row>
    <row r="1821" spans="1:18">
      <c r="A1821" t="s">
        <v>11794</v>
      </c>
      <c r="B1821" t="s">
        <v>11839</v>
      </c>
      <c r="C1821" t="s">
        <v>11884</v>
      </c>
      <c r="D1821" s="17" t="s">
        <v>21</v>
      </c>
      <c r="E1821" t="s">
        <v>11613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200</v>
      </c>
      <c r="N1821" t="s">
        <v>11425</v>
      </c>
      <c r="O1821" t="s">
        <v>11508</v>
      </c>
      <c r="P1821" t="s">
        <v>11530</v>
      </c>
      <c r="Q1821" t="s">
        <v>25</v>
      </c>
      <c r="R1821" t="s">
        <v>11939</v>
      </c>
    </row>
    <row r="1822" spans="1:18">
      <c r="A1822" t="s">
        <v>11788</v>
      </c>
      <c r="B1822" t="s">
        <v>11833</v>
      </c>
      <c r="C1822" t="s">
        <v>11878</v>
      </c>
      <c r="D1822" s="17" t="s">
        <v>21</v>
      </c>
      <c r="E1822" t="s">
        <v>11613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220</v>
      </c>
      <c r="N1822" t="s">
        <v>11411</v>
      </c>
      <c r="O1822" t="s">
        <v>11508</v>
      </c>
      <c r="P1822" t="s">
        <v>11516</v>
      </c>
      <c r="Q1822" t="s">
        <v>25</v>
      </c>
      <c r="R1822" t="s">
        <v>11925</v>
      </c>
    </row>
    <row r="1823" spans="1:18">
      <c r="A1823" t="s">
        <v>11785</v>
      </c>
      <c r="B1823" t="s">
        <v>11830</v>
      </c>
      <c r="C1823" t="s">
        <v>11875</v>
      </c>
      <c r="D1823" s="17" t="s">
        <v>21</v>
      </c>
      <c r="E1823" t="s">
        <v>11613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240</v>
      </c>
      <c r="N1823" t="s">
        <v>11407</v>
      </c>
      <c r="O1823" t="s">
        <v>11508</v>
      </c>
      <c r="P1823" t="s">
        <v>11512</v>
      </c>
      <c r="Q1823" t="s">
        <v>25</v>
      </c>
      <c r="R1823" t="s">
        <v>11921</v>
      </c>
    </row>
    <row r="1824" spans="1:18">
      <c r="A1824" t="s">
        <v>11791</v>
      </c>
      <c r="B1824" t="s">
        <v>11836</v>
      </c>
      <c r="C1824" t="s">
        <v>11881</v>
      </c>
      <c r="D1824" s="17" t="s">
        <v>21</v>
      </c>
      <c r="E1824" t="s">
        <v>11613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270</v>
      </c>
      <c r="N1824" t="s">
        <v>11416</v>
      </c>
      <c r="O1824" t="s">
        <v>11508</v>
      </c>
      <c r="P1824" t="s">
        <v>11521</v>
      </c>
      <c r="Q1824" t="s">
        <v>25</v>
      </c>
      <c r="R1824" t="s">
        <v>11930</v>
      </c>
    </row>
    <row r="1825" spans="1:18">
      <c r="A1825" t="s">
        <v>11813</v>
      </c>
      <c r="B1825" t="s">
        <v>11858</v>
      </c>
      <c r="C1825" t="s">
        <v>11903</v>
      </c>
      <c r="D1825" s="17" t="s">
        <v>21</v>
      </c>
      <c r="E1825" t="s">
        <v>11613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300</v>
      </c>
      <c r="N1825" t="s">
        <v>11479</v>
      </c>
      <c r="O1825" t="s">
        <v>11508</v>
      </c>
      <c r="P1825" t="s">
        <v>11584</v>
      </c>
      <c r="Q1825" t="s">
        <v>25</v>
      </c>
      <c r="R1825" t="s">
        <v>11993</v>
      </c>
    </row>
    <row r="1826" spans="1:18">
      <c r="A1826" t="s">
        <v>11795</v>
      </c>
      <c r="B1826" t="s">
        <v>11840</v>
      </c>
      <c r="C1826" t="s">
        <v>11885</v>
      </c>
      <c r="D1826" s="17" t="s">
        <v>21</v>
      </c>
      <c r="E1826" t="s">
        <v>11613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330</v>
      </c>
      <c r="N1826" t="s">
        <v>11426</v>
      </c>
      <c r="O1826" t="s">
        <v>11508</v>
      </c>
      <c r="P1826" t="s">
        <v>11531</v>
      </c>
      <c r="Q1826" t="s">
        <v>25</v>
      </c>
      <c r="R1826" t="s">
        <v>11940</v>
      </c>
    </row>
    <row r="1827" spans="1:18">
      <c r="A1827" t="s">
        <v>11804</v>
      </c>
      <c r="B1827" t="s">
        <v>11849</v>
      </c>
      <c r="C1827" t="s">
        <v>11894</v>
      </c>
      <c r="D1827" s="17" t="s">
        <v>21</v>
      </c>
      <c r="E1827" t="s">
        <v>11613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360</v>
      </c>
      <c r="N1827" t="s">
        <v>11446</v>
      </c>
      <c r="O1827" t="s">
        <v>11508</v>
      </c>
      <c r="P1827" t="s">
        <v>11551</v>
      </c>
      <c r="Q1827" t="s">
        <v>25</v>
      </c>
      <c r="R1827" t="s">
        <v>11960</v>
      </c>
    </row>
    <row r="1828" spans="1:18">
      <c r="A1828" t="s">
        <v>11802</v>
      </c>
      <c r="B1828" t="s">
        <v>11847</v>
      </c>
      <c r="C1828" t="s">
        <v>11892</v>
      </c>
      <c r="D1828" s="17" t="s">
        <v>21</v>
      </c>
      <c r="E1828" t="s">
        <v>11613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390</v>
      </c>
      <c r="N1828" t="s">
        <v>11442</v>
      </c>
      <c r="O1828" t="s">
        <v>11508</v>
      </c>
      <c r="P1828" t="s">
        <v>11547</v>
      </c>
      <c r="Q1828" t="s">
        <v>25</v>
      </c>
      <c r="R1828" t="s">
        <v>11956</v>
      </c>
    </row>
    <row r="1829" spans="1:18">
      <c r="A1829" t="s">
        <v>11827</v>
      </c>
      <c r="B1829" t="s">
        <v>11872</v>
      </c>
      <c r="C1829" t="s">
        <v>11917</v>
      </c>
      <c r="D1829" s="17" t="s">
        <v>21</v>
      </c>
      <c r="E1829" t="s">
        <v>11613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430</v>
      </c>
      <c r="N1829" t="s">
        <v>11507</v>
      </c>
      <c r="O1829" t="s">
        <v>11508</v>
      </c>
      <c r="P1829" t="s">
        <v>11612</v>
      </c>
      <c r="Q1829" t="s">
        <v>25</v>
      </c>
      <c r="R1829" t="s">
        <v>12021</v>
      </c>
    </row>
    <row r="1830" spans="1:18">
      <c r="A1830" t="s">
        <v>11790</v>
      </c>
      <c r="B1830" t="s">
        <v>11835</v>
      </c>
      <c r="C1830" t="s">
        <v>11880</v>
      </c>
      <c r="D1830" s="17" t="s">
        <v>21</v>
      </c>
      <c r="E1830" t="s">
        <v>11613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470</v>
      </c>
      <c r="N1830" t="s">
        <v>11415</v>
      </c>
      <c r="O1830" t="s">
        <v>11508</v>
      </c>
      <c r="P1830" t="s">
        <v>11520</v>
      </c>
      <c r="Q1830" t="s">
        <v>25</v>
      </c>
      <c r="R1830" t="s">
        <v>11929</v>
      </c>
    </row>
    <row r="1831" spans="1:18">
      <c r="A1831" t="s">
        <v>11806</v>
      </c>
      <c r="B1831" t="s">
        <v>11851</v>
      </c>
      <c r="C1831" t="s">
        <v>11896</v>
      </c>
      <c r="D1831" s="17" t="s">
        <v>21</v>
      </c>
      <c r="E1831" t="s">
        <v>11613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510</v>
      </c>
      <c r="N1831" t="s">
        <v>11449</v>
      </c>
      <c r="O1831" t="s">
        <v>11508</v>
      </c>
      <c r="P1831" t="s">
        <v>11554</v>
      </c>
      <c r="Q1831" t="s">
        <v>25</v>
      </c>
      <c r="R1831" t="s">
        <v>11963</v>
      </c>
    </row>
    <row r="1832" spans="1:18">
      <c r="A1832" t="s">
        <v>11809</v>
      </c>
      <c r="B1832" t="s">
        <v>11854</v>
      </c>
      <c r="C1832" t="s">
        <v>11899</v>
      </c>
      <c r="D1832" s="17" t="s">
        <v>21</v>
      </c>
      <c r="E1832" t="s">
        <v>11613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560</v>
      </c>
      <c r="N1832" t="s">
        <v>11462</v>
      </c>
      <c r="O1832" t="s">
        <v>11508</v>
      </c>
      <c r="P1832" t="s">
        <v>11567</v>
      </c>
      <c r="Q1832" t="s">
        <v>25</v>
      </c>
      <c r="R1832" t="s">
        <v>11976</v>
      </c>
    </row>
    <row r="1833" spans="1:18">
      <c r="A1833" t="s">
        <v>11796</v>
      </c>
      <c r="B1833" t="s">
        <v>11841</v>
      </c>
      <c r="C1833" t="s">
        <v>11886</v>
      </c>
      <c r="D1833" s="17" t="s">
        <v>21</v>
      </c>
      <c r="E1833" t="s">
        <v>11613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620</v>
      </c>
      <c r="N1833" t="s">
        <v>11427</v>
      </c>
      <c r="O1833" t="s">
        <v>11508</v>
      </c>
      <c r="P1833" t="s">
        <v>11532</v>
      </c>
      <c r="Q1833" t="s">
        <v>25</v>
      </c>
      <c r="R1833" t="s">
        <v>11941</v>
      </c>
    </row>
    <row r="1834" spans="1:18">
      <c r="A1834" t="s">
        <v>11818</v>
      </c>
      <c r="B1834" t="s">
        <v>11863</v>
      </c>
      <c r="C1834" t="s">
        <v>11908</v>
      </c>
      <c r="D1834" s="17" t="s">
        <v>21</v>
      </c>
      <c r="E1834" t="s">
        <v>11613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680</v>
      </c>
      <c r="N1834" t="s">
        <v>11487</v>
      </c>
      <c r="O1834" t="s">
        <v>11508</v>
      </c>
      <c r="P1834" t="s">
        <v>11592</v>
      </c>
      <c r="Q1834" t="s">
        <v>25</v>
      </c>
      <c r="R1834" t="s">
        <v>12001</v>
      </c>
    </row>
    <row r="1835" spans="1:18">
      <c r="A1835" t="s">
        <v>11812</v>
      </c>
      <c r="B1835" t="s">
        <v>11857</v>
      </c>
      <c r="C1835" t="s">
        <v>11902</v>
      </c>
      <c r="D1835" s="17" t="s">
        <v>21</v>
      </c>
      <c r="E1835" t="s">
        <v>11613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750</v>
      </c>
      <c r="N1835" t="s">
        <v>11477</v>
      </c>
      <c r="O1835" t="s">
        <v>11508</v>
      </c>
      <c r="P1835" t="s">
        <v>11582</v>
      </c>
      <c r="Q1835" t="s">
        <v>25</v>
      </c>
      <c r="R1835" t="s">
        <v>11991</v>
      </c>
    </row>
    <row r="1836" spans="1:18">
      <c r="A1836" t="s">
        <v>11817</v>
      </c>
      <c r="B1836" t="s">
        <v>11862</v>
      </c>
      <c r="C1836" t="s">
        <v>11907</v>
      </c>
      <c r="D1836" s="17" t="s">
        <v>21</v>
      </c>
      <c r="E1836" t="s">
        <v>11613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820</v>
      </c>
      <c r="N1836" t="s">
        <v>11484</v>
      </c>
      <c r="O1836" t="s">
        <v>11508</v>
      </c>
      <c r="P1836" t="s">
        <v>11589</v>
      </c>
      <c r="Q1836" t="s">
        <v>25</v>
      </c>
      <c r="R1836" t="s">
        <v>11998</v>
      </c>
    </row>
    <row r="1837" spans="1:18">
      <c r="A1837" t="s">
        <v>11811</v>
      </c>
      <c r="B1837" t="s">
        <v>11856</v>
      </c>
      <c r="C1837" t="s">
        <v>11901</v>
      </c>
      <c r="D1837" s="17" t="s">
        <v>21</v>
      </c>
      <c r="E1837" t="s">
        <v>11613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910</v>
      </c>
      <c r="N1837" t="s">
        <v>11468</v>
      </c>
      <c r="O1837" t="s">
        <v>11508</v>
      </c>
      <c r="P1837" t="s">
        <v>11573</v>
      </c>
      <c r="Q1837" t="s">
        <v>25</v>
      </c>
      <c r="R1837" t="s">
        <v>11982</v>
      </c>
    </row>
    <row r="1838" spans="1:18">
      <c r="A1838" t="s">
        <v>11680</v>
      </c>
      <c r="B1838" t="s">
        <v>11624</v>
      </c>
      <c r="C1838" t="s">
        <v>11736</v>
      </c>
      <c r="D1838" s="17" t="s">
        <v>21</v>
      </c>
      <c r="E1838" t="s">
        <v>11613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1000</v>
      </c>
      <c r="N1838" t="s">
        <v>11430</v>
      </c>
      <c r="O1838" t="s">
        <v>11508</v>
      </c>
      <c r="P1838" t="s">
        <v>11535</v>
      </c>
      <c r="Q1838" t="s">
        <v>25</v>
      </c>
      <c r="R1838" t="s">
        <v>11944</v>
      </c>
    </row>
    <row r="1839" spans="1:18">
      <c r="A1839" t="s">
        <v>11679</v>
      </c>
      <c r="B1839" t="s">
        <v>11623</v>
      </c>
      <c r="C1839" t="s">
        <v>11735</v>
      </c>
      <c r="D1839" s="17" t="s">
        <v>21</v>
      </c>
      <c r="E1839" t="s">
        <v>11613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1100</v>
      </c>
      <c r="N1839" t="s">
        <v>11423</v>
      </c>
      <c r="O1839" t="s">
        <v>11508</v>
      </c>
      <c r="P1839" t="s">
        <v>11528</v>
      </c>
      <c r="Q1839" t="s">
        <v>25</v>
      </c>
      <c r="R1839" t="s">
        <v>11937</v>
      </c>
    </row>
    <row r="1840" spans="1:18">
      <c r="A1840" t="s">
        <v>11713</v>
      </c>
      <c r="B1840" t="s">
        <v>11657</v>
      </c>
      <c r="C1840" t="s">
        <v>11769</v>
      </c>
      <c r="D1840" s="17" t="s">
        <v>21</v>
      </c>
      <c r="E1840" t="s">
        <v>11613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1200</v>
      </c>
      <c r="N1840" t="s">
        <v>11482</v>
      </c>
      <c r="O1840" t="s">
        <v>11508</v>
      </c>
      <c r="P1840" t="s">
        <v>11587</v>
      </c>
      <c r="Q1840" t="s">
        <v>25</v>
      </c>
      <c r="R1840" t="s">
        <v>11996</v>
      </c>
    </row>
    <row r="1841" spans="1:18">
      <c r="A1841" t="s">
        <v>11703</v>
      </c>
      <c r="B1841" t="s">
        <v>11647</v>
      </c>
      <c r="C1841" t="s">
        <v>11759</v>
      </c>
      <c r="D1841" s="17" t="s">
        <v>21</v>
      </c>
      <c r="E1841" t="s">
        <v>11613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1300</v>
      </c>
      <c r="N1841" t="s">
        <v>11467</v>
      </c>
      <c r="O1841" t="s">
        <v>11508</v>
      </c>
      <c r="P1841" t="s">
        <v>11572</v>
      </c>
      <c r="Q1841" t="s">
        <v>25</v>
      </c>
      <c r="R1841" t="s">
        <v>11981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11613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1500</v>
      </c>
      <c r="N1842" t="s">
        <v>11476</v>
      </c>
      <c r="O1842" t="s">
        <v>11508</v>
      </c>
      <c r="P1842" t="s">
        <v>11581</v>
      </c>
      <c r="Q1842" t="s">
        <v>25</v>
      </c>
      <c r="R1842" t="s">
        <v>11990</v>
      </c>
    </row>
    <row r="1843" spans="1:18">
      <c r="A1843" t="s">
        <v>11725</v>
      </c>
      <c r="B1843" t="s">
        <v>11669</v>
      </c>
      <c r="C1843" t="s">
        <v>11781</v>
      </c>
      <c r="D1843" s="17" t="s">
        <v>21</v>
      </c>
      <c r="E1843" t="s">
        <v>11613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1600</v>
      </c>
      <c r="N1843" t="s">
        <v>11505</v>
      </c>
      <c r="O1843" t="s">
        <v>11508</v>
      </c>
      <c r="P1843" t="s">
        <v>11610</v>
      </c>
      <c r="Q1843" t="s">
        <v>25</v>
      </c>
      <c r="R1843" t="s">
        <v>12019</v>
      </c>
    </row>
    <row r="1844" spans="1:18">
      <c r="A1844" t="s">
        <v>11719</v>
      </c>
      <c r="B1844" t="s">
        <v>11663</v>
      </c>
      <c r="C1844" t="s">
        <v>11775</v>
      </c>
      <c r="D1844" s="17" t="s">
        <v>21</v>
      </c>
      <c r="E1844" t="s">
        <v>11613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1800</v>
      </c>
      <c r="N1844" t="s">
        <v>11496</v>
      </c>
      <c r="O1844" t="s">
        <v>11508</v>
      </c>
      <c r="P1844" t="s">
        <v>11601</v>
      </c>
      <c r="Q1844" t="s">
        <v>25</v>
      </c>
      <c r="R1844" t="s">
        <v>12010</v>
      </c>
    </row>
    <row r="1845" spans="1:18">
      <c r="A1845" t="s">
        <v>11681</v>
      </c>
      <c r="B1845" t="s">
        <v>11625</v>
      </c>
      <c r="C1845" t="s">
        <v>11737</v>
      </c>
      <c r="D1845" s="17" t="s">
        <v>21</v>
      </c>
      <c r="E1845" t="s">
        <v>11613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2000</v>
      </c>
      <c r="N1845" t="s">
        <v>11431</v>
      </c>
      <c r="O1845" t="s">
        <v>11508</v>
      </c>
      <c r="P1845" t="s">
        <v>11536</v>
      </c>
      <c r="Q1845" t="s">
        <v>25</v>
      </c>
      <c r="R1845" t="s">
        <v>11945</v>
      </c>
    </row>
    <row r="1846" spans="1:18">
      <c r="A1846" t="s">
        <v>11687</v>
      </c>
      <c r="B1846" t="s">
        <v>11631</v>
      </c>
      <c r="C1846" t="s">
        <v>11743</v>
      </c>
      <c r="D1846" s="17" t="s">
        <v>21</v>
      </c>
      <c r="E1846" t="s">
        <v>11613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2200</v>
      </c>
      <c r="N1846" t="s">
        <v>11443</v>
      </c>
      <c r="O1846" t="s">
        <v>11508</v>
      </c>
      <c r="P1846" t="s">
        <v>11548</v>
      </c>
      <c r="Q1846" t="s">
        <v>25</v>
      </c>
      <c r="R1846" t="s">
        <v>11957</v>
      </c>
    </row>
    <row r="1847" spans="1:18">
      <c r="A1847" t="s">
        <v>11705</v>
      </c>
      <c r="B1847" t="s">
        <v>11649</v>
      </c>
      <c r="C1847" t="s">
        <v>11761</v>
      </c>
      <c r="D1847" s="17" t="s">
        <v>21</v>
      </c>
      <c r="E1847" t="s">
        <v>11613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2400</v>
      </c>
      <c r="N1847" t="s">
        <v>11470</v>
      </c>
      <c r="O1847" t="s">
        <v>11508</v>
      </c>
      <c r="P1847" t="s">
        <v>11575</v>
      </c>
      <c r="Q1847" t="s">
        <v>25</v>
      </c>
      <c r="R1847" t="s">
        <v>11984</v>
      </c>
    </row>
    <row r="1848" spans="1:18">
      <c r="A1848" t="s">
        <v>11717</v>
      </c>
      <c r="B1848" t="s">
        <v>11661</v>
      </c>
      <c r="C1848" t="s">
        <v>11773</v>
      </c>
      <c r="D1848" s="17" t="s">
        <v>21</v>
      </c>
      <c r="E1848" t="s">
        <v>11613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2700</v>
      </c>
      <c r="N1848" t="s">
        <v>11489</v>
      </c>
      <c r="O1848" t="s">
        <v>11508</v>
      </c>
      <c r="P1848" t="s">
        <v>11594</v>
      </c>
      <c r="Q1848" t="s">
        <v>25</v>
      </c>
      <c r="R1848" t="s">
        <v>12003</v>
      </c>
    </row>
    <row r="1849" spans="1:18">
      <c r="A1849" t="s">
        <v>11726</v>
      </c>
      <c r="B1849" t="s">
        <v>11670</v>
      </c>
      <c r="C1849" t="s">
        <v>11782</v>
      </c>
      <c r="D1849" s="17" t="s">
        <v>21</v>
      </c>
      <c r="E1849" t="s">
        <v>11613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3000</v>
      </c>
      <c r="N1849" t="s">
        <v>11506</v>
      </c>
      <c r="O1849" t="s">
        <v>11508</v>
      </c>
      <c r="P1849" t="s">
        <v>11611</v>
      </c>
      <c r="Q1849" t="s">
        <v>25</v>
      </c>
      <c r="R1849" t="s">
        <v>12020</v>
      </c>
    </row>
    <row r="1850" spans="1:18">
      <c r="A1850" t="s">
        <v>11722</v>
      </c>
      <c r="B1850" t="s">
        <v>11666</v>
      </c>
      <c r="C1850" t="s">
        <v>11778</v>
      </c>
      <c r="D1850" s="17" t="s">
        <v>21</v>
      </c>
      <c r="E1850" t="s">
        <v>11613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3300</v>
      </c>
      <c r="N1850" t="s">
        <v>11500</v>
      </c>
      <c r="O1850" t="s">
        <v>11508</v>
      </c>
      <c r="P1850" t="s">
        <v>11605</v>
      </c>
      <c r="Q1850" t="s">
        <v>25</v>
      </c>
      <c r="R1850" t="s">
        <v>12014</v>
      </c>
    </row>
    <row r="1851" spans="1:18">
      <c r="A1851" t="s">
        <v>11701</v>
      </c>
      <c r="B1851" t="s">
        <v>11645</v>
      </c>
      <c r="C1851" t="s">
        <v>11757</v>
      </c>
      <c r="D1851" s="17" t="s">
        <v>21</v>
      </c>
      <c r="E1851" t="s">
        <v>11613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3600</v>
      </c>
      <c r="N1851" t="s">
        <v>11465</v>
      </c>
      <c r="O1851" t="s">
        <v>11508</v>
      </c>
      <c r="P1851" t="s">
        <v>11570</v>
      </c>
      <c r="Q1851" t="s">
        <v>25</v>
      </c>
      <c r="R1851" t="s">
        <v>11979</v>
      </c>
    </row>
    <row r="1852" spans="1:18">
      <c r="A1852" t="s">
        <v>11675</v>
      </c>
      <c r="B1852" t="s">
        <v>11619</v>
      </c>
      <c r="C1852" t="s">
        <v>11731</v>
      </c>
      <c r="D1852" s="17" t="s">
        <v>21</v>
      </c>
      <c r="E1852" t="s">
        <v>11613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3900</v>
      </c>
      <c r="N1852" t="s">
        <v>11418</v>
      </c>
      <c r="O1852" t="s">
        <v>11508</v>
      </c>
      <c r="P1852" t="s">
        <v>11523</v>
      </c>
      <c r="Q1852" t="s">
        <v>25</v>
      </c>
      <c r="R1852" t="s">
        <v>11932</v>
      </c>
    </row>
    <row r="1853" spans="1:18">
      <c r="A1853" t="s">
        <v>11708</v>
      </c>
      <c r="B1853" t="s">
        <v>11652</v>
      </c>
      <c r="C1853" t="s">
        <v>11764</v>
      </c>
      <c r="D1853" s="17" t="s">
        <v>21</v>
      </c>
      <c r="E1853" t="s">
        <v>11613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4300</v>
      </c>
      <c r="N1853" t="s">
        <v>11473</v>
      </c>
      <c r="O1853" t="s">
        <v>11508</v>
      </c>
      <c r="P1853" t="s">
        <v>11578</v>
      </c>
      <c r="Q1853" t="s">
        <v>25</v>
      </c>
      <c r="R1853" t="s">
        <v>11987</v>
      </c>
    </row>
    <row r="1854" spans="1:18">
      <c r="A1854" t="s">
        <v>11683</v>
      </c>
      <c r="B1854" t="s">
        <v>11627</v>
      </c>
      <c r="C1854" t="s">
        <v>11739</v>
      </c>
      <c r="D1854" s="17" t="s">
        <v>21</v>
      </c>
      <c r="E1854" t="s">
        <v>11613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4700</v>
      </c>
      <c r="N1854" t="s">
        <v>11435</v>
      </c>
      <c r="O1854" t="s">
        <v>11508</v>
      </c>
      <c r="P1854" t="s">
        <v>11540</v>
      </c>
      <c r="Q1854" t="s">
        <v>25</v>
      </c>
      <c r="R1854" t="s">
        <v>11949</v>
      </c>
    </row>
    <row r="1855" spans="1:18">
      <c r="A1855" t="s">
        <v>11689</v>
      </c>
      <c r="B1855" t="s">
        <v>11633</v>
      </c>
      <c r="C1855" t="s">
        <v>11745</v>
      </c>
      <c r="D1855" s="17" t="s">
        <v>21</v>
      </c>
      <c r="E1855" t="s">
        <v>11613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5100</v>
      </c>
      <c r="N1855" t="s">
        <v>11447</v>
      </c>
      <c r="O1855" t="s">
        <v>11508</v>
      </c>
      <c r="P1855" t="s">
        <v>11552</v>
      </c>
      <c r="Q1855" t="s">
        <v>25</v>
      </c>
      <c r="R1855" t="s">
        <v>11961</v>
      </c>
    </row>
    <row r="1856" spans="1:18">
      <c r="A1856" t="s">
        <v>11676</v>
      </c>
      <c r="B1856" t="s">
        <v>11620</v>
      </c>
      <c r="C1856" t="s">
        <v>11732</v>
      </c>
      <c r="D1856" s="17" t="s">
        <v>21</v>
      </c>
      <c r="E1856" t="s">
        <v>11613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5600</v>
      </c>
      <c r="N1856" t="s">
        <v>11419</v>
      </c>
      <c r="O1856" t="s">
        <v>11508</v>
      </c>
      <c r="P1856" t="s">
        <v>11524</v>
      </c>
      <c r="Q1856" t="s">
        <v>25</v>
      </c>
      <c r="R1856" t="s">
        <v>11933</v>
      </c>
    </row>
    <row r="1857" spans="1:18">
      <c r="A1857" t="s">
        <v>11702</v>
      </c>
      <c r="B1857" t="s">
        <v>11646</v>
      </c>
      <c r="C1857" t="s">
        <v>11758</v>
      </c>
      <c r="D1857" s="17" t="s">
        <v>21</v>
      </c>
      <c r="E1857" t="s">
        <v>11613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6200</v>
      </c>
      <c r="N1857" t="s">
        <v>11466</v>
      </c>
      <c r="O1857" t="s">
        <v>11508</v>
      </c>
      <c r="P1857" t="s">
        <v>11571</v>
      </c>
      <c r="Q1857" t="s">
        <v>25</v>
      </c>
      <c r="R1857" t="s">
        <v>11980</v>
      </c>
    </row>
    <row r="1858" spans="1:18">
      <c r="A1858" t="s">
        <v>11682</v>
      </c>
      <c r="B1858" t="s">
        <v>11626</v>
      </c>
      <c r="C1858" t="s">
        <v>11738</v>
      </c>
      <c r="D1858" s="17" t="s">
        <v>21</v>
      </c>
      <c r="E1858" t="s">
        <v>11613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6800</v>
      </c>
      <c r="N1858" t="s">
        <v>11432</v>
      </c>
      <c r="O1858" t="s">
        <v>11508</v>
      </c>
      <c r="P1858" t="s">
        <v>11537</v>
      </c>
      <c r="Q1858" t="s">
        <v>25</v>
      </c>
      <c r="R1858" t="s">
        <v>11946</v>
      </c>
    </row>
    <row r="1859" spans="1:18">
      <c r="A1859" t="s">
        <v>11712</v>
      </c>
      <c r="B1859" t="s">
        <v>11656</v>
      </c>
      <c r="C1859" t="s">
        <v>11768</v>
      </c>
      <c r="D1859" s="17" t="s">
        <v>21</v>
      </c>
      <c r="E1859" t="s">
        <v>11613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7500</v>
      </c>
      <c r="N1859" t="s">
        <v>11478</v>
      </c>
      <c r="O1859" t="s">
        <v>11508</v>
      </c>
      <c r="P1859" t="s">
        <v>11583</v>
      </c>
      <c r="Q1859" t="s">
        <v>25</v>
      </c>
      <c r="R1859" t="s">
        <v>11992</v>
      </c>
    </row>
    <row r="1860" spans="1:18">
      <c r="A1860" t="s">
        <v>11674</v>
      </c>
      <c r="B1860" t="s">
        <v>11618</v>
      </c>
      <c r="C1860" t="s">
        <v>11730</v>
      </c>
      <c r="D1860" s="17" t="s">
        <v>21</v>
      </c>
      <c r="E1860" t="s">
        <v>11613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8200</v>
      </c>
      <c r="N1860" t="s">
        <v>11417</v>
      </c>
      <c r="O1860" t="s">
        <v>11508</v>
      </c>
      <c r="P1860" t="s">
        <v>11522</v>
      </c>
      <c r="Q1860" t="s">
        <v>25</v>
      </c>
      <c r="R1860" t="s">
        <v>11931</v>
      </c>
    </row>
    <row r="1861" spans="1:18">
      <c r="A1861" t="s">
        <v>11709</v>
      </c>
      <c r="B1861" t="s">
        <v>11653</v>
      </c>
      <c r="C1861" t="s">
        <v>11765</v>
      </c>
      <c r="D1861" s="17" t="s">
        <v>21</v>
      </c>
      <c r="E1861" t="s">
        <v>11613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9100</v>
      </c>
      <c r="N1861" t="s">
        <v>11474</v>
      </c>
      <c r="O1861" t="s">
        <v>11508</v>
      </c>
      <c r="P1861" t="s">
        <v>11579</v>
      </c>
      <c r="Q1861" t="s">
        <v>25</v>
      </c>
      <c r="R1861" t="s">
        <v>11988</v>
      </c>
    </row>
    <row r="1862" spans="1:18">
      <c r="A1862" t="s">
        <v>11692</v>
      </c>
      <c r="B1862" t="s">
        <v>11636</v>
      </c>
      <c r="C1862" t="s">
        <v>11748</v>
      </c>
      <c r="D1862" s="17" t="s">
        <v>21</v>
      </c>
      <c r="E1862" t="s">
        <v>11613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10000</v>
      </c>
      <c r="N1862" t="s">
        <v>11452</v>
      </c>
      <c r="O1862" t="s">
        <v>11508</v>
      </c>
      <c r="P1862" t="s">
        <v>11557</v>
      </c>
      <c r="Q1862" t="s">
        <v>25</v>
      </c>
      <c r="R1862" t="s">
        <v>11966</v>
      </c>
    </row>
    <row r="1863" spans="1:18">
      <c r="A1863" t="s">
        <v>11707</v>
      </c>
      <c r="B1863" t="s">
        <v>11651</v>
      </c>
      <c r="C1863" t="s">
        <v>11763</v>
      </c>
      <c r="D1863" s="17" t="s">
        <v>21</v>
      </c>
      <c r="E1863" t="s">
        <v>11613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11000</v>
      </c>
      <c r="N1863" t="s">
        <v>11472</v>
      </c>
      <c r="O1863" t="s">
        <v>11508</v>
      </c>
      <c r="P1863" t="s">
        <v>11577</v>
      </c>
      <c r="Q1863" t="s">
        <v>25</v>
      </c>
      <c r="R1863" t="s">
        <v>11986</v>
      </c>
    </row>
    <row r="1864" spans="1:18">
      <c r="A1864" t="s">
        <v>11684</v>
      </c>
      <c r="B1864" t="s">
        <v>11628</v>
      </c>
      <c r="C1864" t="s">
        <v>11740</v>
      </c>
      <c r="D1864" s="17" t="s">
        <v>21</v>
      </c>
      <c r="E1864" t="s">
        <v>11613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12000</v>
      </c>
      <c r="N1864" t="s">
        <v>11436</v>
      </c>
      <c r="O1864" t="s">
        <v>11508</v>
      </c>
      <c r="P1864" t="s">
        <v>11541</v>
      </c>
      <c r="Q1864" t="s">
        <v>25</v>
      </c>
      <c r="R1864" t="s">
        <v>11950</v>
      </c>
    </row>
    <row r="1865" spans="1:18">
      <c r="A1865" t="s">
        <v>11706</v>
      </c>
      <c r="B1865" t="s">
        <v>11650</v>
      </c>
      <c r="C1865" t="s">
        <v>11762</v>
      </c>
      <c r="D1865" s="17" t="s">
        <v>21</v>
      </c>
      <c r="E1865" t="s">
        <v>11613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13000</v>
      </c>
      <c r="N1865" t="s">
        <v>11471</v>
      </c>
      <c r="O1865" t="s">
        <v>11508</v>
      </c>
      <c r="P1865" t="s">
        <v>11576</v>
      </c>
      <c r="Q1865" t="s">
        <v>25</v>
      </c>
      <c r="R1865" t="s">
        <v>11985</v>
      </c>
    </row>
    <row r="1866" spans="1:18">
      <c r="A1866" t="s">
        <v>11686</v>
      </c>
      <c r="B1866" t="s">
        <v>11630</v>
      </c>
      <c r="C1866" t="s">
        <v>11742</v>
      </c>
      <c r="D1866" s="17" t="s">
        <v>21</v>
      </c>
      <c r="E1866" t="s">
        <v>11613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15000</v>
      </c>
      <c r="N1866" t="s">
        <v>11441</v>
      </c>
      <c r="O1866" t="s">
        <v>11508</v>
      </c>
      <c r="P1866" t="s">
        <v>11546</v>
      </c>
      <c r="Q1866" t="s">
        <v>25</v>
      </c>
      <c r="R1866" t="s">
        <v>11955</v>
      </c>
    </row>
    <row r="1867" spans="1:18">
      <c r="A1867" t="s">
        <v>11718</v>
      </c>
      <c r="B1867" t="s">
        <v>11662</v>
      </c>
      <c r="C1867" t="s">
        <v>11774</v>
      </c>
      <c r="D1867" s="17" t="s">
        <v>21</v>
      </c>
      <c r="E1867" t="s">
        <v>11613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16000</v>
      </c>
      <c r="N1867" t="s">
        <v>11495</v>
      </c>
      <c r="O1867" t="s">
        <v>11508</v>
      </c>
      <c r="P1867" t="s">
        <v>11600</v>
      </c>
      <c r="Q1867" t="s">
        <v>25</v>
      </c>
      <c r="R1867" t="s">
        <v>12009</v>
      </c>
    </row>
    <row r="1868" spans="1:18">
      <c r="A1868" t="s">
        <v>11671</v>
      </c>
      <c r="B1868" t="s">
        <v>11615</v>
      </c>
      <c r="C1868" t="s">
        <v>11727</v>
      </c>
      <c r="D1868" s="17" t="s">
        <v>21</v>
      </c>
      <c r="E1868" t="s">
        <v>11613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18000</v>
      </c>
      <c r="N1868" t="s">
        <v>11405</v>
      </c>
      <c r="O1868" t="s">
        <v>11508</v>
      </c>
      <c r="P1868" t="s">
        <v>11510</v>
      </c>
      <c r="Q1868" t="s">
        <v>25</v>
      </c>
      <c r="R1868" t="s">
        <v>11919</v>
      </c>
    </row>
    <row r="1869" spans="1:18">
      <c r="A1869" t="s">
        <v>11688</v>
      </c>
      <c r="B1869" t="s">
        <v>11632</v>
      </c>
      <c r="C1869" t="s">
        <v>11744</v>
      </c>
      <c r="D1869" s="17" t="s">
        <v>21</v>
      </c>
      <c r="E1869" t="s">
        <v>11613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20000</v>
      </c>
      <c r="N1869" t="s">
        <v>11444</v>
      </c>
      <c r="O1869" t="s">
        <v>11508</v>
      </c>
      <c r="P1869" t="s">
        <v>11549</v>
      </c>
      <c r="Q1869" t="s">
        <v>25</v>
      </c>
      <c r="R1869" t="s">
        <v>11958</v>
      </c>
    </row>
    <row r="1870" spans="1:18">
      <c r="A1870" t="s">
        <v>11710</v>
      </c>
      <c r="B1870" t="s">
        <v>11654</v>
      </c>
      <c r="C1870" t="s">
        <v>11766</v>
      </c>
      <c r="D1870" s="17" t="s">
        <v>21</v>
      </c>
      <c r="E1870" t="s">
        <v>11613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22000</v>
      </c>
      <c r="N1870" t="s">
        <v>11475</v>
      </c>
      <c r="O1870" t="s">
        <v>11508</v>
      </c>
      <c r="P1870" t="s">
        <v>11580</v>
      </c>
      <c r="Q1870" t="s">
        <v>25</v>
      </c>
      <c r="R1870" t="s">
        <v>11989</v>
      </c>
    </row>
    <row r="1871" spans="1:18">
      <c r="A1871" t="s">
        <v>11700</v>
      </c>
      <c r="B1871" t="s">
        <v>11644</v>
      </c>
      <c r="C1871" t="s">
        <v>11756</v>
      </c>
      <c r="D1871" s="17" t="s">
        <v>21</v>
      </c>
      <c r="E1871" t="s">
        <v>11613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24000</v>
      </c>
      <c r="N1871" t="s">
        <v>11463</v>
      </c>
      <c r="O1871" t="s">
        <v>11508</v>
      </c>
      <c r="P1871" t="s">
        <v>11568</v>
      </c>
      <c r="Q1871" t="s">
        <v>25</v>
      </c>
      <c r="R1871" t="s">
        <v>11977</v>
      </c>
    </row>
    <row r="1872" spans="1:18">
      <c r="A1872" t="s">
        <v>11696</v>
      </c>
      <c r="B1872" t="s">
        <v>11640</v>
      </c>
      <c r="C1872" t="s">
        <v>11752</v>
      </c>
      <c r="D1872" s="17" t="s">
        <v>21</v>
      </c>
      <c r="E1872" t="s">
        <v>11613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27000</v>
      </c>
      <c r="N1872" t="s">
        <v>11456</v>
      </c>
      <c r="O1872" t="s">
        <v>11508</v>
      </c>
      <c r="P1872" t="s">
        <v>11561</v>
      </c>
      <c r="Q1872" t="s">
        <v>25</v>
      </c>
      <c r="R1872" t="s">
        <v>11970</v>
      </c>
    </row>
    <row r="1873" spans="1:18">
      <c r="A1873" t="s">
        <v>11690</v>
      </c>
      <c r="B1873" t="s">
        <v>11634</v>
      </c>
      <c r="C1873" t="s">
        <v>11746</v>
      </c>
      <c r="D1873" s="17" t="s">
        <v>21</v>
      </c>
      <c r="E1873" t="s">
        <v>11613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30000</v>
      </c>
      <c r="N1873" t="s">
        <v>11450</v>
      </c>
      <c r="O1873" t="s">
        <v>11508</v>
      </c>
      <c r="P1873" t="s">
        <v>11555</v>
      </c>
      <c r="Q1873" t="s">
        <v>25</v>
      </c>
      <c r="R1873" t="s">
        <v>11964</v>
      </c>
    </row>
    <row r="1874" spans="1:18">
      <c r="A1874" t="s">
        <v>11678</v>
      </c>
      <c r="B1874" t="s">
        <v>11622</v>
      </c>
      <c r="C1874" t="s">
        <v>11734</v>
      </c>
      <c r="D1874" s="17" t="s">
        <v>21</v>
      </c>
      <c r="E1874" t="s">
        <v>11613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33000</v>
      </c>
      <c r="N1874" t="s">
        <v>11422</v>
      </c>
      <c r="O1874" t="s">
        <v>11508</v>
      </c>
      <c r="P1874" t="s">
        <v>11527</v>
      </c>
      <c r="Q1874" t="s">
        <v>25</v>
      </c>
      <c r="R1874" t="s">
        <v>11936</v>
      </c>
    </row>
    <row r="1875" spans="1:18">
      <c r="A1875" t="s">
        <v>11724</v>
      </c>
      <c r="B1875" t="s">
        <v>11668</v>
      </c>
      <c r="C1875" t="s">
        <v>11780</v>
      </c>
      <c r="D1875" s="17" t="s">
        <v>21</v>
      </c>
      <c r="E1875" t="s">
        <v>11613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36000</v>
      </c>
      <c r="N1875" t="s">
        <v>11504</v>
      </c>
      <c r="O1875" t="s">
        <v>11508</v>
      </c>
      <c r="P1875" t="s">
        <v>11609</v>
      </c>
      <c r="Q1875" t="s">
        <v>25</v>
      </c>
      <c r="R1875" t="s">
        <v>12018</v>
      </c>
    </row>
    <row r="1876" spans="1:18">
      <c r="A1876" t="s">
        <v>11673</v>
      </c>
      <c r="B1876" t="s">
        <v>11617</v>
      </c>
      <c r="C1876" t="s">
        <v>11729</v>
      </c>
      <c r="D1876" s="17" t="s">
        <v>21</v>
      </c>
      <c r="E1876" t="s">
        <v>11613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39000</v>
      </c>
      <c r="N1876" t="s">
        <v>11414</v>
      </c>
      <c r="O1876" t="s">
        <v>11508</v>
      </c>
      <c r="P1876" t="s">
        <v>11519</v>
      </c>
      <c r="Q1876" t="s">
        <v>25</v>
      </c>
      <c r="R1876" t="s">
        <v>11928</v>
      </c>
    </row>
    <row r="1877" spans="1:18">
      <c r="A1877" t="s">
        <v>11716</v>
      </c>
      <c r="B1877" t="s">
        <v>11660</v>
      </c>
      <c r="C1877" t="s">
        <v>11772</v>
      </c>
      <c r="D1877" s="17" t="s">
        <v>21</v>
      </c>
      <c r="E1877" t="s">
        <v>11613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43000</v>
      </c>
      <c r="N1877" t="s">
        <v>11488</v>
      </c>
      <c r="O1877" t="s">
        <v>11508</v>
      </c>
      <c r="P1877" t="s">
        <v>11593</v>
      </c>
      <c r="Q1877" t="s">
        <v>25</v>
      </c>
      <c r="R1877" t="s">
        <v>12002</v>
      </c>
    </row>
    <row r="1878" spans="1:18">
      <c r="A1878" t="s">
        <v>11672</v>
      </c>
      <c r="B1878" t="s">
        <v>11616</v>
      </c>
      <c r="C1878" t="s">
        <v>11728</v>
      </c>
      <c r="D1878" s="17" t="s">
        <v>21</v>
      </c>
      <c r="E1878" t="s">
        <v>11613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47000</v>
      </c>
      <c r="N1878" t="s">
        <v>11408</v>
      </c>
      <c r="O1878" t="s">
        <v>11508</v>
      </c>
      <c r="P1878" t="s">
        <v>11513</v>
      </c>
      <c r="Q1878" t="s">
        <v>25</v>
      </c>
      <c r="R1878" t="s">
        <v>11922</v>
      </c>
    </row>
    <row r="1879" spans="1:18">
      <c r="A1879" t="s">
        <v>11699</v>
      </c>
      <c r="B1879" t="s">
        <v>11643</v>
      </c>
      <c r="C1879" t="s">
        <v>11755</v>
      </c>
      <c r="D1879" s="17" t="s">
        <v>21</v>
      </c>
      <c r="E1879" t="s">
        <v>11613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51000</v>
      </c>
      <c r="N1879" t="s">
        <v>11461</v>
      </c>
      <c r="O1879" t="s">
        <v>11508</v>
      </c>
      <c r="P1879" t="s">
        <v>11566</v>
      </c>
      <c r="Q1879" t="s">
        <v>25</v>
      </c>
      <c r="R1879" t="s">
        <v>11975</v>
      </c>
    </row>
    <row r="1880" spans="1:18">
      <c r="A1880" t="s">
        <v>11691</v>
      </c>
      <c r="B1880" t="s">
        <v>11635</v>
      </c>
      <c r="C1880" t="s">
        <v>11747</v>
      </c>
      <c r="D1880" s="17" t="s">
        <v>21</v>
      </c>
      <c r="E1880" t="s">
        <v>11613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56000</v>
      </c>
      <c r="N1880" t="s">
        <v>11451</v>
      </c>
      <c r="O1880" t="s">
        <v>11508</v>
      </c>
      <c r="P1880" t="s">
        <v>11556</v>
      </c>
      <c r="Q1880" t="s">
        <v>25</v>
      </c>
      <c r="R1880" t="s">
        <v>11965</v>
      </c>
    </row>
    <row r="1881" spans="1:18">
      <c r="A1881" t="s">
        <v>11704</v>
      </c>
      <c r="B1881" t="s">
        <v>11648</v>
      </c>
      <c r="C1881" t="s">
        <v>11760</v>
      </c>
      <c r="D1881" s="17" t="s">
        <v>21</v>
      </c>
      <c r="E1881" t="s">
        <v>11613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62000</v>
      </c>
      <c r="N1881" t="s">
        <v>11469</v>
      </c>
      <c r="O1881" t="s">
        <v>11508</v>
      </c>
      <c r="P1881" t="s">
        <v>11574</v>
      </c>
      <c r="Q1881" t="s">
        <v>25</v>
      </c>
      <c r="R1881" t="s">
        <v>11983</v>
      </c>
    </row>
    <row r="1882" spans="1:18">
      <c r="A1882" t="s">
        <v>11685</v>
      </c>
      <c r="B1882" t="s">
        <v>11629</v>
      </c>
      <c r="C1882" t="s">
        <v>11741</v>
      </c>
      <c r="D1882" s="17" t="s">
        <v>21</v>
      </c>
      <c r="E1882" t="s">
        <v>11613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68000</v>
      </c>
      <c r="N1882" t="s">
        <v>11439</v>
      </c>
      <c r="O1882" t="s">
        <v>11508</v>
      </c>
      <c r="P1882" t="s">
        <v>11544</v>
      </c>
      <c r="Q1882" t="s">
        <v>25</v>
      </c>
      <c r="R1882" t="s">
        <v>11953</v>
      </c>
    </row>
    <row r="1883" spans="1:18">
      <c r="A1883" t="s">
        <v>11714</v>
      </c>
      <c r="B1883" t="s">
        <v>11658</v>
      </c>
      <c r="C1883" t="s">
        <v>11770</v>
      </c>
      <c r="D1883" s="17" t="s">
        <v>21</v>
      </c>
      <c r="E1883" t="s">
        <v>11613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75000</v>
      </c>
      <c r="N1883" t="s">
        <v>11485</v>
      </c>
      <c r="O1883" t="s">
        <v>11508</v>
      </c>
      <c r="P1883" t="s">
        <v>11590</v>
      </c>
      <c r="Q1883" t="s">
        <v>25</v>
      </c>
      <c r="R1883" t="s">
        <v>11999</v>
      </c>
    </row>
    <row r="1884" spans="1:18">
      <c r="A1884" t="s">
        <v>11723</v>
      </c>
      <c r="B1884" t="s">
        <v>11667</v>
      </c>
      <c r="C1884" t="s">
        <v>11779</v>
      </c>
      <c r="D1884" s="17" t="s">
        <v>21</v>
      </c>
      <c r="E1884" t="s">
        <v>11613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82000</v>
      </c>
      <c r="N1884" t="s">
        <v>11501</v>
      </c>
      <c r="O1884" t="s">
        <v>11508</v>
      </c>
      <c r="P1884" t="s">
        <v>11606</v>
      </c>
      <c r="Q1884" t="s">
        <v>25</v>
      </c>
      <c r="R1884" t="s">
        <v>12015</v>
      </c>
    </row>
    <row r="1885" spans="1:18">
      <c r="A1885" t="s">
        <v>11720</v>
      </c>
      <c r="B1885" t="s">
        <v>11664</v>
      </c>
      <c r="C1885" t="s">
        <v>11776</v>
      </c>
      <c r="D1885" s="17" t="s">
        <v>21</v>
      </c>
      <c r="E1885" t="s">
        <v>11613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91000</v>
      </c>
      <c r="N1885" t="s">
        <v>11497</v>
      </c>
      <c r="O1885" t="s">
        <v>11508</v>
      </c>
      <c r="P1885" t="s">
        <v>11602</v>
      </c>
      <c r="Q1885" t="s">
        <v>25</v>
      </c>
      <c r="R1885" t="s">
        <v>12011</v>
      </c>
    </row>
    <row r="1886" spans="1:18">
      <c r="A1886" t="s">
        <v>11677</v>
      </c>
      <c r="B1886" t="s">
        <v>11621</v>
      </c>
      <c r="C1886" t="s">
        <v>11733</v>
      </c>
      <c r="D1886" s="17" t="s">
        <v>21</v>
      </c>
      <c r="E1886" t="s">
        <v>11613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7503</v>
      </c>
      <c r="J1886" t="s">
        <v>11614</v>
      </c>
      <c r="M1886" s="3">
        <v>100000</v>
      </c>
      <c r="N1886" t="s">
        <v>11420</v>
      </c>
      <c r="O1886" t="s">
        <v>11508</v>
      </c>
      <c r="P1886" t="s">
        <v>11525</v>
      </c>
      <c r="Q1886" t="s">
        <v>25</v>
      </c>
      <c r="R1886" t="s">
        <v>11934</v>
      </c>
    </row>
    <row r="1887" spans="1:18">
      <c r="G1887" s="17"/>
      <c r="I1887" s="18"/>
      <c r="M1887" s="3"/>
    </row>
    <row r="1888" spans="1:18">
      <c r="G1888" s="17"/>
      <c r="I1888" s="18"/>
      <c r="M1888" s="3"/>
    </row>
    <row r="1889" spans="7:13">
      <c r="G1889" s="17"/>
      <c r="I1889" s="18"/>
      <c r="M1889" s="3"/>
    </row>
    <row r="1890" spans="7:13">
      <c r="G1890" s="17"/>
      <c r="I1890" s="18"/>
      <c r="M1890" s="3"/>
    </row>
    <row r="1891" spans="7:13">
      <c r="G1891" s="17"/>
      <c r="I1891" s="18"/>
      <c r="M1891" s="3"/>
    </row>
    <row r="1892" spans="7:13">
      <c r="G1892" s="17"/>
      <c r="I1892" s="18"/>
      <c r="M1892" s="3"/>
    </row>
    <row r="1893" spans="7:13">
      <c r="G1893" s="17"/>
      <c r="I1893" s="18"/>
      <c r="M1893" s="3"/>
    </row>
    <row r="1894" spans="7:13">
      <c r="G1894" s="17"/>
      <c r="I1894" s="18"/>
      <c r="M1894" s="3"/>
    </row>
    <row r="1895" spans="7:13">
      <c r="G1895" s="17"/>
      <c r="I1895" s="18"/>
      <c r="M1895" s="3"/>
    </row>
    <row r="1896" spans="7:13">
      <c r="G1896" s="17"/>
      <c r="I1896" s="18"/>
      <c r="M1896" s="3"/>
    </row>
    <row r="1897" spans="7:13">
      <c r="G1897" s="17"/>
      <c r="I1897" s="18"/>
      <c r="M1897" s="3"/>
    </row>
    <row r="1898" spans="7:13">
      <c r="G1898" s="17"/>
      <c r="I1898" s="18"/>
      <c r="M1898" s="3"/>
    </row>
    <row r="1899" spans="7:13">
      <c r="G1899" s="17"/>
      <c r="I1899" s="18"/>
      <c r="M1899" s="3"/>
    </row>
    <row r="1900" spans="7:13">
      <c r="G1900" s="17"/>
      <c r="I1900" s="18"/>
      <c r="M1900" s="3"/>
    </row>
    <row r="1901" spans="7:13">
      <c r="G1901" s="17"/>
      <c r="I1901" s="18"/>
      <c r="M1901" s="3"/>
    </row>
    <row r="1902" spans="7:13">
      <c r="G1902" s="17"/>
      <c r="I1902" s="18"/>
      <c r="M1902" s="3"/>
    </row>
    <row r="1903" spans="7:13">
      <c r="G1903" s="17"/>
      <c r="I1903" s="18"/>
      <c r="M1903" s="3"/>
    </row>
    <row r="1904" spans="7:13">
      <c r="G1904" s="17"/>
      <c r="I1904" s="18"/>
      <c r="M1904" s="3"/>
    </row>
    <row r="1905" spans="7:13">
      <c r="G1905" s="17"/>
      <c r="I1905" s="18"/>
      <c r="M1905" s="3"/>
    </row>
    <row r="1906" spans="7:13">
      <c r="G1906" s="17"/>
      <c r="I1906" s="18"/>
      <c r="M1906" s="3"/>
    </row>
    <row r="1907" spans="7:13">
      <c r="G1907" s="17"/>
      <c r="I1907" s="18"/>
      <c r="M1907" s="3"/>
    </row>
    <row r="1908" spans="7:13">
      <c r="G1908" s="17"/>
      <c r="I1908" s="18"/>
      <c r="M1908" s="3"/>
    </row>
    <row r="1909" spans="7:13">
      <c r="G1909" s="17"/>
      <c r="I1909" s="18"/>
      <c r="M1909" s="3"/>
    </row>
    <row r="1910" spans="7:13">
      <c r="G1910" s="17"/>
      <c r="I1910" s="18"/>
      <c r="M1910" s="3"/>
    </row>
    <row r="1911" spans="7:13">
      <c r="G1911" s="17"/>
      <c r="I1911" s="18"/>
      <c r="M1911" s="3"/>
    </row>
    <row r="1912" spans="7:13">
      <c r="G1912" s="17"/>
      <c r="I1912" s="18"/>
      <c r="M1912" s="3"/>
    </row>
    <row r="1913" spans="7:13">
      <c r="G1913" s="17"/>
      <c r="I1913" s="18"/>
      <c r="M1913" s="3"/>
    </row>
    <row r="1914" spans="7:13">
      <c r="G1914" s="17"/>
      <c r="I1914" s="18"/>
      <c r="M1914" s="3"/>
    </row>
    <row r="1915" spans="7:13">
      <c r="G1915" s="17"/>
      <c r="I1915" s="18"/>
      <c r="M1915" s="3"/>
    </row>
    <row r="1916" spans="7:13">
      <c r="G1916" s="17"/>
      <c r="I1916" s="18"/>
      <c r="M1916" s="3"/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6"/>
  <sheetViews>
    <sheetView workbookViewId="0">
      <pane xSplit="2" ySplit="1" topLeftCell="N91" activePane="bottomRight" state="frozen"/>
      <selection pane="topRight" activeCell="C1" sqref="C1"/>
      <selection pane="bottomLeft" activeCell="A2" sqref="A2"/>
      <selection pane="bottomRight" activeCell="U44" sqref="U44"/>
    </sheetView>
  </sheetViews>
  <sheetFormatPr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16835</v>
      </c>
      <c r="Y16" t="s">
        <v>4728</v>
      </c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16843</v>
      </c>
      <c r="Y35" t="s">
        <v>4727</v>
      </c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16838</v>
      </c>
      <c r="V71" t="s">
        <v>16839</v>
      </c>
      <c r="W71" t="s">
        <v>4559</v>
      </c>
      <c r="X71" t="s">
        <v>16840</v>
      </c>
      <c r="Y71" t="s">
        <v>4728</v>
      </c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16836</v>
      </c>
      <c r="W92" t="s">
        <v>4559</v>
      </c>
      <c r="X92" t="s">
        <v>16837</v>
      </c>
      <c r="Y92" s="8" t="s">
        <v>4727</v>
      </c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16752</v>
      </c>
      <c r="B173" t="s">
        <v>16752</v>
      </c>
      <c r="C173" t="s">
        <v>16753</v>
      </c>
      <c r="D173" t="s">
        <v>21</v>
      </c>
      <c r="E173" s="14" t="s">
        <v>6449</v>
      </c>
      <c r="F173" t="s">
        <v>16754</v>
      </c>
      <c r="G173" t="str">
        <f>Config!$B$4</f>
        <v>SCH/C_IEC.SchLib</v>
      </c>
      <c r="H173" t="s">
        <v>425</v>
      </c>
      <c r="I173" t="s">
        <v>461</v>
      </c>
      <c r="J173" t="s">
        <v>16755</v>
      </c>
      <c r="K173" s="3">
        <v>1.9999999999999999E-11</v>
      </c>
      <c r="L173" t="s">
        <v>16756</v>
      </c>
      <c r="M173" t="s">
        <v>1032</v>
      </c>
      <c r="N173" t="s">
        <v>16757</v>
      </c>
      <c r="O173" t="s">
        <v>25</v>
      </c>
      <c r="P173" t="s">
        <v>16758</v>
      </c>
      <c r="U173" t="s">
        <v>1032</v>
      </c>
      <c r="V173" t="s">
        <v>16757</v>
      </c>
      <c r="W173" t="s">
        <v>4559</v>
      </c>
      <c r="X173" t="s">
        <v>16759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10654</v>
      </c>
      <c r="B177" t="s">
        <v>10654</v>
      </c>
      <c r="C177" t="s">
        <v>6182</v>
      </c>
      <c r="D177" t="s">
        <v>21</v>
      </c>
      <c r="E177" s="14" t="s">
        <v>6449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4.6999999999999999E-6</v>
      </c>
      <c r="L177" t="s">
        <v>6185</v>
      </c>
      <c r="M177" t="s">
        <v>4298</v>
      </c>
      <c r="N177" t="s">
        <v>6184</v>
      </c>
      <c r="O177" t="s">
        <v>25</v>
      </c>
      <c r="P177" t="s">
        <v>6183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>
      <c r="A178" t="s">
        <v>4536</v>
      </c>
      <c r="B178" t="s">
        <v>4536</v>
      </c>
      <c r="C178" t="s">
        <v>4535</v>
      </c>
      <c r="D178" t="s">
        <v>21</v>
      </c>
      <c r="E178" s="14" t="s">
        <v>6449</v>
      </c>
      <c r="F178" t="s">
        <v>4534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2.1999999999999999E-5</v>
      </c>
      <c r="L178" t="s">
        <v>4531</v>
      </c>
      <c r="M178" t="s">
        <v>4298</v>
      </c>
      <c r="N178" t="s">
        <v>4529</v>
      </c>
      <c r="O178" t="s">
        <v>25</v>
      </c>
      <c r="P178" t="s">
        <v>4530</v>
      </c>
      <c r="Q178" t="s">
        <v>4298</v>
      </c>
      <c r="R178" t="s">
        <v>4533</v>
      </c>
      <c r="S178" t="s">
        <v>25</v>
      </c>
      <c r="T178" t="s">
        <v>4532</v>
      </c>
      <c r="Z178" t="s">
        <v>6551</v>
      </c>
    </row>
    <row r="179" spans="1:26">
      <c r="A179" t="s">
        <v>14576</v>
      </c>
      <c r="B179" t="s">
        <v>14576</v>
      </c>
      <c r="C179" t="s">
        <v>14577</v>
      </c>
      <c r="D179" t="s">
        <v>21</v>
      </c>
      <c r="E179" s="14" t="s">
        <v>6767</v>
      </c>
      <c r="F179" t="s">
        <v>13350</v>
      </c>
      <c r="G179" t="str">
        <f>Config!$B$4</f>
        <v>SCH/C_IEC.SchLib</v>
      </c>
      <c r="H179" t="s">
        <v>425</v>
      </c>
      <c r="I179" t="s">
        <v>461</v>
      </c>
      <c r="J179" t="s">
        <v>12535</v>
      </c>
      <c r="K179" s="3">
        <v>2.2000000000000001E-6</v>
      </c>
      <c r="L179" t="s">
        <v>14070</v>
      </c>
      <c r="M179" t="s">
        <v>477</v>
      </c>
      <c r="N179" t="s">
        <v>14578</v>
      </c>
      <c r="O179" t="s">
        <v>25</v>
      </c>
      <c r="P179" t="s">
        <v>14579</v>
      </c>
      <c r="U179" t="s">
        <v>477</v>
      </c>
      <c r="V179" t="s">
        <v>14578</v>
      </c>
      <c r="W179" t="s">
        <v>4559</v>
      </c>
      <c r="X179" t="s">
        <v>14580</v>
      </c>
      <c r="Y179" t="s">
        <v>4727</v>
      </c>
    </row>
    <row r="180" spans="1:26">
      <c r="A180" t="s">
        <v>10655</v>
      </c>
      <c r="B180" t="s">
        <v>10655</v>
      </c>
      <c r="C180" t="s">
        <v>6179</v>
      </c>
      <c r="D180" t="s">
        <v>21</v>
      </c>
      <c r="E180" s="14">
        <v>1210</v>
      </c>
      <c r="F180" t="s">
        <v>6174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4.6999999999999999E-6</v>
      </c>
      <c r="L180" t="s">
        <v>6175</v>
      </c>
      <c r="M180" t="s">
        <v>4298</v>
      </c>
      <c r="N180" t="s">
        <v>6177</v>
      </c>
      <c r="O180" t="s">
        <v>25</v>
      </c>
      <c r="P180" t="s">
        <v>6176</v>
      </c>
      <c r="U180" t="s">
        <v>6173</v>
      </c>
      <c r="V180" t="s">
        <v>6181</v>
      </c>
      <c r="W180" t="s">
        <v>4559</v>
      </c>
      <c r="X180" t="s">
        <v>6180</v>
      </c>
      <c r="Z180" t="s">
        <v>6537</v>
      </c>
    </row>
    <row r="181" spans="1:26" ht="15.75">
      <c r="A181" t="s">
        <v>6189</v>
      </c>
      <c r="B181" t="s">
        <v>6189</v>
      </c>
      <c r="C181" t="s">
        <v>6190</v>
      </c>
      <c r="D181" t="s">
        <v>21</v>
      </c>
      <c r="E181" s="14">
        <v>1210</v>
      </c>
      <c r="F181" t="s">
        <v>4534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2.1999999999999999E-5</v>
      </c>
      <c r="L181" t="s">
        <v>6191</v>
      </c>
      <c r="M181" t="s">
        <v>1032</v>
      </c>
      <c r="N181" t="s">
        <v>6192</v>
      </c>
      <c r="O181" t="s">
        <v>25</v>
      </c>
      <c r="P181" t="s">
        <v>6193</v>
      </c>
      <c r="U181" t="s">
        <v>6196</v>
      </c>
      <c r="V181" s="10" t="s">
        <v>6194</v>
      </c>
      <c r="W181" t="s">
        <v>4559</v>
      </c>
      <c r="X181" s="10" t="s">
        <v>6195</v>
      </c>
      <c r="Z181" t="s">
        <v>6552</v>
      </c>
    </row>
    <row r="182" spans="1:26">
      <c r="A182" t="s">
        <v>6282</v>
      </c>
      <c r="B182" t="s">
        <v>6282</v>
      </c>
      <c r="C182" t="s">
        <v>6283</v>
      </c>
      <c r="D182" t="s">
        <v>21</v>
      </c>
      <c r="E182" s="14" t="s">
        <v>6284</v>
      </c>
      <c r="F182" t="s">
        <v>6285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10</v>
      </c>
      <c r="L182" t="s">
        <v>6288</v>
      </c>
      <c r="M182" t="s">
        <v>6289</v>
      </c>
      <c r="N182" t="s">
        <v>6281</v>
      </c>
      <c r="O182" t="s">
        <v>25</v>
      </c>
      <c r="P182" t="s">
        <v>6290</v>
      </c>
      <c r="U182" t="s">
        <v>4592</v>
      </c>
      <c r="V182" t="s">
        <v>6292</v>
      </c>
      <c r="W182" t="s">
        <v>4559</v>
      </c>
      <c r="X182" s="5" t="s">
        <v>6291</v>
      </c>
    </row>
    <row r="183" spans="1:26">
      <c r="A183" t="s">
        <v>6405</v>
      </c>
      <c r="B183" t="s">
        <v>6405</v>
      </c>
      <c r="C183" t="s">
        <v>6406</v>
      </c>
      <c r="D183" t="s">
        <v>21</v>
      </c>
      <c r="E183" s="14" t="s">
        <v>6284</v>
      </c>
      <c r="F183" t="s">
        <v>6407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8.2000000000000001E-5</v>
      </c>
      <c r="L183" t="s">
        <v>6408</v>
      </c>
      <c r="M183" t="s">
        <v>6409</v>
      </c>
      <c r="N183" t="s">
        <v>6411</v>
      </c>
      <c r="O183" t="s">
        <v>25</v>
      </c>
      <c r="P183" t="s">
        <v>6410</v>
      </c>
    </row>
    <row r="184" spans="1:26">
      <c r="A184" t="s">
        <v>6768</v>
      </c>
      <c r="B184" t="s">
        <v>6768</v>
      </c>
      <c r="C184" t="s">
        <v>6769</v>
      </c>
      <c r="D184" t="s">
        <v>21</v>
      </c>
      <c r="E184" s="14" t="s">
        <v>6775</v>
      </c>
      <c r="F184" t="s">
        <v>6776</v>
      </c>
      <c r="G184" t="str">
        <f>Config!$B$4</f>
        <v>SCH/C_IEC.SchLib</v>
      </c>
      <c r="H184" t="s">
        <v>425</v>
      </c>
      <c r="I184" t="s">
        <v>461</v>
      </c>
      <c r="J184" t="s">
        <v>6178</v>
      </c>
      <c r="K184" s="3">
        <v>1.0000000000000001E-9</v>
      </c>
      <c r="L184" t="s">
        <v>6822</v>
      </c>
      <c r="M184" t="s">
        <v>6814</v>
      </c>
      <c r="N184" t="s">
        <v>6813</v>
      </c>
      <c r="O184" t="s">
        <v>25</v>
      </c>
      <c r="P184" s="17" t="s">
        <v>6812</v>
      </c>
      <c r="U184" t="s">
        <v>4592</v>
      </c>
      <c r="V184" s="5" t="s">
        <v>6815</v>
      </c>
      <c r="W184" t="s">
        <v>4559</v>
      </c>
      <c r="X184" s="5" t="s">
        <v>6816</v>
      </c>
    </row>
    <row r="185" spans="1:26">
      <c r="A185" t="s">
        <v>6826</v>
      </c>
      <c r="B185" t="s">
        <v>6826</v>
      </c>
      <c r="C185" t="s">
        <v>6833</v>
      </c>
      <c r="D185" t="s">
        <v>21</v>
      </c>
      <c r="E185" s="14" t="s">
        <v>6284</v>
      </c>
      <c r="F185" t="s">
        <v>6774</v>
      </c>
      <c r="G185" t="str">
        <f>Config!$B$4</f>
        <v>SCH/C_IEC.SchLib</v>
      </c>
      <c r="H185" t="s">
        <v>6286</v>
      </c>
      <c r="I185" t="s">
        <v>6287</v>
      </c>
      <c r="J185" t="s">
        <v>6828</v>
      </c>
      <c r="K185" s="3">
        <v>4.6999999999999997E-5</v>
      </c>
      <c r="L185" t="s">
        <v>6827</v>
      </c>
      <c r="M185" t="s">
        <v>6825</v>
      </c>
      <c r="N185" t="s">
        <v>6823</v>
      </c>
      <c r="O185" t="s">
        <v>25</v>
      </c>
      <c r="P185" t="s">
        <v>6824</v>
      </c>
      <c r="U185" t="s">
        <v>6831</v>
      </c>
      <c r="V185" s="5" t="s">
        <v>6830</v>
      </c>
      <c r="W185" t="s">
        <v>4559</v>
      </c>
      <c r="X185" s="5" t="s">
        <v>6829</v>
      </c>
    </row>
    <row r="186" spans="1:26">
      <c r="A186" t="s">
        <v>6835</v>
      </c>
      <c r="B186" t="s">
        <v>6835</v>
      </c>
      <c r="C186" t="s">
        <v>6834</v>
      </c>
      <c r="D186" t="s">
        <v>21</v>
      </c>
      <c r="E186" s="14" t="s">
        <v>6284</v>
      </c>
      <c r="F186" t="s">
        <v>6773</v>
      </c>
      <c r="G186" t="str">
        <f>Config!$B$4</f>
        <v>SCH/C_IEC.SchLib</v>
      </c>
      <c r="H186" t="s">
        <v>6286</v>
      </c>
      <c r="I186" t="s">
        <v>6287</v>
      </c>
      <c r="J186" t="s">
        <v>6832</v>
      </c>
      <c r="K186" s="3">
        <v>6.7999999999999999E-5</v>
      </c>
      <c r="L186" t="s">
        <v>6836</v>
      </c>
      <c r="M186" t="s">
        <v>6223</v>
      </c>
      <c r="N186" s="14" t="s">
        <v>6838</v>
      </c>
      <c r="O186" t="s">
        <v>25</v>
      </c>
      <c r="P186" t="s">
        <v>6837</v>
      </c>
      <c r="U186" t="s">
        <v>6841</v>
      </c>
      <c r="V186" s="5" t="s">
        <v>6839</v>
      </c>
      <c r="W186" t="s">
        <v>4559</v>
      </c>
      <c r="X186" s="5" t="s">
        <v>6840</v>
      </c>
    </row>
    <row r="187" spans="1:26">
      <c r="A187" t="s">
        <v>7819</v>
      </c>
      <c r="B187" t="s">
        <v>7819</v>
      </c>
      <c r="C187" t="s">
        <v>6777</v>
      </c>
      <c r="D187" t="s">
        <v>21</v>
      </c>
      <c r="E187" s="14" t="s">
        <v>6775</v>
      </c>
      <c r="F187" t="s">
        <v>6778</v>
      </c>
      <c r="G187" t="str">
        <f>Config!$B$4</f>
        <v>SCH/C_IEC.SchLib</v>
      </c>
      <c r="H187" t="s">
        <v>425</v>
      </c>
      <c r="I187" t="s">
        <v>461</v>
      </c>
      <c r="J187" t="s">
        <v>6178</v>
      </c>
      <c r="K187" s="3">
        <v>1.0000000000000001E-5</v>
      </c>
      <c r="L187" t="s">
        <v>6821</v>
      </c>
      <c r="M187" t="s">
        <v>1032</v>
      </c>
      <c r="N187" t="s">
        <v>6817</v>
      </c>
      <c r="O187" t="s">
        <v>25</v>
      </c>
      <c r="P187" t="s">
        <v>6818</v>
      </c>
      <c r="U187" t="s">
        <v>6173</v>
      </c>
      <c r="V187" s="5" t="s">
        <v>6819</v>
      </c>
      <c r="W187" t="s">
        <v>4559</v>
      </c>
      <c r="X187" s="5" t="s">
        <v>6820</v>
      </c>
    </row>
    <row r="188" spans="1:26">
      <c r="A188" t="s">
        <v>8060</v>
      </c>
      <c r="B188" t="s">
        <v>8060</v>
      </c>
      <c r="C188" t="s">
        <v>8061</v>
      </c>
      <c r="D188" t="s">
        <v>21</v>
      </c>
      <c r="F188" t="s">
        <v>8062</v>
      </c>
      <c r="G188" t="str">
        <f>Config!$B$4</f>
        <v>SCH/C_IEC.SchLib</v>
      </c>
      <c r="H188" t="s">
        <v>425</v>
      </c>
      <c r="I188" t="s">
        <v>6287</v>
      </c>
      <c r="J188" t="s">
        <v>8079</v>
      </c>
      <c r="K188" s="3">
        <v>9.9999999999999995E-7</v>
      </c>
      <c r="L188" t="s">
        <v>8063</v>
      </c>
      <c r="M188" t="s">
        <v>7506</v>
      </c>
      <c r="N188" t="s">
        <v>8064</v>
      </c>
      <c r="O188" t="s">
        <v>25</v>
      </c>
      <c r="P188" t="s">
        <v>8065</v>
      </c>
    </row>
    <row r="189" spans="1:26">
      <c r="A189" t="s">
        <v>8066</v>
      </c>
      <c r="B189" t="s">
        <v>8066</v>
      </c>
      <c r="C189" t="s">
        <v>8067</v>
      </c>
      <c r="D189" t="s">
        <v>21</v>
      </c>
      <c r="F189" t="s">
        <v>739</v>
      </c>
      <c r="G189" t="str">
        <f>Config!$B$4</f>
        <v>SCH/C_IEC.SchLib</v>
      </c>
      <c r="H189" t="s">
        <v>425</v>
      </c>
      <c r="I189" t="s">
        <v>6287</v>
      </c>
      <c r="J189" t="s">
        <v>8078</v>
      </c>
      <c r="K189" s="3">
        <v>2.1999999999999998E-9</v>
      </c>
      <c r="L189" t="s">
        <v>8068</v>
      </c>
      <c r="M189" t="s">
        <v>7506</v>
      </c>
      <c r="N189" t="s">
        <v>8069</v>
      </c>
      <c r="O189" t="s">
        <v>25</v>
      </c>
      <c r="P189" t="s">
        <v>8070</v>
      </c>
    </row>
    <row r="190" spans="1:26">
      <c r="A190" t="s">
        <v>10834</v>
      </c>
      <c r="B190" t="s">
        <v>10834</v>
      </c>
      <c r="C190" t="s">
        <v>10835</v>
      </c>
      <c r="D190" t="s">
        <v>21</v>
      </c>
      <c r="E190" s="14" t="s">
        <v>6775</v>
      </c>
      <c r="F190" t="s">
        <v>936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2.1999999999999998E-8</v>
      </c>
      <c r="L190" t="s">
        <v>10838</v>
      </c>
      <c r="M190" t="s">
        <v>6162</v>
      </c>
      <c r="N190" t="s">
        <v>10839</v>
      </c>
      <c r="O190" t="s">
        <v>25</v>
      </c>
      <c r="P190" t="s">
        <v>10840</v>
      </c>
    </row>
    <row r="191" spans="1:26">
      <c r="A191" t="s">
        <v>10836</v>
      </c>
      <c r="B191" t="s">
        <v>10836</v>
      </c>
      <c r="C191" t="s">
        <v>10837</v>
      </c>
      <c r="D191" t="s">
        <v>21</v>
      </c>
      <c r="E191" s="14" t="s">
        <v>6775</v>
      </c>
      <c r="F191" t="s">
        <v>950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3.2999999999999998E-8</v>
      </c>
      <c r="L191" t="s">
        <v>10841</v>
      </c>
      <c r="M191" t="s">
        <v>1029</v>
      </c>
      <c r="N191" t="s">
        <v>10842</v>
      </c>
      <c r="O191" t="s">
        <v>25</v>
      </c>
      <c r="P191" t="s">
        <v>10843</v>
      </c>
    </row>
    <row r="192" spans="1:26">
      <c r="A192" t="s">
        <v>10868</v>
      </c>
      <c r="B192" t="s">
        <v>10868</v>
      </c>
      <c r="C192" t="s">
        <v>10844</v>
      </c>
      <c r="D192" t="s">
        <v>21</v>
      </c>
      <c r="E192" s="14" t="s">
        <v>6284</v>
      </c>
      <c r="F192" t="s">
        <v>10845</v>
      </c>
      <c r="G192" t="str">
        <f>Config!$B$4</f>
        <v>SCH/C_IEC.SchLib</v>
      </c>
      <c r="H192" t="s">
        <v>6286</v>
      </c>
      <c r="I192" t="s">
        <v>6287</v>
      </c>
      <c r="J192" t="s">
        <v>12536</v>
      </c>
      <c r="K192" s="3">
        <v>1.5E-5</v>
      </c>
      <c r="L192" t="s">
        <v>10846</v>
      </c>
      <c r="M192" t="s">
        <v>10847</v>
      </c>
      <c r="N192" t="s">
        <v>10848</v>
      </c>
      <c r="O192" t="s">
        <v>25</v>
      </c>
      <c r="P192" t="s">
        <v>10849</v>
      </c>
    </row>
    <row r="193" spans="1:24" ht="16.5">
      <c r="A193" t="s">
        <v>13643</v>
      </c>
      <c r="B193" t="s">
        <v>13643</v>
      </c>
      <c r="C193" t="s">
        <v>13644</v>
      </c>
      <c r="D193" t="s">
        <v>21</v>
      </c>
      <c r="E193" s="14" t="s">
        <v>6767</v>
      </c>
      <c r="F193" t="s">
        <v>8062</v>
      </c>
      <c r="G193" t="str">
        <f>Config!$B$4</f>
        <v>SCH/C_IEC.SchLib</v>
      </c>
      <c r="H193" t="s">
        <v>425</v>
      </c>
      <c r="I193" t="s">
        <v>461</v>
      </c>
      <c r="J193" t="s">
        <v>12535</v>
      </c>
      <c r="K193" s="3">
        <v>9.9999999999999995E-7</v>
      </c>
      <c r="L193" t="s">
        <v>10858</v>
      </c>
      <c r="M193" t="s">
        <v>1032</v>
      </c>
      <c r="N193" t="s">
        <v>10859</v>
      </c>
      <c r="O193" t="s">
        <v>25</v>
      </c>
      <c r="P193" t="s">
        <v>10860</v>
      </c>
      <c r="U193" s="9" t="s">
        <v>6186</v>
      </c>
      <c r="V193" s="9" t="s">
        <v>13642</v>
      </c>
      <c r="W193" t="s">
        <v>4559</v>
      </c>
      <c r="X193" s="9" t="s">
        <v>13641</v>
      </c>
    </row>
    <row r="194" spans="1:24">
      <c r="A194" t="s">
        <v>10867</v>
      </c>
      <c r="B194" t="s">
        <v>10867</v>
      </c>
      <c r="C194" t="s">
        <v>10861</v>
      </c>
      <c r="D194" t="s">
        <v>21</v>
      </c>
      <c r="E194" s="14" t="s">
        <v>6284</v>
      </c>
      <c r="F194" t="s">
        <v>10862</v>
      </c>
      <c r="G194" t="str">
        <f>Config!$B$4</f>
        <v>SCH/C_IEC.SchLib</v>
      </c>
      <c r="H194" t="s">
        <v>6286</v>
      </c>
      <c r="I194" t="s">
        <v>6287</v>
      </c>
      <c r="J194" t="s">
        <v>12537</v>
      </c>
      <c r="K194" s="3">
        <v>6.8000000000000005E-4</v>
      </c>
      <c r="L194" t="s">
        <v>10863</v>
      </c>
      <c r="M194" t="s">
        <v>6162</v>
      </c>
      <c r="N194" t="s">
        <v>10864</v>
      </c>
      <c r="O194" t="s">
        <v>25</v>
      </c>
      <c r="P194" t="s">
        <v>10865</v>
      </c>
    </row>
    <row r="195" spans="1:24" ht="16.5">
      <c r="A195" t="s">
        <v>10866</v>
      </c>
      <c r="B195" t="s">
        <v>10866</v>
      </c>
      <c r="C195" t="s">
        <v>10869</v>
      </c>
      <c r="D195" t="s">
        <v>21</v>
      </c>
      <c r="E195" s="14" t="s">
        <v>6449</v>
      </c>
      <c r="F195" t="s">
        <v>10870</v>
      </c>
      <c r="G195" t="str">
        <f>Config!$B$4</f>
        <v>SCH/C_IEC.SchLib</v>
      </c>
      <c r="H195" t="s">
        <v>425</v>
      </c>
      <c r="I195" t="s">
        <v>461</v>
      </c>
      <c r="J195" t="s">
        <v>1027</v>
      </c>
      <c r="K195" s="3">
        <v>4.6999999999999997E-5</v>
      </c>
      <c r="L195" t="s">
        <v>10871</v>
      </c>
      <c r="M195" t="s">
        <v>1032</v>
      </c>
      <c r="N195" t="s">
        <v>10872</v>
      </c>
      <c r="O195" t="s">
        <v>25</v>
      </c>
      <c r="P195" t="s">
        <v>10873</v>
      </c>
      <c r="U195" s="43" t="s">
        <v>1032</v>
      </c>
      <c r="V195" s="9" t="s">
        <v>10872</v>
      </c>
      <c r="W195" t="s">
        <v>4559</v>
      </c>
      <c r="X195" s="9" t="s">
        <v>13645</v>
      </c>
    </row>
    <row r="196" spans="1:24" ht="15.75">
      <c r="A196" t="s">
        <v>13606</v>
      </c>
      <c r="B196" t="s">
        <v>13606</v>
      </c>
      <c r="C196" t="s">
        <v>13609</v>
      </c>
      <c r="D196" t="s">
        <v>21</v>
      </c>
      <c r="E196" s="14" t="s">
        <v>6775</v>
      </c>
      <c r="F196" t="s">
        <v>770</v>
      </c>
      <c r="G196" t="str">
        <f>Config!$B$4</f>
        <v>SCH/C_IEC.SchLib</v>
      </c>
      <c r="H196" t="s">
        <v>425</v>
      </c>
      <c r="I196" t="s">
        <v>461</v>
      </c>
      <c r="J196" t="s">
        <v>6178</v>
      </c>
      <c r="K196" s="3">
        <v>1E-8</v>
      </c>
      <c r="L196" t="s">
        <v>13612</v>
      </c>
      <c r="M196" t="s">
        <v>6814</v>
      </c>
      <c r="N196" t="s">
        <v>13611</v>
      </c>
      <c r="O196" t="s">
        <v>25</v>
      </c>
      <c r="P196" t="s">
        <v>13610</v>
      </c>
      <c r="U196" s="42" t="s">
        <v>4592</v>
      </c>
      <c r="V196" s="8" t="s">
        <v>13608</v>
      </c>
      <c r="W196" t="s">
        <v>4559</v>
      </c>
      <c r="X196" s="8" t="s">
        <v>13607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L206" activePane="bottomRight" state="frozen"/>
      <selection pane="topRight" activeCell="C1" sqref="C1"/>
      <selection pane="bottomLeft" activeCell="A2" sqref="A2"/>
      <selection pane="bottomRight" activeCell="L239" sqref="L239"/>
    </sheetView>
  </sheetViews>
  <sheetFormatPr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14921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14921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14921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14921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14921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14921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14921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14921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14921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14921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14921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14921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14921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14921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14921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14921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16833</v>
      </c>
      <c r="B238" t="s">
        <v>16833</v>
      </c>
      <c r="C238" t="s">
        <v>16834</v>
      </c>
      <c r="D238" t="s">
        <v>14911</v>
      </c>
      <c r="E238" t="s">
        <v>14910</v>
      </c>
      <c r="G238" t="str">
        <f>Config!$B$5</f>
        <v>SCH/L_ANSI.SchLib</v>
      </c>
      <c r="H238" t="s">
        <v>14913</v>
      </c>
      <c r="I238" t="s">
        <v>6538</v>
      </c>
      <c r="J238" t="s">
        <v>14920</v>
      </c>
      <c r="L238" t="s">
        <v>14919</v>
      </c>
      <c r="U238" t="s">
        <v>14911</v>
      </c>
      <c r="V238" t="s">
        <v>14914</v>
      </c>
      <c r="W238" t="s">
        <v>4559</v>
      </c>
      <c r="X238" t="s">
        <v>14915</v>
      </c>
      <c r="Y238" t="s">
        <v>4727</v>
      </c>
    </row>
    <row r="239" spans="1:25">
      <c r="A239" t="s">
        <v>14909</v>
      </c>
      <c r="B239" t="s">
        <v>14909</v>
      </c>
      <c r="C239" t="s">
        <v>14912</v>
      </c>
      <c r="D239" t="s">
        <v>14911</v>
      </c>
      <c r="E239" t="s">
        <v>14910</v>
      </c>
      <c r="G239" t="str">
        <f>Config!$B$5</f>
        <v>SCH/L_ANSI.SchLib</v>
      </c>
      <c r="H239" t="s">
        <v>14913</v>
      </c>
      <c r="I239" t="s">
        <v>6538</v>
      </c>
      <c r="J239" t="s">
        <v>14920</v>
      </c>
      <c r="L239" t="s">
        <v>14918</v>
      </c>
      <c r="U239" t="s">
        <v>14911</v>
      </c>
      <c r="V239" t="s">
        <v>14916</v>
      </c>
      <c r="W239" t="s">
        <v>4559</v>
      </c>
      <c r="X239" t="s">
        <v>14917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16763</v>
      </c>
      <c r="W575" t="s">
        <v>4559</v>
      </c>
      <c r="X575" t="s">
        <v>16764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74"/>
  <sheetViews>
    <sheetView zoomScale="85" zoomScaleNormal="85" workbookViewId="0">
      <pane xSplit="2" ySplit="1" topLeftCell="C148" activePane="bottomRight" state="frozen"/>
      <selection pane="topRight" activeCell="C1" sqref="C1"/>
      <selection pane="bottomLeft" activeCell="A2" sqref="A2"/>
      <selection pane="bottomRight" activeCell="C173" sqref="C173"/>
    </sheetView>
  </sheetViews>
  <sheetFormatPr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16773</v>
      </c>
      <c r="B78" t="s">
        <v>13413</v>
      </c>
      <c r="C78" t="s">
        <v>16774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16772</v>
      </c>
      <c r="L78" s="1" t="s">
        <v>13497</v>
      </c>
      <c r="N78" t="s">
        <v>16768</v>
      </c>
      <c r="O78" t="s">
        <v>16769</v>
      </c>
      <c r="P78" t="s">
        <v>25</v>
      </c>
      <c r="Q78" t="s">
        <v>16770</v>
      </c>
    </row>
    <row r="79" spans="1:17" ht="15.75">
      <c r="A79" t="s">
        <v>16776</v>
      </c>
      <c r="B79" t="s">
        <v>16777</v>
      </c>
      <c r="C79" t="s">
        <v>16775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16771</v>
      </c>
      <c r="L79" s="1" t="s">
        <v>13497</v>
      </c>
      <c r="N79" t="s">
        <v>16765</v>
      </c>
      <c r="O79" t="s">
        <v>16766</v>
      </c>
      <c r="P79" t="s">
        <v>25</v>
      </c>
      <c r="Q79" t="s">
        <v>16767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16789</v>
      </c>
      <c r="B138" t="s">
        <v>12177</v>
      </c>
      <c r="C138" t="s">
        <v>12396</v>
      </c>
      <c r="D138" t="s">
        <v>12146</v>
      </c>
      <c r="G138" t="str">
        <f>Config!$B$7</f>
        <v>SCH/Connector.SchLib</v>
      </c>
      <c r="H138" t="s">
        <v>6983</v>
      </c>
      <c r="I138" t="s">
        <v>16790</v>
      </c>
      <c r="J138" t="s">
        <v>13455</v>
      </c>
      <c r="L138" s="1" t="s">
        <v>13497</v>
      </c>
      <c r="M138" t="s">
        <v>12392</v>
      </c>
      <c r="N138" t="s">
        <v>12147</v>
      </c>
      <c r="O138" t="s">
        <v>12160</v>
      </c>
      <c r="P138" t="s">
        <v>8459</v>
      </c>
      <c r="Q138">
        <v>30136216</v>
      </c>
    </row>
    <row r="139" spans="1:17" ht="15.75">
      <c r="A139" t="s">
        <v>16791</v>
      </c>
      <c r="B139" t="s">
        <v>12178</v>
      </c>
      <c r="C139" t="s">
        <v>12396</v>
      </c>
      <c r="D139" t="s">
        <v>12146</v>
      </c>
      <c r="G139" t="str">
        <f>Config!$B$7</f>
        <v>SCH/Connector.SchLib</v>
      </c>
      <c r="H139" t="s">
        <v>6983</v>
      </c>
      <c r="I139" t="s">
        <v>16790</v>
      </c>
      <c r="J139" t="s">
        <v>13456</v>
      </c>
      <c r="L139" s="1" t="s">
        <v>13497</v>
      </c>
      <c r="M139" t="s">
        <v>12392</v>
      </c>
      <c r="N139" t="s">
        <v>12147</v>
      </c>
      <c r="O139" t="s">
        <v>12161</v>
      </c>
      <c r="P139" t="s">
        <v>8459</v>
      </c>
      <c r="Q139">
        <v>30136217</v>
      </c>
    </row>
    <row r="140" spans="1:17" ht="15.75">
      <c r="A140" t="s">
        <v>16792</v>
      </c>
      <c r="B140" t="s">
        <v>12149</v>
      </c>
      <c r="C140" t="s">
        <v>12396</v>
      </c>
      <c r="D140" t="s">
        <v>12146</v>
      </c>
      <c r="G140" t="str">
        <f>Config!$B$7</f>
        <v>SCH/Connector.SchLib</v>
      </c>
      <c r="H140" t="s">
        <v>6983</v>
      </c>
      <c r="I140" t="s">
        <v>16790</v>
      </c>
      <c r="J140" t="s">
        <v>13453</v>
      </c>
      <c r="L140" s="1" t="s">
        <v>13497</v>
      </c>
      <c r="M140" t="s">
        <v>12392</v>
      </c>
      <c r="N140" t="s">
        <v>12147</v>
      </c>
      <c r="O140" t="s">
        <v>12148</v>
      </c>
      <c r="P140" t="s">
        <v>8459</v>
      </c>
      <c r="Q140">
        <v>30136218</v>
      </c>
    </row>
    <row r="141" spans="1:17" ht="15.75">
      <c r="A141" t="s">
        <v>16793</v>
      </c>
      <c r="B141" t="s">
        <v>12179</v>
      </c>
      <c r="C141" t="s">
        <v>12396</v>
      </c>
      <c r="D141" t="s">
        <v>12146</v>
      </c>
      <c r="G141" t="str">
        <f>Config!$B$7</f>
        <v>SCH/Connector.SchLib</v>
      </c>
      <c r="H141" t="s">
        <v>6983</v>
      </c>
      <c r="I141" t="s">
        <v>16790</v>
      </c>
      <c r="J141" t="s">
        <v>13457</v>
      </c>
      <c r="L141" s="1" t="s">
        <v>13497</v>
      </c>
      <c r="M141" t="s">
        <v>12392</v>
      </c>
      <c r="N141" t="s">
        <v>12147</v>
      </c>
      <c r="O141" t="s">
        <v>12162</v>
      </c>
      <c r="P141" t="s">
        <v>8459</v>
      </c>
      <c r="Q141">
        <v>30136219</v>
      </c>
    </row>
    <row r="142" spans="1:17" ht="15.75">
      <c r="A142" t="s">
        <v>16794</v>
      </c>
      <c r="B142" t="s">
        <v>12180</v>
      </c>
      <c r="C142" t="s">
        <v>12396</v>
      </c>
      <c r="D142" t="s">
        <v>12146</v>
      </c>
      <c r="G142" t="str">
        <f>Config!$B$7</f>
        <v>SCH/Connector.SchLib</v>
      </c>
      <c r="H142" t="s">
        <v>6983</v>
      </c>
      <c r="I142" t="s">
        <v>16790</v>
      </c>
      <c r="J142" t="s">
        <v>13458</v>
      </c>
      <c r="L142" s="1" t="s">
        <v>13497</v>
      </c>
      <c r="M142" t="s">
        <v>12392</v>
      </c>
      <c r="N142" t="s">
        <v>12147</v>
      </c>
      <c r="O142" t="s">
        <v>12163</v>
      </c>
      <c r="P142" t="s">
        <v>8459</v>
      </c>
      <c r="Q142">
        <v>30136220</v>
      </c>
    </row>
    <row r="143" spans="1:17" ht="15.75">
      <c r="A143" t="s">
        <v>16795</v>
      </c>
      <c r="B143" t="s">
        <v>12181</v>
      </c>
      <c r="C143" t="s">
        <v>12396</v>
      </c>
      <c r="D143" t="s">
        <v>12146</v>
      </c>
      <c r="G143" t="str">
        <f>Config!$B$7</f>
        <v>SCH/Connector.SchLib</v>
      </c>
      <c r="H143" t="s">
        <v>6983</v>
      </c>
      <c r="I143" t="s">
        <v>16790</v>
      </c>
      <c r="J143" t="s">
        <v>13459</v>
      </c>
      <c r="L143" s="1" t="s">
        <v>13497</v>
      </c>
      <c r="M143" t="s">
        <v>12392</v>
      </c>
      <c r="N143" t="s">
        <v>12147</v>
      </c>
      <c r="O143" t="s">
        <v>12164</v>
      </c>
      <c r="P143" t="s">
        <v>8459</v>
      </c>
      <c r="Q143">
        <v>30136221</v>
      </c>
    </row>
    <row r="144" spans="1:17" ht="15.75">
      <c r="A144" t="s">
        <v>16796</v>
      </c>
      <c r="B144" t="s">
        <v>12182</v>
      </c>
      <c r="C144" t="s">
        <v>12396</v>
      </c>
      <c r="D144" t="s">
        <v>12146</v>
      </c>
      <c r="G144" t="str">
        <f>Config!$B$7</f>
        <v>SCH/Connector.SchLib</v>
      </c>
      <c r="H144" t="s">
        <v>6983</v>
      </c>
      <c r="I144" t="s">
        <v>16790</v>
      </c>
      <c r="J144" t="s">
        <v>13460</v>
      </c>
      <c r="L144" s="1" t="s">
        <v>13497</v>
      </c>
      <c r="M144" t="s">
        <v>12392</v>
      </c>
      <c r="N144" t="s">
        <v>12147</v>
      </c>
      <c r="O144" t="s">
        <v>12165</v>
      </c>
      <c r="P144" t="s">
        <v>8459</v>
      </c>
      <c r="Q144">
        <v>30136222</v>
      </c>
    </row>
    <row r="145" spans="1:17" ht="15.75">
      <c r="A145" t="s">
        <v>16797</v>
      </c>
      <c r="B145" t="s">
        <v>12183</v>
      </c>
      <c r="C145" t="s">
        <v>12396</v>
      </c>
      <c r="D145" t="s">
        <v>12146</v>
      </c>
      <c r="G145" t="str">
        <f>Config!$B$7</f>
        <v>SCH/Connector.SchLib</v>
      </c>
      <c r="H145" t="s">
        <v>6983</v>
      </c>
      <c r="I145" t="s">
        <v>16790</v>
      </c>
      <c r="J145" t="s">
        <v>13461</v>
      </c>
      <c r="L145" s="1" t="s">
        <v>13497</v>
      </c>
      <c r="M145" t="s">
        <v>12392</v>
      </c>
      <c r="N145" t="s">
        <v>12147</v>
      </c>
      <c r="O145" t="s">
        <v>12166</v>
      </c>
      <c r="P145" t="s">
        <v>8459</v>
      </c>
      <c r="Q145">
        <v>30136223</v>
      </c>
    </row>
    <row r="146" spans="1:17" ht="15.75">
      <c r="A146" t="s">
        <v>16798</v>
      </c>
      <c r="B146" t="s">
        <v>12184</v>
      </c>
      <c r="C146" t="s">
        <v>12396</v>
      </c>
      <c r="D146" t="s">
        <v>12146</v>
      </c>
      <c r="G146" t="str">
        <f>Config!$B$7</f>
        <v>SCH/Connector.SchLib</v>
      </c>
      <c r="H146" t="s">
        <v>6983</v>
      </c>
      <c r="I146" t="s">
        <v>16790</v>
      </c>
      <c r="J146" t="s">
        <v>13462</v>
      </c>
      <c r="L146" s="1" t="s">
        <v>13497</v>
      </c>
      <c r="M146" t="s">
        <v>12392</v>
      </c>
      <c r="N146" t="s">
        <v>12147</v>
      </c>
      <c r="O146" t="s">
        <v>12167</v>
      </c>
      <c r="P146" t="s">
        <v>8459</v>
      </c>
      <c r="Q146">
        <v>30136224</v>
      </c>
    </row>
    <row r="147" spans="1:17" ht="15.75">
      <c r="A147" t="s">
        <v>16799</v>
      </c>
      <c r="B147" t="s">
        <v>12185</v>
      </c>
      <c r="C147" t="s">
        <v>12396</v>
      </c>
      <c r="D147" t="s">
        <v>12146</v>
      </c>
      <c r="G147" t="str">
        <f>Config!$B$7</f>
        <v>SCH/Connector.SchLib</v>
      </c>
      <c r="H147" t="s">
        <v>6983</v>
      </c>
      <c r="I147" t="s">
        <v>16790</v>
      </c>
      <c r="J147" t="s">
        <v>13463</v>
      </c>
      <c r="L147" s="1" t="s">
        <v>13497</v>
      </c>
      <c r="M147" t="s">
        <v>12392</v>
      </c>
      <c r="N147" t="s">
        <v>12147</v>
      </c>
      <c r="O147" t="s">
        <v>12452</v>
      </c>
    </row>
    <row r="148" spans="1:17" ht="15.75">
      <c r="A148" t="s">
        <v>16778</v>
      </c>
      <c r="B148" t="s">
        <v>12177</v>
      </c>
      <c r="C148" t="s">
        <v>12396</v>
      </c>
      <c r="D148" t="s">
        <v>12146</v>
      </c>
      <c r="G148" t="str">
        <f>Config!$B$7</f>
        <v>SCH/Connector.SchLib</v>
      </c>
      <c r="H148" t="s">
        <v>6983</v>
      </c>
      <c r="I148" t="s">
        <v>16788</v>
      </c>
      <c r="J148" t="s">
        <v>13455</v>
      </c>
      <c r="L148" s="1" t="s">
        <v>13497</v>
      </c>
      <c r="M148" t="s">
        <v>12392</v>
      </c>
      <c r="N148" t="s">
        <v>12147</v>
      </c>
      <c r="O148" t="s">
        <v>12160</v>
      </c>
      <c r="P148" t="s">
        <v>8459</v>
      </c>
      <c r="Q148">
        <v>30136216</v>
      </c>
    </row>
    <row r="149" spans="1:17" ht="15.75">
      <c r="A149" t="s">
        <v>16779</v>
      </c>
      <c r="B149" t="s">
        <v>12178</v>
      </c>
      <c r="C149" t="s">
        <v>12396</v>
      </c>
      <c r="D149" t="s">
        <v>12146</v>
      </c>
      <c r="G149" t="str">
        <f>Config!$B$7</f>
        <v>SCH/Connector.SchLib</v>
      </c>
      <c r="H149" t="s">
        <v>6983</v>
      </c>
      <c r="I149" t="s">
        <v>16788</v>
      </c>
      <c r="J149" t="s">
        <v>13456</v>
      </c>
      <c r="L149" s="1" t="s">
        <v>13497</v>
      </c>
      <c r="M149" t="s">
        <v>12392</v>
      </c>
      <c r="N149" t="s">
        <v>12147</v>
      </c>
      <c r="O149" t="s">
        <v>12161</v>
      </c>
      <c r="P149" t="s">
        <v>8459</v>
      </c>
      <c r="Q149">
        <v>30136217</v>
      </c>
    </row>
    <row r="150" spans="1:17" ht="15.75">
      <c r="A150" t="s">
        <v>16780</v>
      </c>
      <c r="B150" t="s">
        <v>12149</v>
      </c>
      <c r="C150" t="s">
        <v>12396</v>
      </c>
      <c r="D150" t="s">
        <v>12146</v>
      </c>
      <c r="G150" t="str">
        <f>Config!$B$7</f>
        <v>SCH/Connector.SchLib</v>
      </c>
      <c r="H150" t="s">
        <v>6983</v>
      </c>
      <c r="I150" t="s">
        <v>16788</v>
      </c>
      <c r="J150" t="s">
        <v>13453</v>
      </c>
      <c r="L150" s="1" t="s">
        <v>13497</v>
      </c>
      <c r="M150" t="s">
        <v>12392</v>
      </c>
      <c r="N150" t="s">
        <v>12147</v>
      </c>
      <c r="O150" t="s">
        <v>12148</v>
      </c>
      <c r="P150" t="s">
        <v>8459</v>
      </c>
      <c r="Q150">
        <v>30136218</v>
      </c>
    </row>
    <row r="151" spans="1:17" ht="15.75">
      <c r="A151" t="s">
        <v>16781</v>
      </c>
      <c r="B151" t="s">
        <v>12179</v>
      </c>
      <c r="C151" t="s">
        <v>12396</v>
      </c>
      <c r="D151" t="s">
        <v>12146</v>
      </c>
      <c r="G151" t="str">
        <f>Config!$B$7</f>
        <v>SCH/Connector.SchLib</v>
      </c>
      <c r="H151" t="s">
        <v>6983</v>
      </c>
      <c r="I151" t="s">
        <v>16788</v>
      </c>
      <c r="J151" t="s">
        <v>13457</v>
      </c>
      <c r="L151" s="1" t="s">
        <v>13497</v>
      </c>
      <c r="M151" t="s">
        <v>12392</v>
      </c>
      <c r="N151" t="s">
        <v>12147</v>
      </c>
      <c r="O151" t="s">
        <v>12162</v>
      </c>
      <c r="P151" t="s">
        <v>8459</v>
      </c>
      <c r="Q151">
        <v>30136219</v>
      </c>
    </row>
    <row r="152" spans="1:17" ht="15.75">
      <c r="A152" t="s">
        <v>16782</v>
      </c>
      <c r="B152" t="s">
        <v>12180</v>
      </c>
      <c r="C152" t="s">
        <v>12396</v>
      </c>
      <c r="D152" t="s">
        <v>12146</v>
      </c>
      <c r="G152" t="str">
        <f>Config!$B$7</f>
        <v>SCH/Connector.SchLib</v>
      </c>
      <c r="H152" t="s">
        <v>6983</v>
      </c>
      <c r="I152" t="s">
        <v>16788</v>
      </c>
      <c r="J152" t="s">
        <v>13458</v>
      </c>
      <c r="L152" s="1" t="s">
        <v>13497</v>
      </c>
      <c r="M152" t="s">
        <v>12392</v>
      </c>
      <c r="N152" t="s">
        <v>12147</v>
      </c>
      <c r="O152" t="s">
        <v>12163</v>
      </c>
      <c r="P152" t="s">
        <v>8459</v>
      </c>
      <c r="Q152">
        <v>30136220</v>
      </c>
    </row>
    <row r="153" spans="1:17" ht="15.75">
      <c r="A153" t="s">
        <v>16783</v>
      </c>
      <c r="B153" t="s">
        <v>12181</v>
      </c>
      <c r="C153" t="s">
        <v>12396</v>
      </c>
      <c r="D153" t="s">
        <v>12146</v>
      </c>
      <c r="G153" t="str">
        <f>Config!$B$7</f>
        <v>SCH/Connector.SchLib</v>
      </c>
      <c r="H153" t="s">
        <v>6983</v>
      </c>
      <c r="I153" t="s">
        <v>16788</v>
      </c>
      <c r="J153" t="s">
        <v>13459</v>
      </c>
      <c r="L153" s="1" t="s">
        <v>13497</v>
      </c>
      <c r="M153" t="s">
        <v>12392</v>
      </c>
      <c r="N153" t="s">
        <v>12147</v>
      </c>
      <c r="O153" t="s">
        <v>12164</v>
      </c>
      <c r="P153" t="s">
        <v>8459</v>
      </c>
      <c r="Q153">
        <v>30136221</v>
      </c>
    </row>
    <row r="154" spans="1:17" ht="15.75">
      <c r="A154" t="s">
        <v>16784</v>
      </c>
      <c r="B154" t="s">
        <v>12182</v>
      </c>
      <c r="C154" t="s">
        <v>12396</v>
      </c>
      <c r="D154" t="s">
        <v>12146</v>
      </c>
      <c r="G154" t="str">
        <f>Config!$B$7</f>
        <v>SCH/Connector.SchLib</v>
      </c>
      <c r="H154" t="s">
        <v>6983</v>
      </c>
      <c r="I154" t="s">
        <v>16788</v>
      </c>
      <c r="J154" t="s">
        <v>13460</v>
      </c>
      <c r="L154" s="1" t="s">
        <v>13497</v>
      </c>
      <c r="M154" t="s">
        <v>12392</v>
      </c>
      <c r="N154" t="s">
        <v>12147</v>
      </c>
      <c r="O154" t="s">
        <v>12165</v>
      </c>
      <c r="P154" t="s">
        <v>8459</v>
      </c>
      <c r="Q154">
        <v>30136222</v>
      </c>
    </row>
    <row r="155" spans="1:17" ht="15.75">
      <c r="A155" t="s">
        <v>16785</v>
      </c>
      <c r="B155" t="s">
        <v>12183</v>
      </c>
      <c r="C155" t="s">
        <v>12396</v>
      </c>
      <c r="D155" t="s">
        <v>12146</v>
      </c>
      <c r="G155" t="str">
        <f>Config!$B$7</f>
        <v>SCH/Connector.SchLib</v>
      </c>
      <c r="H155" t="s">
        <v>6983</v>
      </c>
      <c r="I155" t="s">
        <v>16788</v>
      </c>
      <c r="J155" t="s">
        <v>13461</v>
      </c>
      <c r="L155" s="1" t="s">
        <v>13497</v>
      </c>
      <c r="M155" t="s">
        <v>12392</v>
      </c>
      <c r="N155" t="s">
        <v>12147</v>
      </c>
      <c r="O155" t="s">
        <v>12166</v>
      </c>
      <c r="P155" t="s">
        <v>8459</v>
      </c>
      <c r="Q155">
        <v>30136223</v>
      </c>
    </row>
    <row r="156" spans="1:17" ht="15.75">
      <c r="A156" t="s">
        <v>16786</v>
      </c>
      <c r="B156" t="s">
        <v>12184</v>
      </c>
      <c r="C156" t="s">
        <v>12396</v>
      </c>
      <c r="D156" t="s">
        <v>12146</v>
      </c>
      <c r="G156" t="str">
        <f>Config!$B$7</f>
        <v>SCH/Connector.SchLib</v>
      </c>
      <c r="H156" t="s">
        <v>6983</v>
      </c>
      <c r="I156" t="s">
        <v>16788</v>
      </c>
      <c r="J156" t="s">
        <v>13462</v>
      </c>
      <c r="L156" s="1" t="s">
        <v>13497</v>
      </c>
      <c r="M156" t="s">
        <v>12392</v>
      </c>
      <c r="N156" t="s">
        <v>12147</v>
      </c>
      <c r="O156" t="s">
        <v>12167</v>
      </c>
      <c r="P156" t="s">
        <v>8459</v>
      </c>
      <c r="Q156">
        <v>30136224</v>
      </c>
    </row>
    <row r="157" spans="1:17" ht="15.75">
      <c r="A157" t="s">
        <v>16787</v>
      </c>
      <c r="B157" t="s">
        <v>12185</v>
      </c>
      <c r="C157" t="s">
        <v>12396</v>
      </c>
      <c r="D157" t="s">
        <v>12146</v>
      </c>
      <c r="G157" t="str">
        <f>Config!$B$7</f>
        <v>SCH/Connector.SchLib</v>
      </c>
      <c r="H157" t="s">
        <v>6983</v>
      </c>
      <c r="I157" t="s">
        <v>16788</v>
      </c>
      <c r="J157" t="s">
        <v>13463</v>
      </c>
      <c r="L157" s="1" t="s">
        <v>13497</v>
      </c>
      <c r="M157" t="s">
        <v>12392</v>
      </c>
      <c r="N157" t="s">
        <v>12147</v>
      </c>
      <c r="O157" t="s">
        <v>12452</v>
      </c>
    </row>
    <row r="158" spans="1:17" ht="15.75">
      <c r="A158" t="s">
        <v>16800</v>
      </c>
      <c r="B158" t="s">
        <v>12177</v>
      </c>
      <c r="C158" t="s">
        <v>12396</v>
      </c>
      <c r="D158" t="s">
        <v>12146</v>
      </c>
      <c r="G158" t="str">
        <f>Config!$B$7</f>
        <v>SCH/Connector.SchLib</v>
      </c>
      <c r="H158" t="s">
        <v>6983</v>
      </c>
      <c r="I158" t="s">
        <v>16801</v>
      </c>
      <c r="J158" t="s">
        <v>13455</v>
      </c>
      <c r="L158" s="1" t="s">
        <v>13497</v>
      </c>
      <c r="M158" t="s">
        <v>12392</v>
      </c>
      <c r="N158" t="s">
        <v>12147</v>
      </c>
      <c r="O158" t="s">
        <v>12160</v>
      </c>
      <c r="P158" t="s">
        <v>8459</v>
      </c>
      <c r="Q158">
        <v>30136216</v>
      </c>
    </row>
    <row r="159" spans="1:17" ht="15.75">
      <c r="A159" t="s">
        <v>16802</v>
      </c>
      <c r="B159" t="s">
        <v>12178</v>
      </c>
      <c r="C159" t="s">
        <v>12396</v>
      </c>
      <c r="D159" t="s">
        <v>12146</v>
      </c>
      <c r="G159" t="str">
        <f>Config!$B$7</f>
        <v>SCH/Connector.SchLib</v>
      </c>
      <c r="H159" t="s">
        <v>6983</v>
      </c>
      <c r="I159" t="s">
        <v>16801</v>
      </c>
      <c r="J159" t="s">
        <v>13456</v>
      </c>
      <c r="L159" s="1" t="s">
        <v>13497</v>
      </c>
      <c r="M159" t="s">
        <v>12392</v>
      </c>
      <c r="N159" t="s">
        <v>12147</v>
      </c>
      <c r="O159" t="s">
        <v>12161</v>
      </c>
      <c r="P159" t="s">
        <v>8459</v>
      </c>
      <c r="Q159">
        <v>30136217</v>
      </c>
    </row>
    <row r="160" spans="1:17" ht="15.75">
      <c r="A160" t="s">
        <v>16803</v>
      </c>
      <c r="B160" t="s">
        <v>12149</v>
      </c>
      <c r="C160" t="s">
        <v>12396</v>
      </c>
      <c r="D160" t="s">
        <v>12146</v>
      </c>
      <c r="G160" t="str">
        <f>Config!$B$7</f>
        <v>SCH/Connector.SchLib</v>
      </c>
      <c r="H160" t="s">
        <v>6983</v>
      </c>
      <c r="I160" t="s">
        <v>16801</v>
      </c>
      <c r="J160" t="s">
        <v>13453</v>
      </c>
      <c r="L160" s="1" t="s">
        <v>13497</v>
      </c>
      <c r="M160" t="s">
        <v>12392</v>
      </c>
      <c r="N160" t="s">
        <v>12147</v>
      </c>
      <c r="O160" t="s">
        <v>12148</v>
      </c>
      <c r="P160" t="s">
        <v>8459</v>
      </c>
      <c r="Q160">
        <v>30136218</v>
      </c>
    </row>
    <row r="161" spans="1:17" ht="15.75">
      <c r="A161" t="s">
        <v>16804</v>
      </c>
      <c r="B161" t="s">
        <v>12179</v>
      </c>
      <c r="C161" t="s">
        <v>12396</v>
      </c>
      <c r="D161" t="s">
        <v>12146</v>
      </c>
      <c r="G161" t="str">
        <f>Config!$B$7</f>
        <v>SCH/Connector.SchLib</v>
      </c>
      <c r="H161" t="s">
        <v>6983</v>
      </c>
      <c r="I161" t="s">
        <v>16801</v>
      </c>
      <c r="J161" t="s">
        <v>13457</v>
      </c>
      <c r="L161" s="1" t="s">
        <v>13497</v>
      </c>
      <c r="M161" t="s">
        <v>12392</v>
      </c>
      <c r="N161" t="s">
        <v>12147</v>
      </c>
      <c r="O161" t="s">
        <v>12162</v>
      </c>
      <c r="P161" t="s">
        <v>8459</v>
      </c>
      <c r="Q161">
        <v>30136219</v>
      </c>
    </row>
    <row r="162" spans="1:17" ht="15.75">
      <c r="A162" t="s">
        <v>16805</v>
      </c>
      <c r="B162" t="s">
        <v>12180</v>
      </c>
      <c r="C162" t="s">
        <v>12396</v>
      </c>
      <c r="D162" t="s">
        <v>12146</v>
      </c>
      <c r="G162" t="str">
        <f>Config!$B$7</f>
        <v>SCH/Connector.SchLib</v>
      </c>
      <c r="H162" t="s">
        <v>6983</v>
      </c>
      <c r="I162" t="s">
        <v>16801</v>
      </c>
      <c r="J162" t="s">
        <v>13458</v>
      </c>
      <c r="L162" s="1" t="s">
        <v>13497</v>
      </c>
      <c r="M162" t="s">
        <v>12392</v>
      </c>
      <c r="N162" t="s">
        <v>12147</v>
      </c>
      <c r="O162" t="s">
        <v>12163</v>
      </c>
      <c r="P162" t="s">
        <v>8459</v>
      </c>
      <c r="Q162">
        <v>30136220</v>
      </c>
    </row>
    <row r="163" spans="1:17" ht="15.75">
      <c r="A163" t="s">
        <v>16806</v>
      </c>
      <c r="B163" t="s">
        <v>12181</v>
      </c>
      <c r="C163" t="s">
        <v>12396</v>
      </c>
      <c r="D163" t="s">
        <v>12146</v>
      </c>
      <c r="G163" t="str">
        <f>Config!$B$7</f>
        <v>SCH/Connector.SchLib</v>
      </c>
      <c r="H163" t="s">
        <v>6983</v>
      </c>
      <c r="I163" t="s">
        <v>16801</v>
      </c>
      <c r="J163" t="s">
        <v>13459</v>
      </c>
      <c r="L163" s="1" t="s">
        <v>13497</v>
      </c>
      <c r="M163" t="s">
        <v>12392</v>
      </c>
      <c r="N163" t="s">
        <v>12147</v>
      </c>
      <c r="O163" t="s">
        <v>12164</v>
      </c>
      <c r="P163" t="s">
        <v>8459</v>
      </c>
      <c r="Q163">
        <v>30136221</v>
      </c>
    </row>
    <row r="164" spans="1:17" ht="15.75">
      <c r="A164" t="s">
        <v>16807</v>
      </c>
      <c r="B164" t="s">
        <v>12182</v>
      </c>
      <c r="C164" t="s">
        <v>12396</v>
      </c>
      <c r="D164" t="s">
        <v>12146</v>
      </c>
      <c r="G164" t="str">
        <f>Config!$B$7</f>
        <v>SCH/Connector.SchLib</v>
      </c>
      <c r="H164" t="s">
        <v>6983</v>
      </c>
      <c r="I164" t="s">
        <v>16801</v>
      </c>
      <c r="J164" t="s">
        <v>13460</v>
      </c>
      <c r="L164" s="1" t="s">
        <v>13497</v>
      </c>
      <c r="M164" t="s">
        <v>12392</v>
      </c>
      <c r="N164" t="s">
        <v>12147</v>
      </c>
      <c r="O164" t="s">
        <v>12165</v>
      </c>
      <c r="P164" t="s">
        <v>8459</v>
      </c>
      <c r="Q164">
        <v>30136222</v>
      </c>
    </row>
    <row r="165" spans="1:17" ht="15.75">
      <c r="A165" t="s">
        <v>16808</v>
      </c>
      <c r="B165" t="s">
        <v>12183</v>
      </c>
      <c r="C165" t="s">
        <v>12396</v>
      </c>
      <c r="D165" t="s">
        <v>12146</v>
      </c>
      <c r="G165" t="str">
        <f>Config!$B$7</f>
        <v>SCH/Connector.SchLib</v>
      </c>
      <c r="H165" t="s">
        <v>6983</v>
      </c>
      <c r="I165" t="s">
        <v>16801</v>
      </c>
      <c r="J165" t="s">
        <v>13461</v>
      </c>
      <c r="L165" s="1" t="s">
        <v>13497</v>
      </c>
      <c r="M165" t="s">
        <v>12392</v>
      </c>
      <c r="N165" t="s">
        <v>12147</v>
      </c>
      <c r="O165" t="s">
        <v>12166</v>
      </c>
      <c r="P165" t="s">
        <v>8459</v>
      </c>
      <c r="Q165">
        <v>30136223</v>
      </c>
    </row>
    <row r="166" spans="1:17" ht="15.75">
      <c r="A166" t="s">
        <v>16809</v>
      </c>
      <c r="B166" t="s">
        <v>12184</v>
      </c>
      <c r="C166" t="s">
        <v>12396</v>
      </c>
      <c r="D166" t="s">
        <v>12146</v>
      </c>
      <c r="G166" t="str">
        <f>Config!$B$7</f>
        <v>SCH/Connector.SchLib</v>
      </c>
      <c r="H166" t="s">
        <v>6983</v>
      </c>
      <c r="I166" t="s">
        <v>16801</v>
      </c>
      <c r="J166" t="s">
        <v>13462</v>
      </c>
      <c r="L166" s="1" t="s">
        <v>13497</v>
      </c>
      <c r="M166" t="s">
        <v>12392</v>
      </c>
      <c r="N166" t="s">
        <v>12147</v>
      </c>
      <c r="O166" t="s">
        <v>12167</v>
      </c>
      <c r="P166" t="s">
        <v>8459</v>
      </c>
      <c r="Q166">
        <v>30136224</v>
      </c>
    </row>
    <row r="167" spans="1:17" ht="15.75">
      <c r="A167" t="s">
        <v>16810</v>
      </c>
      <c r="B167" t="s">
        <v>12185</v>
      </c>
      <c r="C167" t="s">
        <v>12396</v>
      </c>
      <c r="D167" t="s">
        <v>12146</v>
      </c>
      <c r="G167" t="str">
        <f>Config!$B$7</f>
        <v>SCH/Connector.SchLib</v>
      </c>
      <c r="H167" t="s">
        <v>6983</v>
      </c>
      <c r="I167" t="s">
        <v>16801</v>
      </c>
      <c r="J167" t="s">
        <v>13463</v>
      </c>
      <c r="L167" s="1" t="s">
        <v>13497</v>
      </c>
      <c r="M167" t="s">
        <v>12392</v>
      </c>
      <c r="N167" t="s">
        <v>12147</v>
      </c>
      <c r="O167" t="s">
        <v>12452</v>
      </c>
    </row>
    <row r="168" spans="1:17" ht="15.75">
      <c r="A168" t="s">
        <v>16811</v>
      </c>
      <c r="B168" t="s">
        <v>12177</v>
      </c>
      <c r="C168" t="s">
        <v>12396</v>
      </c>
      <c r="D168" t="s">
        <v>12146</v>
      </c>
      <c r="G168" t="str">
        <f>Config!$B$7</f>
        <v>SCH/Connector.SchLib</v>
      </c>
      <c r="H168" t="s">
        <v>6983</v>
      </c>
      <c r="I168" t="s">
        <v>16812</v>
      </c>
      <c r="J168" t="s">
        <v>13455</v>
      </c>
      <c r="L168" s="1" t="s">
        <v>13497</v>
      </c>
      <c r="M168" t="s">
        <v>12392</v>
      </c>
      <c r="N168" t="s">
        <v>12147</v>
      </c>
      <c r="O168" t="s">
        <v>12160</v>
      </c>
      <c r="P168" t="s">
        <v>8459</v>
      </c>
      <c r="Q168">
        <v>30136216</v>
      </c>
    </row>
    <row r="169" spans="1:17" ht="15.75">
      <c r="A169" t="s">
        <v>16813</v>
      </c>
      <c r="B169" t="s">
        <v>12178</v>
      </c>
      <c r="C169" t="s">
        <v>12396</v>
      </c>
      <c r="D169" t="s">
        <v>12146</v>
      </c>
      <c r="G169" t="str">
        <f>Config!$B$7</f>
        <v>SCH/Connector.SchLib</v>
      </c>
      <c r="H169" t="s">
        <v>6983</v>
      </c>
      <c r="I169" t="s">
        <v>16812</v>
      </c>
      <c r="J169" t="s">
        <v>13456</v>
      </c>
      <c r="L169" s="1" t="s">
        <v>13497</v>
      </c>
      <c r="M169" t="s">
        <v>12392</v>
      </c>
      <c r="N169" t="s">
        <v>12147</v>
      </c>
      <c r="O169" t="s">
        <v>12161</v>
      </c>
      <c r="P169" t="s">
        <v>8459</v>
      </c>
      <c r="Q169">
        <v>30136217</v>
      </c>
    </row>
    <row r="170" spans="1:17" ht="15.75">
      <c r="A170" t="s">
        <v>16814</v>
      </c>
      <c r="B170" t="s">
        <v>12149</v>
      </c>
      <c r="C170" t="s">
        <v>12396</v>
      </c>
      <c r="D170" t="s">
        <v>12146</v>
      </c>
      <c r="G170" t="str">
        <f>Config!$B$7</f>
        <v>SCH/Connector.SchLib</v>
      </c>
      <c r="H170" t="s">
        <v>6983</v>
      </c>
      <c r="I170" t="s">
        <v>16812</v>
      </c>
      <c r="J170" t="s">
        <v>13453</v>
      </c>
      <c r="L170" s="1" t="s">
        <v>13497</v>
      </c>
      <c r="M170" t="s">
        <v>12392</v>
      </c>
      <c r="N170" t="s">
        <v>12147</v>
      </c>
      <c r="O170" t="s">
        <v>12148</v>
      </c>
      <c r="P170" t="s">
        <v>8459</v>
      </c>
      <c r="Q170">
        <v>30136218</v>
      </c>
    </row>
    <row r="171" spans="1:17" ht="15.75">
      <c r="A171" t="s">
        <v>16815</v>
      </c>
      <c r="B171" t="s">
        <v>12179</v>
      </c>
      <c r="C171" t="s">
        <v>12396</v>
      </c>
      <c r="D171" t="s">
        <v>12146</v>
      </c>
      <c r="G171" t="str">
        <f>Config!$B$7</f>
        <v>SCH/Connector.SchLib</v>
      </c>
      <c r="H171" t="s">
        <v>6983</v>
      </c>
      <c r="I171" t="s">
        <v>16812</v>
      </c>
      <c r="J171" t="s">
        <v>13457</v>
      </c>
      <c r="L171" s="1" t="s">
        <v>13497</v>
      </c>
      <c r="M171" t="s">
        <v>12392</v>
      </c>
      <c r="N171" t="s">
        <v>12147</v>
      </c>
      <c r="O171" t="s">
        <v>12162</v>
      </c>
      <c r="P171" t="s">
        <v>8459</v>
      </c>
      <c r="Q171">
        <v>30136219</v>
      </c>
    </row>
    <row r="172" spans="1:17" ht="15.75">
      <c r="A172" t="s">
        <v>16816</v>
      </c>
      <c r="B172" t="s">
        <v>12180</v>
      </c>
      <c r="C172" t="s">
        <v>12396</v>
      </c>
      <c r="D172" t="s">
        <v>12146</v>
      </c>
      <c r="G172" t="str">
        <f>Config!$B$7</f>
        <v>SCH/Connector.SchLib</v>
      </c>
      <c r="H172" t="s">
        <v>6983</v>
      </c>
      <c r="I172" t="s">
        <v>16812</v>
      </c>
      <c r="J172" t="s">
        <v>13458</v>
      </c>
      <c r="L172" s="1" t="s">
        <v>13497</v>
      </c>
      <c r="M172" t="s">
        <v>12392</v>
      </c>
      <c r="N172" t="s">
        <v>12147</v>
      </c>
      <c r="O172" t="s">
        <v>12163</v>
      </c>
      <c r="P172" t="s">
        <v>8459</v>
      </c>
      <c r="Q172">
        <v>30136220</v>
      </c>
    </row>
    <row r="173" spans="1:17" ht="15.75">
      <c r="A173" t="s">
        <v>16817</v>
      </c>
      <c r="B173" t="s">
        <v>12181</v>
      </c>
      <c r="C173" t="s">
        <v>12396</v>
      </c>
      <c r="D173" t="s">
        <v>12146</v>
      </c>
      <c r="G173" t="str">
        <f>Config!$B$7</f>
        <v>SCH/Connector.SchLib</v>
      </c>
      <c r="H173" t="s">
        <v>6983</v>
      </c>
      <c r="I173" t="s">
        <v>16812</v>
      </c>
      <c r="J173" t="s">
        <v>13459</v>
      </c>
      <c r="L173" s="1" t="s">
        <v>13497</v>
      </c>
      <c r="M173" t="s">
        <v>12392</v>
      </c>
      <c r="N173" t="s">
        <v>12147</v>
      </c>
      <c r="O173" t="s">
        <v>12164</v>
      </c>
      <c r="P173" t="s">
        <v>8459</v>
      </c>
      <c r="Q173">
        <v>30136221</v>
      </c>
    </row>
    <row r="174" spans="1:17" ht="15.75">
      <c r="A174" t="s">
        <v>16818</v>
      </c>
      <c r="B174" t="s">
        <v>12182</v>
      </c>
      <c r="C174" t="s">
        <v>12396</v>
      </c>
      <c r="D174" t="s">
        <v>12146</v>
      </c>
      <c r="G174" t="str">
        <f>Config!$B$7</f>
        <v>SCH/Connector.SchLib</v>
      </c>
      <c r="H174" t="s">
        <v>6983</v>
      </c>
      <c r="I174" t="s">
        <v>16812</v>
      </c>
      <c r="J174" t="s">
        <v>13460</v>
      </c>
      <c r="L174" s="1" t="s">
        <v>13497</v>
      </c>
      <c r="M174" t="s">
        <v>12392</v>
      </c>
      <c r="N174" t="s">
        <v>12147</v>
      </c>
      <c r="O174" t="s">
        <v>12165</v>
      </c>
      <c r="P174" t="s">
        <v>8459</v>
      </c>
      <c r="Q174">
        <v>30136222</v>
      </c>
    </row>
    <row r="175" spans="1:17" ht="15.75">
      <c r="A175" t="s">
        <v>16819</v>
      </c>
      <c r="B175" t="s">
        <v>12183</v>
      </c>
      <c r="C175" t="s">
        <v>12396</v>
      </c>
      <c r="D175" t="s">
        <v>12146</v>
      </c>
      <c r="G175" t="str">
        <f>Config!$B$7</f>
        <v>SCH/Connector.SchLib</v>
      </c>
      <c r="H175" t="s">
        <v>6983</v>
      </c>
      <c r="I175" t="s">
        <v>16812</v>
      </c>
      <c r="J175" t="s">
        <v>13461</v>
      </c>
      <c r="L175" s="1" t="s">
        <v>13497</v>
      </c>
      <c r="M175" t="s">
        <v>12392</v>
      </c>
      <c r="N175" t="s">
        <v>12147</v>
      </c>
      <c r="O175" t="s">
        <v>12166</v>
      </c>
      <c r="P175" t="s">
        <v>8459</v>
      </c>
      <c r="Q175">
        <v>30136223</v>
      </c>
    </row>
    <row r="176" spans="1:17" ht="15.75">
      <c r="A176" t="s">
        <v>16820</v>
      </c>
      <c r="B176" t="s">
        <v>12184</v>
      </c>
      <c r="C176" t="s">
        <v>12396</v>
      </c>
      <c r="D176" t="s">
        <v>12146</v>
      </c>
      <c r="G176" t="str">
        <f>Config!$B$7</f>
        <v>SCH/Connector.SchLib</v>
      </c>
      <c r="H176" t="s">
        <v>6983</v>
      </c>
      <c r="I176" t="s">
        <v>16812</v>
      </c>
      <c r="J176" t="s">
        <v>13462</v>
      </c>
      <c r="L176" s="1" t="s">
        <v>13497</v>
      </c>
      <c r="M176" t="s">
        <v>12392</v>
      </c>
      <c r="N176" t="s">
        <v>12147</v>
      </c>
      <c r="O176" t="s">
        <v>12167</v>
      </c>
      <c r="P176" t="s">
        <v>8459</v>
      </c>
      <c r="Q176">
        <v>30136224</v>
      </c>
    </row>
    <row r="177" spans="1:17" ht="15.75">
      <c r="A177" t="s">
        <v>16821</v>
      </c>
      <c r="B177" t="s">
        <v>12185</v>
      </c>
      <c r="C177" t="s">
        <v>12396</v>
      </c>
      <c r="D177" t="s">
        <v>12146</v>
      </c>
      <c r="G177" t="str">
        <f>Config!$B$7</f>
        <v>SCH/Connector.SchLib</v>
      </c>
      <c r="H177" t="s">
        <v>6983</v>
      </c>
      <c r="I177" t="s">
        <v>16812</v>
      </c>
      <c r="J177" t="s">
        <v>13463</v>
      </c>
      <c r="L177" s="1" t="s">
        <v>13497</v>
      </c>
      <c r="M177" t="s">
        <v>12392</v>
      </c>
      <c r="N177" t="s">
        <v>12147</v>
      </c>
      <c r="O177" t="s">
        <v>12452</v>
      </c>
    </row>
    <row r="178" spans="1:17" ht="15.75">
      <c r="A178" t="s">
        <v>16822</v>
      </c>
      <c r="B178" t="s">
        <v>12177</v>
      </c>
      <c r="C178" t="s">
        <v>12396</v>
      </c>
      <c r="D178" t="s">
        <v>12146</v>
      </c>
      <c r="G178" t="str">
        <f>Config!$B$7</f>
        <v>SCH/Connector.SchLib</v>
      </c>
      <c r="H178" t="s">
        <v>6983</v>
      </c>
      <c r="I178" t="s">
        <v>16823</v>
      </c>
      <c r="J178" t="s">
        <v>13455</v>
      </c>
      <c r="L178" s="1" t="s">
        <v>13497</v>
      </c>
      <c r="M178" t="s">
        <v>12392</v>
      </c>
      <c r="N178" t="s">
        <v>12147</v>
      </c>
      <c r="O178" t="s">
        <v>12160</v>
      </c>
      <c r="P178" t="s">
        <v>8459</v>
      </c>
      <c r="Q178">
        <v>30136216</v>
      </c>
    </row>
    <row r="179" spans="1:17" ht="15.75">
      <c r="A179" t="s">
        <v>16824</v>
      </c>
      <c r="B179" t="s">
        <v>12178</v>
      </c>
      <c r="C179" t="s">
        <v>12396</v>
      </c>
      <c r="D179" t="s">
        <v>12146</v>
      </c>
      <c r="G179" t="str">
        <f>Config!$B$7</f>
        <v>SCH/Connector.SchLib</v>
      </c>
      <c r="H179" t="s">
        <v>6983</v>
      </c>
      <c r="I179" t="s">
        <v>16823</v>
      </c>
      <c r="J179" t="s">
        <v>13456</v>
      </c>
      <c r="L179" s="1" t="s">
        <v>13497</v>
      </c>
      <c r="M179" t="s">
        <v>12392</v>
      </c>
      <c r="N179" t="s">
        <v>12147</v>
      </c>
      <c r="O179" t="s">
        <v>12161</v>
      </c>
      <c r="P179" t="s">
        <v>8459</v>
      </c>
      <c r="Q179">
        <v>30136217</v>
      </c>
    </row>
    <row r="180" spans="1:17" ht="15.75">
      <c r="A180" t="s">
        <v>16825</v>
      </c>
      <c r="B180" t="s">
        <v>12149</v>
      </c>
      <c r="C180" t="s">
        <v>12396</v>
      </c>
      <c r="D180" t="s">
        <v>12146</v>
      </c>
      <c r="G180" t="str">
        <f>Config!$B$7</f>
        <v>SCH/Connector.SchLib</v>
      </c>
      <c r="H180" t="s">
        <v>6983</v>
      </c>
      <c r="I180" t="s">
        <v>16823</v>
      </c>
      <c r="J180" t="s">
        <v>13453</v>
      </c>
      <c r="L180" s="1" t="s">
        <v>13497</v>
      </c>
      <c r="M180" t="s">
        <v>12392</v>
      </c>
      <c r="N180" t="s">
        <v>12147</v>
      </c>
      <c r="O180" t="s">
        <v>12148</v>
      </c>
      <c r="P180" t="s">
        <v>8459</v>
      </c>
      <c r="Q180">
        <v>30136218</v>
      </c>
    </row>
    <row r="181" spans="1:17" ht="15.75">
      <c r="A181" t="s">
        <v>16826</v>
      </c>
      <c r="B181" t="s">
        <v>12179</v>
      </c>
      <c r="C181" t="s">
        <v>12396</v>
      </c>
      <c r="D181" t="s">
        <v>12146</v>
      </c>
      <c r="G181" t="str">
        <f>Config!$B$7</f>
        <v>SCH/Connector.SchLib</v>
      </c>
      <c r="H181" t="s">
        <v>6983</v>
      </c>
      <c r="I181" t="s">
        <v>16823</v>
      </c>
      <c r="J181" t="s">
        <v>13457</v>
      </c>
      <c r="L181" s="1" t="s">
        <v>13497</v>
      </c>
      <c r="M181" t="s">
        <v>12392</v>
      </c>
      <c r="N181" t="s">
        <v>12147</v>
      </c>
      <c r="O181" t="s">
        <v>12162</v>
      </c>
      <c r="P181" t="s">
        <v>8459</v>
      </c>
      <c r="Q181">
        <v>30136219</v>
      </c>
    </row>
    <row r="182" spans="1:17" ht="15.75">
      <c r="A182" t="s">
        <v>16827</v>
      </c>
      <c r="B182" t="s">
        <v>12180</v>
      </c>
      <c r="C182" t="s">
        <v>12396</v>
      </c>
      <c r="D182" t="s">
        <v>12146</v>
      </c>
      <c r="G182" t="str">
        <f>Config!$B$7</f>
        <v>SCH/Connector.SchLib</v>
      </c>
      <c r="H182" t="s">
        <v>6983</v>
      </c>
      <c r="I182" t="s">
        <v>16823</v>
      </c>
      <c r="J182" t="s">
        <v>13458</v>
      </c>
      <c r="L182" s="1" t="s">
        <v>13497</v>
      </c>
      <c r="M182" t="s">
        <v>12392</v>
      </c>
      <c r="N182" t="s">
        <v>12147</v>
      </c>
      <c r="O182" t="s">
        <v>12163</v>
      </c>
      <c r="P182" t="s">
        <v>8459</v>
      </c>
      <c r="Q182">
        <v>30136220</v>
      </c>
    </row>
    <row r="183" spans="1:17" ht="15.75">
      <c r="A183" t="s">
        <v>16828</v>
      </c>
      <c r="B183" t="s">
        <v>12181</v>
      </c>
      <c r="C183" t="s">
        <v>12396</v>
      </c>
      <c r="D183" t="s">
        <v>12146</v>
      </c>
      <c r="G183" t="str">
        <f>Config!$B$7</f>
        <v>SCH/Connector.SchLib</v>
      </c>
      <c r="H183" t="s">
        <v>6983</v>
      </c>
      <c r="I183" t="s">
        <v>16823</v>
      </c>
      <c r="J183" t="s">
        <v>13459</v>
      </c>
      <c r="L183" s="1" t="s">
        <v>13497</v>
      </c>
      <c r="M183" t="s">
        <v>12392</v>
      </c>
      <c r="N183" t="s">
        <v>12147</v>
      </c>
      <c r="O183" t="s">
        <v>12164</v>
      </c>
      <c r="P183" t="s">
        <v>8459</v>
      </c>
      <c r="Q183">
        <v>30136221</v>
      </c>
    </row>
    <row r="184" spans="1:17" ht="15.75">
      <c r="A184" t="s">
        <v>16829</v>
      </c>
      <c r="B184" t="s">
        <v>12182</v>
      </c>
      <c r="C184" t="s">
        <v>12396</v>
      </c>
      <c r="D184" t="s">
        <v>12146</v>
      </c>
      <c r="G184" t="str">
        <f>Config!$B$7</f>
        <v>SCH/Connector.SchLib</v>
      </c>
      <c r="H184" t="s">
        <v>6983</v>
      </c>
      <c r="I184" t="s">
        <v>16823</v>
      </c>
      <c r="J184" t="s">
        <v>13460</v>
      </c>
      <c r="L184" s="1" t="s">
        <v>13497</v>
      </c>
      <c r="M184" t="s">
        <v>12392</v>
      </c>
      <c r="N184" t="s">
        <v>12147</v>
      </c>
      <c r="O184" t="s">
        <v>12165</v>
      </c>
      <c r="P184" t="s">
        <v>8459</v>
      </c>
      <c r="Q184">
        <v>30136222</v>
      </c>
    </row>
    <row r="185" spans="1:17" ht="15.75">
      <c r="A185" t="s">
        <v>16830</v>
      </c>
      <c r="B185" t="s">
        <v>12183</v>
      </c>
      <c r="C185" t="s">
        <v>12396</v>
      </c>
      <c r="D185" t="s">
        <v>12146</v>
      </c>
      <c r="G185" t="str">
        <f>Config!$B$7</f>
        <v>SCH/Connector.SchLib</v>
      </c>
      <c r="H185" t="s">
        <v>6983</v>
      </c>
      <c r="I185" t="s">
        <v>16823</v>
      </c>
      <c r="J185" t="s">
        <v>13461</v>
      </c>
      <c r="L185" s="1" t="s">
        <v>13497</v>
      </c>
      <c r="M185" t="s">
        <v>12392</v>
      </c>
      <c r="N185" t="s">
        <v>12147</v>
      </c>
      <c r="O185" t="s">
        <v>12166</v>
      </c>
      <c r="P185" t="s">
        <v>8459</v>
      </c>
      <c r="Q185">
        <v>30136223</v>
      </c>
    </row>
    <row r="186" spans="1:17" ht="15.75">
      <c r="A186" t="s">
        <v>16831</v>
      </c>
      <c r="B186" t="s">
        <v>12184</v>
      </c>
      <c r="C186" t="s">
        <v>12396</v>
      </c>
      <c r="D186" t="s">
        <v>12146</v>
      </c>
      <c r="G186" t="str">
        <f>Config!$B$7</f>
        <v>SCH/Connector.SchLib</v>
      </c>
      <c r="H186" t="s">
        <v>6983</v>
      </c>
      <c r="I186" t="s">
        <v>16823</v>
      </c>
      <c r="J186" t="s">
        <v>13462</v>
      </c>
      <c r="L186" s="1" t="s">
        <v>13497</v>
      </c>
      <c r="M186" t="s">
        <v>12392</v>
      </c>
      <c r="N186" t="s">
        <v>12147</v>
      </c>
      <c r="O186" t="s">
        <v>12167</v>
      </c>
      <c r="P186" t="s">
        <v>8459</v>
      </c>
      <c r="Q186">
        <v>30136224</v>
      </c>
    </row>
    <row r="187" spans="1:17" ht="15.75">
      <c r="A187" t="s">
        <v>16832</v>
      </c>
      <c r="B187" t="s">
        <v>12185</v>
      </c>
      <c r="C187" t="s">
        <v>12396</v>
      </c>
      <c r="D187" t="s">
        <v>12146</v>
      </c>
      <c r="G187" t="str">
        <f>Config!$B$7</f>
        <v>SCH/Connector.SchLib</v>
      </c>
      <c r="H187" t="s">
        <v>6983</v>
      </c>
      <c r="I187" t="s">
        <v>16823</v>
      </c>
      <c r="J187" t="s">
        <v>13463</v>
      </c>
      <c r="L187" s="1" t="s">
        <v>13497</v>
      </c>
      <c r="M187" t="s">
        <v>12392</v>
      </c>
      <c r="N187" t="s">
        <v>12147</v>
      </c>
      <c r="O187" t="s">
        <v>12452</v>
      </c>
    </row>
    <row r="188" spans="1:17" ht="15.75">
      <c r="A188" t="s">
        <v>12325</v>
      </c>
      <c r="B188" t="s">
        <v>12325</v>
      </c>
      <c r="C188" t="s">
        <v>12397</v>
      </c>
      <c r="D188" t="s">
        <v>12146</v>
      </c>
      <c r="G188" t="str">
        <f>Config!$B$7</f>
        <v>SCH/Connector.SchLib</v>
      </c>
      <c r="H188" t="s">
        <v>7005</v>
      </c>
      <c r="I188" s="39"/>
      <c r="J188" s="39"/>
      <c r="L188" s="1" t="s">
        <v>13497</v>
      </c>
      <c r="M188" t="s">
        <v>12393</v>
      </c>
      <c r="N188" t="s">
        <v>12147</v>
      </c>
      <c r="O188" t="s">
        <v>12333</v>
      </c>
    </row>
    <row r="189" spans="1:17" ht="15.75">
      <c r="A189" t="s">
        <v>12326</v>
      </c>
      <c r="B189" t="s">
        <v>12326</v>
      </c>
      <c r="C189" t="s">
        <v>12397</v>
      </c>
      <c r="D189" t="s">
        <v>12146</v>
      </c>
      <c r="G189" t="str">
        <f>Config!$B$7</f>
        <v>SCH/Connector.SchLib</v>
      </c>
      <c r="H189" t="s">
        <v>7005</v>
      </c>
      <c r="I189" s="39"/>
      <c r="J189" s="39"/>
      <c r="L189" s="1" t="s">
        <v>13497</v>
      </c>
      <c r="M189" t="s">
        <v>12393</v>
      </c>
      <c r="N189" t="s">
        <v>12147</v>
      </c>
      <c r="O189" t="s">
        <v>12334</v>
      </c>
      <c r="P189" t="s">
        <v>8459</v>
      </c>
      <c r="Q189">
        <v>14021779</v>
      </c>
    </row>
    <row r="190" spans="1:17" ht="15.75">
      <c r="A190" t="s">
        <v>12327</v>
      </c>
      <c r="B190" t="s">
        <v>12327</v>
      </c>
      <c r="C190" t="s">
        <v>12397</v>
      </c>
      <c r="D190" t="s">
        <v>12146</v>
      </c>
      <c r="G190" t="str">
        <f>Config!$B$7</f>
        <v>SCH/Connector.SchLib</v>
      </c>
      <c r="H190" t="s">
        <v>7005</v>
      </c>
      <c r="I190" s="39"/>
      <c r="J190" s="39"/>
      <c r="L190" s="1" t="s">
        <v>13497</v>
      </c>
      <c r="M190" t="s">
        <v>12393</v>
      </c>
      <c r="N190" t="s">
        <v>12147</v>
      </c>
      <c r="O190" t="s">
        <v>12335</v>
      </c>
      <c r="P190" t="s">
        <v>8459</v>
      </c>
      <c r="Q190">
        <v>14021780</v>
      </c>
    </row>
    <row r="191" spans="1:17" ht="15.75">
      <c r="A191" t="s">
        <v>12328</v>
      </c>
      <c r="B191" t="s">
        <v>12328</v>
      </c>
      <c r="C191" t="s">
        <v>12397</v>
      </c>
      <c r="D191" t="s">
        <v>12146</v>
      </c>
      <c r="G191" t="str">
        <f>Config!$B$7</f>
        <v>SCH/Connector.SchLib</v>
      </c>
      <c r="H191" t="s">
        <v>7005</v>
      </c>
      <c r="I191" s="39"/>
      <c r="J191" s="39"/>
      <c r="L191" s="1" t="s">
        <v>13497</v>
      </c>
      <c r="M191" t="s">
        <v>12393</v>
      </c>
      <c r="N191" t="s">
        <v>12147</v>
      </c>
      <c r="O191" t="s">
        <v>12336</v>
      </c>
      <c r="P191" t="s">
        <v>8459</v>
      </c>
      <c r="Q191">
        <v>14021781</v>
      </c>
    </row>
    <row r="192" spans="1:17" ht="15.75">
      <c r="A192" t="s">
        <v>12329</v>
      </c>
      <c r="B192" t="s">
        <v>12329</v>
      </c>
      <c r="C192" t="s">
        <v>12397</v>
      </c>
      <c r="D192" t="s">
        <v>12146</v>
      </c>
      <c r="G192" t="str">
        <f>Config!$B$7</f>
        <v>SCH/Connector.SchLib</v>
      </c>
      <c r="H192" t="s">
        <v>7005</v>
      </c>
      <c r="I192" s="39"/>
      <c r="J192" s="39"/>
      <c r="L192" s="1" t="s">
        <v>13497</v>
      </c>
      <c r="M192" t="s">
        <v>12393</v>
      </c>
      <c r="N192" t="s">
        <v>12147</v>
      </c>
      <c r="O192" t="s">
        <v>12337</v>
      </c>
    </row>
    <row r="193" spans="1:17" ht="15.75">
      <c r="A193" t="s">
        <v>12330</v>
      </c>
      <c r="B193" t="s">
        <v>12330</v>
      </c>
      <c r="C193" t="s">
        <v>12397</v>
      </c>
      <c r="D193" t="s">
        <v>12146</v>
      </c>
      <c r="G193" t="str">
        <f>Config!$B$7</f>
        <v>SCH/Connector.SchLib</v>
      </c>
      <c r="H193" t="s">
        <v>7005</v>
      </c>
      <c r="I193" s="39"/>
      <c r="J193" s="39"/>
      <c r="L193" s="1" t="s">
        <v>13497</v>
      </c>
      <c r="M193" t="s">
        <v>12393</v>
      </c>
      <c r="N193" t="s">
        <v>12147</v>
      </c>
      <c r="O193" t="s">
        <v>12338</v>
      </c>
    </row>
    <row r="194" spans="1:17" ht="15.75">
      <c r="A194" t="s">
        <v>12331</v>
      </c>
      <c r="B194" t="s">
        <v>12331</v>
      </c>
      <c r="C194" t="s">
        <v>12397</v>
      </c>
      <c r="D194" t="s">
        <v>12146</v>
      </c>
      <c r="G194" t="str">
        <f>Config!$B$7</f>
        <v>SCH/Connector.SchLib</v>
      </c>
      <c r="H194" t="s">
        <v>7005</v>
      </c>
      <c r="I194" s="39"/>
      <c r="J194" s="39"/>
      <c r="L194" s="1" t="s">
        <v>13497</v>
      </c>
      <c r="M194" t="s">
        <v>12393</v>
      </c>
      <c r="N194" t="s">
        <v>12147</v>
      </c>
      <c r="O194" t="s">
        <v>12339</v>
      </c>
    </row>
    <row r="195" spans="1:17" ht="15.75">
      <c r="A195" t="s">
        <v>12332</v>
      </c>
      <c r="B195" t="s">
        <v>12332</v>
      </c>
      <c r="C195" t="s">
        <v>12397</v>
      </c>
      <c r="D195" t="s">
        <v>12146</v>
      </c>
      <c r="G195" t="str">
        <f>Config!$B$7</f>
        <v>SCH/Connector.SchLib</v>
      </c>
      <c r="H195" t="s">
        <v>7005</v>
      </c>
      <c r="I195" s="39"/>
      <c r="J195" s="39"/>
      <c r="L195" s="1" t="s">
        <v>13497</v>
      </c>
      <c r="M195" t="s">
        <v>12393</v>
      </c>
      <c r="N195" t="s">
        <v>12147</v>
      </c>
      <c r="O195" t="s">
        <v>12340</v>
      </c>
    </row>
    <row r="196" spans="1:17" ht="15.75">
      <c r="A196" t="s">
        <v>12341</v>
      </c>
      <c r="B196" t="s">
        <v>12341</v>
      </c>
      <c r="C196" t="s">
        <v>12398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12394</v>
      </c>
      <c r="N196" t="s">
        <v>12147</v>
      </c>
      <c r="O196" t="s">
        <v>12351</v>
      </c>
      <c r="P196" t="s">
        <v>8459</v>
      </c>
      <c r="Q196">
        <v>30223684</v>
      </c>
    </row>
    <row r="197" spans="1:17" ht="15.75">
      <c r="A197" t="s">
        <v>12342</v>
      </c>
      <c r="B197" t="s">
        <v>12342</v>
      </c>
      <c r="C197" t="s">
        <v>12398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12394</v>
      </c>
      <c r="N197" t="s">
        <v>12147</v>
      </c>
      <c r="O197" t="s">
        <v>12352</v>
      </c>
      <c r="P197" t="s">
        <v>8459</v>
      </c>
      <c r="Q197">
        <v>30136412</v>
      </c>
    </row>
    <row r="198" spans="1:17" ht="15.75">
      <c r="A198" t="s">
        <v>12343</v>
      </c>
      <c r="B198" t="s">
        <v>12343</v>
      </c>
      <c r="C198" t="s">
        <v>12398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12394</v>
      </c>
      <c r="N198" t="s">
        <v>12147</v>
      </c>
      <c r="O198" t="s">
        <v>12353</v>
      </c>
      <c r="P198" t="s">
        <v>8459</v>
      </c>
      <c r="Q198">
        <v>30136413</v>
      </c>
    </row>
    <row r="199" spans="1:17" ht="15.75">
      <c r="A199" t="s">
        <v>12344</v>
      </c>
      <c r="B199" t="s">
        <v>12344</v>
      </c>
      <c r="C199" t="s">
        <v>12398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12394</v>
      </c>
      <c r="N199" t="s">
        <v>12147</v>
      </c>
      <c r="O199" t="s">
        <v>12354</v>
      </c>
    </row>
    <row r="200" spans="1:17" ht="15.75">
      <c r="A200" t="s">
        <v>12345</v>
      </c>
      <c r="B200" t="s">
        <v>12345</v>
      </c>
      <c r="C200" t="s">
        <v>12398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12394</v>
      </c>
      <c r="N200" t="s">
        <v>12147</v>
      </c>
      <c r="O200" t="s">
        <v>12355</v>
      </c>
      <c r="P200" t="s">
        <v>8459</v>
      </c>
      <c r="Q200">
        <v>30136415</v>
      </c>
    </row>
    <row r="201" spans="1:17" ht="15.75">
      <c r="A201" t="s">
        <v>12346</v>
      </c>
      <c r="B201" t="s">
        <v>12346</v>
      </c>
      <c r="C201" t="s">
        <v>12398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12394</v>
      </c>
      <c r="N201" t="s">
        <v>12147</v>
      </c>
      <c r="O201" t="s">
        <v>12356</v>
      </c>
    </row>
    <row r="202" spans="1:17" ht="15.75">
      <c r="A202" t="s">
        <v>12347</v>
      </c>
      <c r="B202" t="s">
        <v>12347</v>
      </c>
      <c r="C202" t="s">
        <v>12398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12394</v>
      </c>
      <c r="N202" t="s">
        <v>12147</v>
      </c>
      <c r="O202" t="s">
        <v>12357</v>
      </c>
    </row>
    <row r="203" spans="1:17" ht="15.75">
      <c r="A203" t="s">
        <v>12348</v>
      </c>
      <c r="B203" t="s">
        <v>12348</v>
      </c>
      <c r="C203" t="s">
        <v>12398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12394</v>
      </c>
      <c r="N203" t="s">
        <v>12147</v>
      </c>
      <c r="O203" t="s">
        <v>12358</v>
      </c>
      <c r="P203" t="s">
        <v>8459</v>
      </c>
    </row>
    <row r="204" spans="1:17" ht="15.75">
      <c r="A204" t="s">
        <v>12349</v>
      </c>
      <c r="B204" t="s">
        <v>12349</v>
      </c>
      <c r="C204" t="s">
        <v>12398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12394</v>
      </c>
      <c r="N204" t="s">
        <v>12147</v>
      </c>
      <c r="O204" t="s">
        <v>12359</v>
      </c>
      <c r="P204" t="s">
        <v>8459</v>
      </c>
      <c r="Q204">
        <v>30223687</v>
      </c>
    </row>
    <row r="205" spans="1:17" ht="15.75">
      <c r="A205" t="s">
        <v>12350</v>
      </c>
      <c r="B205" t="s">
        <v>12350</v>
      </c>
      <c r="C205" t="s">
        <v>12398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12394</v>
      </c>
      <c r="N205" t="s">
        <v>12147</v>
      </c>
      <c r="O205" t="s">
        <v>12360</v>
      </c>
      <c r="P205" t="s">
        <v>8459</v>
      </c>
      <c r="Q205">
        <v>30223688</v>
      </c>
    </row>
    <row r="206" spans="1:17" ht="15.75">
      <c r="A206" t="s">
        <v>12361</v>
      </c>
      <c r="B206" t="s">
        <v>12361</v>
      </c>
      <c r="C206" t="s">
        <v>12399</v>
      </c>
      <c r="D206" t="s">
        <v>12146</v>
      </c>
      <c r="G206" t="str">
        <f>Config!$B$7</f>
        <v>SCH/Connector.SchLib</v>
      </c>
      <c r="H206" t="s">
        <v>6983</v>
      </c>
      <c r="I206" s="39"/>
      <c r="J206" s="39"/>
      <c r="L206" s="1" t="s">
        <v>13497</v>
      </c>
      <c r="M206" t="s">
        <v>12477</v>
      </c>
      <c r="N206" t="s">
        <v>12147</v>
      </c>
      <c r="O206" t="s">
        <v>12402</v>
      </c>
    </row>
    <row r="207" spans="1:17" ht="15.75">
      <c r="A207" t="s">
        <v>12362</v>
      </c>
      <c r="B207" t="s">
        <v>12362</v>
      </c>
      <c r="C207" t="s">
        <v>12399</v>
      </c>
      <c r="D207" t="s">
        <v>12146</v>
      </c>
      <c r="G207" t="str">
        <f>Config!$B$7</f>
        <v>SCH/Connector.SchLib</v>
      </c>
      <c r="H207" t="s">
        <v>6983</v>
      </c>
      <c r="I207" s="39"/>
      <c r="J207" s="39"/>
      <c r="L207" s="1" t="s">
        <v>13497</v>
      </c>
      <c r="M207" t="s">
        <v>12477</v>
      </c>
      <c r="N207" t="s">
        <v>12147</v>
      </c>
      <c r="O207" t="s">
        <v>12403</v>
      </c>
    </row>
    <row r="208" spans="1:17" ht="15.75">
      <c r="A208" t="s">
        <v>12363</v>
      </c>
      <c r="B208" t="s">
        <v>12363</v>
      </c>
      <c r="C208" t="s">
        <v>12399</v>
      </c>
      <c r="D208" t="s">
        <v>12146</v>
      </c>
      <c r="G208" t="str">
        <f>Config!$B$7</f>
        <v>SCH/Connector.SchLib</v>
      </c>
      <c r="H208" t="s">
        <v>6983</v>
      </c>
      <c r="I208" s="39"/>
      <c r="J208" s="39"/>
      <c r="L208" s="1" t="s">
        <v>13497</v>
      </c>
      <c r="M208" t="s">
        <v>12477</v>
      </c>
      <c r="N208" t="s">
        <v>12147</v>
      </c>
      <c r="O208" t="s">
        <v>12404</v>
      </c>
    </row>
    <row r="209" spans="1:17" ht="15.75">
      <c r="A209" t="s">
        <v>12364</v>
      </c>
      <c r="B209" t="s">
        <v>12364</v>
      </c>
      <c r="C209" t="s">
        <v>12399</v>
      </c>
      <c r="D209" t="s">
        <v>12146</v>
      </c>
      <c r="G209" t="str">
        <f>Config!$B$7</f>
        <v>SCH/Connector.SchLib</v>
      </c>
      <c r="H209" t="s">
        <v>6983</v>
      </c>
      <c r="I209" s="39"/>
      <c r="J209" s="39"/>
      <c r="L209" s="1" t="s">
        <v>13497</v>
      </c>
      <c r="M209" t="s">
        <v>12477</v>
      </c>
      <c r="N209" t="s">
        <v>12147</v>
      </c>
      <c r="O209" t="s">
        <v>12405</v>
      </c>
    </row>
    <row r="210" spans="1:17" ht="15.75">
      <c r="A210" t="s">
        <v>12365</v>
      </c>
      <c r="B210" t="s">
        <v>12365</v>
      </c>
      <c r="C210" t="s">
        <v>12399</v>
      </c>
      <c r="D210" t="s">
        <v>12146</v>
      </c>
      <c r="G210" t="str">
        <f>Config!$B$7</f>
        <v>SCH/Connector.SchLib</v>
      </c>
      <c r="H210" t="s">
        <v>6983</v>
      </c>
      <c r="I210" s="39"/>
      <c r="J210" s="39"/>
      <c r="L210" s="1" t="s">
        <v>13497</v>
      </c>
      <c r="M210" t="s">
        <v>12477</v>
      </c>
      <c r="N210" t="s">
        <v>12147</v>
      </c>
      <c r="O210" t="s">
        <v>12406</v>
      </c>
    </row>
    <row r="211" spans="1:17" ht="15.75">
      <c r="A211" t="s">
        <v>12366</v>
      </c>
      <c r="B211" t="s">
        <v>12366</v>
      </c>
      <c r="C211" t="s">
        <v>12399</v>
      </c>
      <c r="D211" t="s">
        <v>12146</v>
      </c>
      <c r="G211" t="str">
        <f>Config!$B$7</f>
        <v>SCH/Connector.SchLib</v>
      </c>
      <c r="H211" t="s">
        <v>6983</v>
      </c>
      <c r="I211" s="39"/>
      <c r="J211" s="39"/>
      <c r="L211" s="1" t="s">
        <v>13497</v>
      </c>
      <c r="M211" t="s">
        <v>12477</v>
      </c>
      <c r="N211" t="s">
        <v>12147</v>
      </c>
      <c r="O211" t="s">
        <v>12407</v>
      </c>
    </row>
    <row r="212" spans="1:17" ht="15.75">
      <c r="A212" t="s">
        <v>12367</v>
      </c>
      <c r="B212" t="s">
        <v>12367</v>
      </c>
      <c r="C212" t="s">
        <v>12399</v>
      </c>
      <c r="D212" t="s">
        <v>12146</v>
      </c>
      <c r="G212" t="str">
        <f>Config!$B$7</f>
        <v>SCH/Connector.SchLib</v>
      </c>
      <c r="H212" t="s">
        <v>6983</v>
      </c>
      <c r="I212" s="39"/>
      <c r="J212" s="39"/>
      <c r="L212" s="1" t="s">
        <v>13497</v>
      </c>
      <c r="M212" t="s">
        <v>12477</v>
      </c>
      <c r="N212" t="s">
        <v>12147</v>
      </c>
      <c r="O212" t="s">
        <v>12408</v>
      </c>
    </row>
    <row r="213" spans="1:17" ht="15.75">
      <c r="A213" t="s">
        <v>12368</v>
      </c>
      <c r="B213" t="s">
        <v>12368</v>
      </c>
      <c r="C213" t="s">
        <v>12399</v>
      </c>
      <c r="D213" t="s">
        <v>12146</v>
      </c>
      <c r="G213" t="str">
        <f>Config!$B$7</f>
        <v>SCH/Connector.SchLib</v>
      </c>
      <c r="H213" t="s">
        <v>6983</v>
      </c>
      <c r="I213" s="39"/>
      <c r="J213" s="39"/>
      <c r="L213" s="1" t="s">
        <v>13497</v>
      </c>
      <c r="M213" t="s">
        <v>12477</v>
      </c>
      <c r="N213" t="s">
        <v>12147</v>
      </c>
      <c r="O213" t="s">
        <v>12409</v>
      </c>
      <c r="P213" t="s">
        <v>8459</v>
      </c>
      <c r="Q213">
        <v>30223530</v>
      </c>
    </row>
    <row r="214" spans="1:17" ht="15.75">
      <c r="A214" t="s">
        <v>12369</v>
      </c>
      <c r="B214" t="s">
        <v>12369</v>
      </c>
      <c r="C214" t="s">
        <v>12399</v>
      </c>
      <c r="D214" t="s">
        <v>12146</v>
      </c>
      <c r="G214" t="str">
        <f>Config!$B$7</f>
        <v>SCH/Connector.SchLib</v>
      </c>
      <c r="H214" t="s">
        <v>6983</v>
      </c>
      <c r="I214" s="39"/>
      <c r="J214" s="39"/>
      <c r="L214" s="1" t="s">
        <v>13497</v>
      </c>
      <c r="M214" t="s">
        <v>12477</v>
      </c>
      <c r="N214" t="s">
        <v>12147</v>
      </c>
      <c r="O214" t="s">
        <v>12410</v>
      </c>
      <c r="P214" t="s">
        <v>8459</v>
      </c>
      <c r="Q214">
        <v>30223531</v>
      </c>
    </row>
    <row r="215" spans="1:17" ht="15.75">
      <c r="A215" t="s">
        <v>12370</v>
      </c>
      <c r="B215" t="s">
        <v>12370</v>
      </c>
      <c r="C215" t="s">
        <v>12399</v>
      </c>
      <c r="D215" t="s">
        <v>12146</v>
      </c>
      <c r="G215" t="str">
        <f>Config!$B$7</f>
        <v>SCH/Connector.SchLib</v>
      </c>
      <c r="H215" t="s">
        <v>6983</v>
      </c>
      <c r="I215" s="39"/>
      <c r="J215" s="39"/>
      <c r="L215" s="1" t="s">
        <v>13497</v>
      </c>
      <c r="M215" t="s">
        <v>12477</v>
      </c>
      <c r="N215" t="s">
        <v>12147</v>
      </c>
      <c r="O215" t="s">
        <v>12411</v>
      </c>
      <c r="P215" t="s">
        <v>8459</v>
      </c>
    </row>
    <row r="216" spans="1:17" ht="15.75">
      <c r="A216" t="s">
        <v>12371</v>
      </c>
      <c r="B216" t="s">
        <v>12371</v>
      </c>
      <c r="C216" t="s">
        <v>12400</v>
      </c>
      <c r="D216" t="s">
        <v>12146</v>
      </c>
      <c r="G216" t="str">
        <f>Config!$B$7</f>
        <v>SCH/Connector.SchLib</v>
      </c>
      <c r="H216" t="s">
        <v>6983</v>
      </c>
      <c r="I216" s="39"/>
      <c r="J216" s="39"/>
      <c r="L216" s="1" t="s">
        <v>13497</v>
      </c>
      <c r="M216" t="s">
        <v>12478</v>
      </c>
      <c r="N216" t="s">
        <v>12147</v>
      </c>
      <c r="O216" t="s">
        <v>12412</v>
      </c>
      <c r="P216" t="s">
        <v>8459</v>
      </c>
      <c r="Q216">
        <v>30136211</v>
      </c>
    </row>
    <row r="217" spans="1:17" ht="15.75">
      <c r="A217" t="s">
        <v>12372</v>
      </c>
      <c r="B217" t="s">
        <v>12372</v>
      </c>
      <c r="C217" t="s">
        <v>12400</v>
      </c>
      <c r="D217" t="s">
        <v>12146</v>
      </c>
      <c r="G217" t="str">
        <f>Config!$B$7</f>
        <v>SCH/Connector.SchLib</v>
      </c>
      <c r="H217" t="s">
        <v>6983</v>
      </c>
      <c r="I217" s="39"/>
      <c r="J217" s="39"/>
      <c r="L217" s="1" t="s">
        <v>13497</v>
      </c>
      <c r="M217" t="s">
        <v>12478</v>
      </c>
      <c r="N217" t="s">
        <v>12147</v>
      </c>
      <c r="O217" t="s">
        <v>12413</v>
      </c>
      <c r="P217" t="s">
        <v>8459</v>
      </c>
      <c r="Q217">
        <v>14021753</v>
      </c>
    </row>
    <row r="218" spans="1:17" ht="15.75">
      <c r="A218" t="s">
        <v>12373</v>
      </c>
      <c r="B218" t="s">
        <v>12373</v>
      </c>
      <c r="C218" t="s">
        <v>12400</v>
      </c>
      <c r="D218" t="s">
        <v>12146</v>
      </c>
      <c r="G218" t="str">
        <f>Config!$B$7</f>
        <v>SCH/Connector.SchLib</v>
      </c>
      <c r="H218" t="s">
        <v>6983</v>
      </c>
      <c r="I218" s="39"/>
      <c r="J218" s="39"/>
      <c r="L218" s="1" t="s">
        <v>13497</v>
      </c>
      <c r="M218" t="s">
        <v>12478</v>
      </c>
      <c r="N218" t="s">
        <v>12147</v>
      </c>
      <c r="O218" t="s">
        <v>12414</v>
      </c>
      <c r="P218" t="s">
        <v>8459</v>
      </c>
      <c r="Q218">
        <v>14021754</v>
      </c>
    </row>
    <row r="219" spans="1:17" ht="15.75">
      <c r="A219" t="s">
        <v>12374</v>
      </c>
      <c r="B219" t="s">
        <v>12374</v>
      </c>
      <c r="C219" t="s">
        <v>12400</v>
      </c>
      <c r="D219" t="s">
        <v>12146</v>
      </c>
      <c r="G219" t="str">
        <f>Config!$B$7</f>
        <v>SCH/Connector.SchLib</v>
      </c>
      <c r="H219" t="s">
        <v>6983</v>
      </c>
      <c r="I219" s="39"/>
      <c r="J219" s="39"/>
      <c r="L219" s="1" t="s">
        <v>13497</v>
      </c>
      <c r="M219" t="s">
        <v>12478</v>
      </c>
      <c r="N219" t="s">
        <v>12147</v>
      </c>
      <c r="O219" t="s">
        <v>12415</v>
      </c>
      <c r="P219" t="s">
        <v>8459</v>
      </c>
      <c r="Q219">
        <v>14021757</v>
      </c>
    </row>
    <row r="220" spans="1:17" ht="15.75">
      <c r="A220" t="s">
        <v>12375</v>
      </c>
      <c r="B220" t="s">
        <v>12375</v>
      </c>
      <c r="C220" t="s">
        <v>12400</v>
      </c>
      <c r="D220" t="s">
        <v>12146</v>
      </c>
      <c r="G220" t="str">
        <f>Config!$B$7</f>
        <v>SCH/Connector.SchLib</v>
      </c>
      <c r="H220" t="s">
        <v>6983</v>
      </c>
      <c r="I220" s="39"/>
      <c r="J220" s="39"/>
      <c r="L220" s="1" t="s">
        <v>13497</v>
      </c>
      <c r="M220" t="s">
        <v>12478</v>
      </c>
      <c r="N220" t="s">
        <v>12147</v>
      </c>
      <c r="O220" t="s">
        <v>12416</v>
      </c>
      <c r="P220" t="s">
        <v>8459</v>
      </c>
      <c r="Q220">
        <v>14021755</v>
      </c>
    </row>
    <row r="221" spans="1:17" ht="15.75">
      <c r="A221" t="s">
        <v>12376</v>
      </c>
      <c r="B221" t="s">
        <v>12376</v>
      </c>
      <c r="C221" t="s">
        <v>12400</v>
      </c>
      <c r="D221" t="s">
        <v>12146</v>
      </c>
      <c r="G221" t="str">
        <f>Config!$B$7</f>
        <v>SCH/Connector.SchLib</v>
      </c>
      <c r="H221" t="s">
        <v>6983</v>
      </c>
      <c r="I221" s="39"/>
      <c r="J221" s="39"/>
      <c r="L221" s="1" t="s">
        <v>13497</v>
      </c>
      <c r="M221" t="s">
        <v>12478</v>
      </c>
      <c r="N221" t="s">
        <v>12147</v>
      </c>
      <c r="O221" t="s">
        <v>12417</v>
      </c>
      <c r="P221" t="s">
        <v>8459</v>
      </c>
      <c r="Q221">
        <v>14021756</v>
      </c>
    </row>
    <row r="222" spans="1:17" ht="15.75">
      <c r="A222" t="s">
        <v>12377</v>
      </c>
      <c r="B222" t="s">
        <v>12377</v>
      </c>
      <c r="C222" t="s">
        <v>12400</v>
      </c>
      <c r="D222" t="s">
        <v>12146</v>
      </c>
      <c r="G222" t="str">
        <f>Config!$B$7</f>
        <v>SCH/Connector.SchLib</v>
      </c>
      <c r="H222" t="s">
        <v>6983</v>
      </c>
      <c r="I222" s="39"/>
      <c r="J222" s="39"/>
      <c r="L222" s="1" t="s">
        <v>13497</v>
      </c>
      <c r="M222" t="s">
        <v>12478</v>
      </c>
      <c r="N222" t="s">
        <v>12147</v>
      </c>
      <c r="O222" t="s">
        <v>12418</v>
      </c>
    </row>
    <row r="223" spans="1:17" ht="15.75">
      <c r="A223" t="s">
        <v>12378</v>
      </c>
      <c r="B223" t="s">
        <v>12378</v>
      </c>
      <c r="C223" t="s">
        <v>12400</v>
      </c>
      <c r="D223" t="s">
        <v>12146</v>
      </c>
      <c r="G223" t="str">
        <f>Config!$B$7</f>
        <v>SCH/Connector.SchLib</v>
      </c>
      <c r="H223" t="s">
        <v>6983</v>
      </c>
      <c r="I223" s="39"/>
      <c r="J223" s="39"/>
      <c r="L223" s="1" t="s">
        <v>13497</v>
      </c>
      <c r="M223" t="s">
        <v>12478</v>
      </c>
      <c r="N223" t="s">
        <v>12147</v>
      </c>
      <c r="O223" t="s">
        <v>12419</v>
      </c>
      <c r="P223" t="s">
        <v>8459</v>
      </c>
      <c r="Q223">
        <v>30136213</v>
      </c>
    </row>
    <row r="224" spans="1:17" ht="15.75">
      <c r="A224" t="s">
        <v>12379</v>
      </c>
      <c r="B224" t="s">
        <v>12379</v>
      </c>
      <c r="C224" t="s">
        <v>12400</v>
      </c>
      <c r="D224" t="s">
        <v>12146</v>
      </c>
      <c r="G224" t="str">
        <f>Config!$B$7</f>
        <v>SCH/Connector.SchLib</v>
      </c>
      <c r="H224" t="s">
        <v>6983</v>
      </c>
      <c r="I224" s="39"/>
      <c r="J224" s="39"/>
      <c r="L224" s="1" t="s">
        <v>13497</v>
      </c>
      <c r="M224" t="s">
        <v>12478</v>
      </c>
      <c r="N224" t="s">
        <v>12147</v>
      </c>
      <c r="O224" t="s">
        <v>12420</v>
      </c>
    </row>
    <row r="225" spans="1:17" ht="15.75">
      <c r="A225" t="s">
        <v>12380</v>
      </c>
      <c r="B225" t="s">
        <v>12380</v>
      </c>
      <c r="C225" t="s">
        <v>12400</v>
      </c>
      <c r="D225" t="s">
        <v>12146</v>
      </c>
      <c r="G225" t="str">
        <f>Config!$B$7</f>
        <v>SCH/Connector.SchLib</v>
      </c>
      <c r="H225" t="s">
        <v>6983</v>
      </c>
      <c r="I225" s="39"/>
      <c r="J225" s="39"/>
      <c r="L225" s="1" t="s">
        <v>13497</v>
      </c>
      <c r="M225" t="s">
        <v>12478</v>
      </c>
      <c r="N225" t="s">
        <v>12147</v>
      </c>
      <c r="O225" t="s">
        <v>12421</v>
      </c>
    </row>
    <row r="226" spans="1:17" ht="15.75">
      <c r="A226" t="s">
        <v>12381</v>
      </c>
      <c r="B226" t="s">
        <v>12381</v>
      </c>
      <c r="C226" t="s">
        <v>12401</v>
      </c>
      <c r="D226" t="s">
        <v>12146</v>
      </c>
      <c r="G226" t="str">
        <f>Config!$B$7</f>
        <v>SCH/Connector.SchLib</v>
      </c>
      <c r="H226" t="s">
        <v>6983</v>
      </c>
      <c r="I226" s="39"/>
      <c r="J226" s="39"/>
      <c r="L226" s="1" t="s">
        <v>13497</v>
      </c>
      <c r="M226" t="s">
        <v>12479</v>
      </c>
      <c r="N226" t="s">
        <v>12147</v>
      </c>
      <c r="O226" t="s">
        <v>12422</v>
      </c>
      <c r="P226" t="s">
        <v>8459</v>
      </c>
      <c r="Q226">
        <v>14021809</v>
      </c>
    </row>
    <row r="227" spans="1:17" ht="15.75">
      <c r="A227" t="s">
        <v>12382</v>
      </c>
      <c r="B227" t="s">
        <v>12382</v>
      </c>
      <c r="C227" t="s">
        <v>12401</v>
      </c>
      <c r="D227" t="s">
        <v>12146</v>
      </c>
      <c r="G227" t="str">
        <f>Config!$B$7</f>
        <v>SCH/Connector.SchLib</v>
      </c>
      <c r="H227" t="s">
        <v>6983</v>
      </c>
      <c r="I227" s="39"/>
      <c r="J227" s="39"/>
      <c r="L227" s="1" t="s">
        <v>13497</v>
      </c>
      <c r="M227" t="s">
        <v>12479</v>
      </c>
      <c r="N227" t="s">
        <v>12147</v>
      </c>
      <c r="O227" t="s">
        <v>12423</v>
      </c>
      <c r="P227" t="s">
        <v>8459</v>
      </c>
      <c r="Q227">
        <v>14021804</v>
      </c>
    </row>
    <row r="228" spans="1:17" ht="15.75">
      <c r="A228" t="s">
        <v>12383</v>
      </c>
      <c r="B228" t="s">
        <v>12383</v>
      </c>
      <c r="C228" t="s">
        <v>12401</v>
      </c>
      <c r="D228" t="s">
        <v>12146</v>
      </c>
      <c r="G228" t="str">
        <f>Config!$B$7</f>
        <v>SCH/Connector.SchLib</v>
      </c>
      <c r="H228" t="s">
        <v>6983</v>
      </c>
      <c r="I228" s="39"/>
      <c r="J228" s="39"/>
      <c r="L228" s="1" t="s">
        <v>13497</v>
      </c>
      <c r="M228" t="s">
        <v>12479</v>
      </c>
      <c r="N228" t="s">
        <v>12147</v>
      </c>
      <c r="O228" t="s">
        <v>12424</v>
      </c>
      <c r="P228" t="s">
        <v>8459</v>
      </c>
      <c r="Q228">
        <v>14021805</v>
      </c>
    </row>
    <row r="229" spans="1:17" ht="15.75">
      <c r="A229" t="s">
        <v>12384</v>
      </c>
      <c r="B229" t="s">
        <v>12384</v>
      </c>
      <c r="C229" t="s">
        <v>12401</v>
      </c>
      <c r="D229" t="s">
        <v>12146</v>
      </c>
      <c r="G229" t="str">
        <f>Config!$B$7</f>
        <v>SCH/Connector.SchLib</v>
      </c>
      <c r="H229" t="s">
        <v>6983</v>
      </c>
      <c r="I229" s="39"/>
      <c r="J229" s="39"/>
      <c r="L229" s="1" t="s">
        <v>13497</v>
      </c>
      <c r="M229" t="s">
        <v>12479</v>
      </c>
      <c r="N229" t="s">
        <v>12147</v>
      </c>
      <c r="O229" t="s">
        <v>12425</v>
      </c>
      <c r="P229" t="s">
        <v>8459</v>
      </c>
      <c r="Q229">
        <v>14021808</v>
      </c>
    </row>
    <row r="230" spans="1:17" ht="15.75">
      <c r="A230" t="s">
        <v>12385</v>
      </c>
      <c r="B230" t="s">
        <v>12385</v>
      </c>
      <c r="C230" t="s">
        <v>12401</v>
      </c>
      <c r="D230" t="s">
        <v>12146</v>
      </c>
      <c r="G230" t="str">
        <f>Config!$B$7</f>
        <v>SCH/Connector.SchLib</v>
      </c>
      <c r="H230" t="s">
        <v>6983</v>
      </c>
      <c r="I230" s="39"/>
      <c r="J230" s="39"/>
      <c r="L230" s="1" t="s">
        <v>13497</v>
      </c>
      <c r="M230" t="s">
        <v>12479</v>
      </c>
      <c r="N230" t="s">
        <v>12147</v>
      </c>
      <c r="O230" t="s">
        <v>12426</v>
      </c>
    </row>
    <row r="231" spans="1:17" ht="15.75">
      <c r="A231" t="s">
        <v>12386</v>
      </c>
      <c r="B231" t="s">
        <v>12386</v>
      </c>
      <c r="C231" t="s">
        <v>12401</v>
      </c>
      <c r="D231" t="s">
        <v>12146</v>
      </c>
      <c r="G231" t="str">
        <f>Config!$B$7</f>
        <v>SCH/Connector.SchLib</v>
      </c>
      <c r="H231" t="s">
        <v>6983</v>
      </c>
      <c r="I231" s="39"/>
      <c r="J231" s="39"/>
      <c r="L231" s="1" t="s">
        <v>13497</v>
      </c>
      <c r="M231" t="s">
        <v>12479</v>
      </c>
      <c r="N231" t="s">
        <v>12147</v>
      </c>
      <c r="O231" t="s">
        <v>12427</v>
      </c>
    </row>
    <row r="232" spans="1:17" ht="15.75">
      <c r="A232" t="s">
        <v>12387</v>
      </c>
      <c r="B232" t="s">
        <v>12387</v>
      </c>
      <c r="C232" t="s">
        <v>12401</v>
      </c>
      <c r="D232" t="s">
        <v>12146</v>
      </c>
      <c r="G232" t="str">
        <f>Config!$B$7</f>
        <v>SCH/Connector.SchLib</v>
      </c>
      <c r="H232" t="s">
        <v>6983</v>
      </c>
      <c r="I232" s="39"/>
      <c r="J232" s="39"/>
      <c r="L232" s="1" t="s">
        <v>13497</v>
      </c>
      <c r="M232" t="s">
        <v>12479</v>
      </c>
      <c r="N232" t="s">
        <v>12147</v>
      </c>
      <c r="O232" t="s">
        <v>12428</v>
      </c>
    </row>
    <row r="233" spans="1:17" ht="15.75">
      <c r="A233" t="s">
        <v>12388</v>
      </c>
      <c r="B233" t="s">
        <v>12388</v>
      </c>
      <c r="C233" t="s">
        <v>12401</v>
      </c>
      <c r="D233" t="s">
        <v>12146</v>
      </c>
      <c r="G233" t="str">
        <f>Config!$B$7</f>
        <v>SCH/Connector.SchLib</v>
      </c>
      <c r="H233" t="s">
        <v>6983</v>
      </c>
      <c r="I233" s="39"/>
      <c r="J233" s="39"/>
      <c r="L233" s="1" t="s">
        <v>13497</v>
      </c>
      <c r="M233" t="s">
        <v>12479</v>
      </c>
      <c r="N233" t="s">
        <v>12147</v>
      </c>
      <c r="O233" t="s">
        <v>12429</v>
      </c>
    </row>
    <row r="234" spans="1:17" ht="15.75">
      <c r="A234" t="s">
        <v>12389</v>
      </c>
      <c r="B234" t="s">
        <v>12389</v>
      </c>
      <c r="C234" t="s">
        <v>12401</v>
      </c>
      <c r="D234" t="s">
        <v>12146</v>
      </c>
      <c r="G234" t="str">
        <f>Config!$B$7</f>
        <v>SCH/Connector.SchLib</v>
      </c>
      <c r="H234" t="s">
        <v>6983</v>
      </c>
      <c r="I234" s="39"/>
      <c r="J234" s="39"/>
      <c r="L234" s="1" t="s">
        <v>13497</v>
      </c>
      <c r="M234" t="s">
        <v>12479</v>
      </c>
      <c r="N234" t="s">
        <v>12147</v>
      </c>
      <c r="O234" t="s">
        <v>12430</v>
      </c>
    </row>
    <row r="235" spans="1:17" ht="15.75">
      <c r="A235" t="s">
        <v>12390</v>
      </c>
      <c r="B235" t="s">
        <v>12390</v>
      </c>
      <c r="C235" t="s">
        <v>12401</v>
      </c>
      <c r="D235" t="s">
        <v>12146</v>
      </c>
      <c r="G235" t="str">
        <f>Config!$B$7</f>
        <v>SCH/Connector.SchLib</v>
      </c>
      <c r="H235" t="s">
        <v>6983</v>
      </c>
      <c r="I235" s="39"/>
      <c r="J235" s="39"/>
      <c r="L235" s="1" t="s">
        <v>13497</v>
      </c>
      <c r="M235" t="s">
        <v>12479</v>
      </c>
      <c r="N235" t="s">
        <v>12147</v>
      </c>
      <c r="O235" t="s">
        <v>12431</v>
      </c>
    </row>
    <row r="236" spans="1:17" ht="15.75">
      <c r="A236" t="s">
        <v>12455</v>
      </c>
      <c r="B236" t="s">
        <v>12455</v>
      </c>
      <c r="C236" t="s">
        <v>12476</v>
      </c>
      <c r="D236" t="s">
        <v>12146</v>
      </c>
      <c r="G236" t="str">
        <f>Config!$B$7</f>
        <v>SCH/Connector.SchLib</v>
      </c>
      <c r="H236" t="s">
        <v>6983</v>
      </c>
      <c r="I236" s="39"/>
      <c r="J236" s="39"/>
      <c r="L236" s="1" t="s">
        <v>13497</v>
      </c>
      <c r="M236" t="s">
        <v>12432</v>
      </c>
      <c r="N236" t="s">
        <v>12147</v>
      </c>
      <c r="O236" t="s">
        <v>12433</v>
      </c>
    </row>
    <row r="237" spans="1:17" ht="15.75">
      <c r="A237" t="s">
        <v>12456</v>
      </c>
      <c r="B237" t="s">
        <v>12456</v>
      </c>
      <c r="C237" t="s">
        <v>12476</v>
      </c>
      <c r="D237" t="s">
        <v>12146</v>
      </c>
      <c r="G237" t="str">
        <f>Config!$B$7</f>
        <v>SCH/Connector.SchLib</v>
      </c>
      <c r="H237" t="s">
        <v>6983</v>
      </c>
      <c r="I237" s="39"/>
      <c r="J237" s="39"/>
      <c r="L237" s="1" t="s">
        <v>13497</v>
      </c>
      <c r="M237" t="s">
        <v>12432</v>
      </c>
      <c r="N237" t="s">
        <v>12147</v>
      </c>
      <c r="O237" t="s">
        <v>12434</v>
      </c>
      <c r="P237" t="s">
        <v>8459</v>
      </c>
      <c r="Q237">
        <v>30136393</v>
      </c>
    </row>
    <row r="238" spans="1:17" ht="15.75">
      <c r="A238" t="s">
        <v>12457</v>
      </c>
      <c r="B238" t="s">
        <v>12457</v>
      </c>
      <c r="C238" t="s">
        <v>12476</v>
      </c>
      <c r="D238" t="s">
        <v>12146</v>
      </c>
      <c r="G238" t="str">
        <f>Config!$B$7</f>
        <v>SCH/Connector.SchLib</v>
      </c>
      <c r="H238" t="s">
        <v>6983</v>
      </c>
      <c r="I238" s="39"/>
      <c r="J238" s="39"/>
      <c r="L238" s="1" t="s">
        <v>13497</v>
      </c>
      <c r="M238" t="s">
        <v>12432</v>
      </c>
      <c r="N238" t="s">
        <v>12147</v>
      </c>
      <c r="O238" t="s">
        <v>12435</v>
      </c>
      <c r="P238" t="s">
        <v>8459</v>
      </c>
      <c r="Q238">
        <v>30136394</v>
      </c>
    </row>
    <row r="239" spans="1:17" ht="15.75">
      <c r="A239" t="s">
        <v>12458</v>
      </c>
      <c r="B239" t="s">
        <v>12458</v>
      </c>
      <c r="C239" t="s">
        <v>12476</v>
      </c>
      <c r="D239" t="s">
        <v>12146</v>
      </c>
      <c r="G239" t="str">
        <f>Config!$B$7</f>
        <v>SCH/Connector.SchLib</v>
      </c>
      <c r="H239" t="s">
        <v>6983</v>
      </c>
      <c r="I239" s="39"/>
      <c r="J239" s="39"/>
      <c r="L239" s="1" t="s">
        <v>13497</v>
      </c>
      <c r="M239" t="s">
        <v>12432</v>
      </c>
      <c r="N239" t="s">
        <v>12147</v>
      </c>
      <c r="O239" t="s">
        <v>12436</v>
      </c>
      <c r="P239" t="s">
        <v>8459</v>
      </c>
      <c r="Q239">
        <v>30136395</v>
      </c>
    </row>
    <row r="240" spans="1:17" ht="15.75">
      <c r="A240" t="s">
        <v>12459</v>
      </c>
      <c r="B240" t="s">
        <v>12459</v>
      </c>
      <c r="C240" t="s">
        <v>12476</v>
      </c>
      <c r="D240" t="s">
        <v>12146</v>
      </c>
      <c r="G240" t="str">
        <f>Config!$B$7</f>
        <v>SCH/Connector.SchLib</v>
      </c>
      <c r="H240" t="s">
        <v>6983</v>
      </c>
      <c r="I240" s="39"/>
      <c r="J240" s="39"/>
      <c r="L240" s="1" t="s">
        <v>13497</v>
      </c>
      <c r="M240" t="s">
        <v>12432</v>
      </c>
      <c r="N240" t="s">
        <v>12147</v>
      </c>
      <c r="O240" t="s">
        <v>12437</v>
      </c>
      <c r="P240" t="s">
        <v>8459</v>
      </c>
      <c r="Q240">
        <v>30136396</v>
      </c>
    </row>
    <row r="241" spans="1:17" ht="15.75">
      <c r="A241" t="s">
        <v>12460</v>
      </c>
      <c r="B241" t="s">
        <v>12460</v>
      </c>
      <c r="C241" t="s">
        <v>12476</v>
      </c>
      <c r="D241" t="s">
        <v>12146</v>
      </c>
      <c r="G241" t="str">
        <f>Config!$B$7</f>
        <v>SCH/Connector.SchLib</v>
      </c>
      <c r="H241" t="s">
        <v>6983</v>
      </c>
      <c r="I241" s="39"/>
      <c r="J241" s="39"/>
      <c r="L241" s="1" t="s">
        <v>13497</v>
      </c>
      <c r="M241" t="s">
        <v>12432</v>
      </c>
      <c r="N241" t="s">
        <v>12147</v>
      </c>
      <c r="O241" t="s">
        <v>12438</v>
      </c>
    </row>
    <row r="242" spans="1:17" ht="15.75">
      <c r="A242" t="s">
        <v>12461</v>
      </c>
      <c r="B242" t="s">
        <v>12461</v>
      </c>
      <c r="C242" t="s">
        <v>12476</v>
      </c>
      <c r="D242" t="s">
        <v>12146</v>
      </c>
      <c r="G242" t="str">
        <f>Config!$B$7</f>
        <v>SCH/Connector.SchLib</v>
      </c>
      <c r="H242" t="s">
        <v>6983</v>
      </c>
      <c r="I242" s="39"/>
      <c r="J242" s="39"/>
      <c r="L242" s="1" t="s">
        <v>13497</v>
      </c>
      <c r="M242" t="s">
        <v>12432</v>
      </c>
      <c r="N242" t="s">
        <v>12147</v>
      </c>
      <c r="O242" t="s">
        <v>12439</v>
      </c>
    </row>
    <row r="243" spans="1:17" ht="15.75">
      <c r="A243" t="s">
        <v>12462</v>
      </c>
      <c r="B243" t="s">
        <v>12462</v>
      </c>
      <c r="C243" t="s">
        <v>12476</v>
      </c>
      <c r="D243" t="s">
        <v>12146</v>
      </c>
      <c r="G243" t="str">
        <f>Config!$B$7</f>
        <v>SCH/Connector.SchLib</v>
      </c>
      <c r="H243" t="s">
        <v>6983</v>
      </c>
      <c r="I243" s="39"/>
      <c r="J243" s="39"/>
      <c r="L243" s="1" t="s">
        <v>13497</v>
      </c>
      <c r="M243" t="s">
        <v>12432</v>
      </c>
      <c r="N243" t="s">
        <v>12147</v>
      </c>
      <c r="O243" t="s">
        <v>12440</v>
      </c>
      <c r="P243" t="s">
        <v>8459</v>
      </c>
      <c r="Q243">
        <v>30136399</v>
      </c>
    </row>
    <row r="244" spans="1:17" ht="15.75">
      <c r="A244" t="s">
        <v>12463</v>
      </c>
      <c r="B244" t="s">
        <v>12463</v>
      </c>
      <c r="C244" t="s">
        <v>12476</v>
      </c>
      <c r="D244" t="s">
        <v>12146</v>
      </c>
      <c r="G244" t="str">
        <f>Config!$B$7</f>
        <v>SCH/Connector.SchLib</v>
      </c>
      <c r="H244" t="s">
        <v>6983</v>
      </c>
      <c r="I244" s="39"/>
      <c r="J244" s="39"/>
      <c r="L244" s="1" t="s">
        <v>13497</v>
      </c>
      <c r="M244" t="s">
        <v>12432</v>
      </c>
      <c r="N244" t="s">
        <v>12147</v>
      </c>
      <c r="O244" t="s">
        <v>12441</v>
      </c>
      <c r="P244" t="s">
        <v>8459</v>
      </c>
      <c r="Q244">
        <v>30136400</v>
      </c>
    </row>
    <row r="245" spans="1:17" ht="15.75">
      <c r="A245" t="s">
        <v>12464</v>
      </c>
      <c r="B245" t="s">
        <v>12464</v>
      </c>
      <c r="C245" t="s">
        <v>12476</v>
      </c>
      <c r="D245" t="s">
        <v>12146</v>
      </c>
      <c r="G245" t="str">
        <f>Config!$B$7</f>
        <v>SCH/Connector.SchLib</v>
      </c>
      <c r="H245" t="s">
        <v>6983</v>
      </c>
      <c r="I245" s="39"/>
      <c r="J245" s="39"/>
      <c r="L245" s="1" t="s">
        <v>13497</v>
      </c>
      <c r="M245" t="s">
        <v>12432</v>
      </c>
      <c r="N245" t="s">
        <v>12147</v>
      </c>
      <c r="O245" t="s">
        <v>12442</v>
      </c>
    </row>
    <row r="246" spans="1:17" ht="15.75">
      <c r="A246" t="s">
        <v>12465</v>
      </c>
      <c r="B246" t="s">
        <v>12465</v>
      </c>
      <c r="C246" t="s">
        <v>12466</v>
      </c>
      <c r="D246" t="s">
        <v>12146</v>
      </c>
      <c r="G246" t="str">
        <f>Config!$B$7</f>
        <v>SCH/Connector.SchLib</v>
      </c>
      <c r="H246" t="s">
        <v>6983</v>
      </c>
      <c r="I246" s="39"/>
      <c r="J246" s="39"/>
      <c r="L246" s="1" t="s">
        <v>13497</v>
      </c>
      <c r="M246" t="s">
        <v>12454</v>
      </c>
      <c r="N246" t="s">
        <v>12147</v>
      </c>
      <c r="O246" t="s">
        <v>12443</v>
      </c>
    </row>
    <row r="247" spans="1:17" ht="15.75">
      <c r="A247" t="s">
        <v>12467</v>
      </c>
      <c r="B247" t="s">
        <v>12467</v>
      </c>
      <c r="C247" t="s">
        <v>12466</v>
      </c>
      <c r="D247" t="s">
        <v>12146</v>
      </c>
      <c r="G247" t="str">
        <f>Config!$B$7</f>
        <v>SCH/Connector.SchLib</v>
      </c>
      <c r="H247" t="s">
        <v>6983</v>
      </c>
      <c r="I247" s="39"/>
      <c r="J247" s="39"/>
      <c r="L247" s="1" t="s">
        <v>13497</v>
      </c>
      <c r="M247" t="s">
        <v>12454</v>
      </c>
      <c r="N247" t="s">
        <v>12147</v>
      </c>
      <c r="O247" t="s">
        <v>12444</v>
      </c>
      <c r="P247" t="s">
        <v>8459</v>
      </c>
      <c r="Q247">
        <v>30136403</v>
      </c>
    </row>
    <row r="248" spans="1:17" ht="15.75">
      <c r="A248" t="s">
        <v>12468</v>
      </c>
      <c r="B248" t="s">
        <v>12468</v>
      </c>
      <c r="C248" t="s">
        <v>12466</v>
      </c>
      <c r="D248" t="s">
        <v>12146</v>
      </c>
      <c r="G248" t="str">
        <f>Config!$B$7</f>
        <v>SCH/Connector.SchLib</v>
      </c>
      <c r="H248" t="s">
        <v>6983</v>
      </c>
      <c r="I248" s="39"/>
      <c r="J248" s="39"/>
      <c r="L248" s="1" t="s">
        <v>13497</v>
      </c>
      <c r="M248" t="s">
        <v>12454</v>
      </c>
      <c r="N248" t="s">
        <v>12147</v>
      </c>
      <c r="O248" t="s">
        <v>12445</v>
      </c>
      <c r="P248" t="s">
        <v>8459</v>
      </c>
      <c r="Q248">
        <v>30136404</v>
      </c>
    </row>
    <row r="249" spans="1:17" ht="15.75">
      <c r="A249" t="s">
        <v>12469</v>
      </c>
      <c r="B249" t="s">
        <v>12469</v>
      </c>
      <c r="C249" t="s">
        <v>12466</v>
      </c>
      <c r="D249" t="s">
        <v>12146</v>
      </c>
      <c r="G249" t="str">
        <f>Config!$B$7</f>
        <v>SCH/Connector.SchLib</v>
      </c>
      <c r="H249" t="s">
        <v>6983</v>
      </c>
      <c r="I249" s="39"/>
      <c r="J249" s="39"/>
      <c r="L249" s="1" t="s">
        <v>13497</v>
      </c>
      <c r="M249" t="s">
        <v>12454</v>
      </c>
      <c r="N249" t="s">
        <v>12147</v>
      </c>
      <c r="O249" t="s">
        <v>12446</v>
      </c>
      <c r="P249" t="s">
        <v>8459</v>
      </c>
      <c r="Q249">
        <v>30136405</v>
      </c>
    </row>
    <row r="250" spans="1:17" ht="15.75">
      <c r="A250" t="s">
        <v>12470</v>
      </c>
      <c r="B250" t="s">
        <v>12470</v>
      </c>
      <c r="C250" t="s">
        <v>12466</v>
      </c>
      <c r="D250" t="s">
        <v>12146</v>
      </c>
      <c r="G250" t="str">
        <f>Config!$B$7</f>
        <v>SCH/Connector.SchLib</v>
      </c>
      <c r="H250" t="s">
        <v>6983</v>
      </c>
      <c r="I250" s="39"/>
      <c r="J250" s="39"/>
      <c r="L250" s="1" t="s">
        <v>13497</v>
      </c>
      <c r="M250" t="s">
        <v>12454</v>
      </c>
      <c r="N250" t="s">
        <v>12147</v>
      </c>
      <c r="O250" t="s">
        <v>12447</v>
      </c>
    </row>
    <row r="251" spans="1:17" ht="15.75">
      <c r="A251" t="s">
        <v>12471</v>
      </c>
      <c r="B251" t="s">
        <v>12471</v>
      </c>
      <c r="C251" t="s">
        <v>12466</v>
      </c>
      <c r="D251" t="s">
        <v>12146</v>
      </c>
      <c r="G251" t="str">
        <f>Config!$B$7</f>
        <v>SCH/Connector.SchLib</v>
      </c>
      <c r="H251" t="s">
        <v>6983</v>
      </c>
      <c r="I251" s="39"/>
      <c r="J251" s="39"/>
      <c r="L251" s="1" t="s">
        <v>13497</v>
      </c>
      <c r="M251" t="s">
        <v>12454</v>
      </c>
      <c r="N251" t="s">
        <v>12147</v>
      </c>
      <c r="O251" t="s">
        <v>12448</v>
      </c>
    </row>
    <row r="252" spans="1:17" ht="15.75">
      <c r="A252" t="s">
        <v>12472</v>
      </c>
      <c r="B252" t="s">
        <v>12472</v>
      </c>
      <c r="C252" t="s">
        <v>12466</v>
      </c>
      <c r="D252" t="s">
        <v>12146</v>
      </c>
      <c r="G252" t="str">
        <f>Config!$B$7</f>
        <v>SCH/Connector.SchLib</v>
      </c>
      <c r="H252" t="s">
        <v>6983</v>
      </c>
      <c r="I252" s="39"/>
      <c r="J252" s="39"/>
      <c r="L252" s="1" t="s">
        <v>13497</v>
      </c>
      <c r="M252" t="s">
        <v>12454</v>
      </c>
      <c r="N252" t="s">
        <v>12147</v>
      </c>
      <c r="O252" t="s">
        <v>12449</v>
      </c>
    </row>
    <row r="253" spans="1:17" ht="15.75">
      <c r="A253" t="s">
        <v>12473</v>
      </c>
      <c r="B253" t="s">
        <v>12473</v>
      </c>
      <c r="C253" t="s">
        <v>12466</v>
      </c>
      <c r="D253" t="s">
        <v>12146</v>
      </c>
      <c r="G253" t="str">
        <f>Config!$B$7</f>
        <v>SCH/Connector.SchLib</v>
      </c>
      <c r="H253" t="s">
        <v>6983</v>
      </c>
      <c r="I253" s="39"/>
      <c r="J253" s="39"/>
      <c r="L253" s="1" t="s">
        <v>13497</v>
      </c>
      <c r="M253" t="s">
        <v>12454</v>
      </c>
      <c r="N253" t="s">
        <v>12147</v>
      </c>
      <c r="O253" t="s">
        <v>12450</v>
      </c>
      <c r="P253" t="s">
        <v>8459</v>
      </c>
      <c r="Q253">
        <v>30136409</v>
      </c>
    </row>
    <row r="254" spans="1:17" ht="15.75">
      <c r="A254" t="s">
        <v>12474</v>
      </c>
      <c r="B254" t="s">
        <v>12474</v>
      </c>
      <c r="C254" t="s">
        <v>12466</v>
      </c>
      <c r="D254" t="s">
        <v>12146</v>
      </c>
      <c r="G254" t="str">
        <f>Config!$B$7</f>
        <v>SCH/Connector.SchLib</v>
      </c>
      <c r="H254" t="s">
        <v>6983</v>
      </c>
      <c r="I254" s="39"/>
      <c r="J254" s="39"/>
      <c r="L254" s="1" t="s">
        <v>13497</v>
      </c>
      <c r="M254" t="s">
        <v>12454</v>
      </c>
      <c r="N254" t="s">
        <v>12147</v>
      </c>
      <c r="O254" t="s">
        <v>12451</v>
      </c>
      <c r="P254" t="s">
        <v>8459</v>
      </c>
      <c r="Q254">
        <v>30136410</v>
      </c>
    </row>
    <row r="255" spans="1:17" ht="15.75">
      <c r="A255" t="s">
        <v>12475</v>
      </c>
      <c r="B255" t="s">
        <v>12475</v>
      </c>
      <c r="C255" t="s">
        <v>12466</v>
      </c>
      <c r="D255" t="s">
        <v>12146</v>
      </c>
      <c r="G255" t="str">
        <f>Config!$B$7</f>
        <v>SCH/Connector.SchLib</v>
      </c>
      <c r="H255" t="s">
        <v>6983</v>
      </c>
      <c r="I255" s="39"/>
      <c r="J255" s="39"/>
      <c r="L255" s="1" t="s">
        <v>13497</v>
      </c>
      <c r="M255" t="s">
        <v>12454</v>
      </c>
      <c r="N255" t="s">
        <v>12147</v>
      </c>
      <c r="O255" t="s">
        <v>12453</v>
      </c>
    </row>
    <row r="256" spans="1:17" ht="15.75">
      <c r="A256" t="s">
        <v>14038</v>
      </c>
      <c r="B256" t="s">
        <v>14038</v>
      </c>
      <c r="C256" t="s">
        <v>14039</v>
      </c>
      <c r="D256" t="s">
        <v>21</v>
      </c>
      <c r="G256" t="str">
        <f>Config!$B$7</f>
        <v>SCH/Connector.SchLib</v>
      </c>
      <c r="H256" t="s">
        <v>6983</v>
      </c>
      <c r="I256" t="s">
        <v>6232</v>
      </c>
      <c r="J256" t="s">
        <v>14038</v>
      </c>
      <c r="L256" s="1" t="s">
        <v>13497</v>
      </c>
    </row>
    <row r="257" spans="1:25" ht="15.75">
      <c r="A257" t="s">
        <v>14036</v>
      </c>
      <c r="B257" t="s">
        <v>14036</v>
      </c>
      <c r="C257" t="s">
        <v>14037</v>
      </c>
      <c r="D257" t="s">
        <v>21</v>
      </c>
      <c r="G257" t="str">
        <f>Config!$B$7</f>
        <v>SCH/Connector.SchLib</v>
      </c>
      <c r="H257" t="s">
        <v>6983</v>
      </c>
      <c r="I257" t="s">
        <v>6232</v>
      </c>
      <c r="J257" t="s">
        <v>14036</v>
      </c>
      <c r="L257" s="1" t="s">
        <v>13497</v>
      </c>
    </row>
    <row r="258" spans="1:25" ht="15.75">
      <c r="A258" t="s">
        <v>14034</v>
      </c>
      <c r="B258" t="s">
        <v>14034</v>
      </c>
      <c r="C258" t="s">
        <v>14035</v>
      </c>
      <c r="D258" t="s">
        <v>21</v>
      </c>
      <c r="G258" t="str">
        <f>Config!$B$7</f>
        <v>SCH/Connector.SchLib</v>
      </c>
      <c r="H258" t="s">
        <v>6983</v>
      </c>
      <c r="I258" t="s">
        <v>6232</v>
      </c>
      <c r="J258" t="s">
        <v>14034</v>
      </c>
      <c r="L258" s="1" t="s">
        <v>13497</v>
      </c>
    </row>
    <row r="259" spans="1:25" ht="15.75">
      <c r="A259" t="s">
        <v>14030</v>
      </c>
      <c r="B259" t="s">
        <v>14030</v>
      </c>
      <c r="C259" t="s">
        <v>14032</v>
      </c>
      <c r="D259" t="s">
        <v>21</v>
      </c>
      <c r="G259" t="str">
        <f>Config!$B$7</f>
        <v>SCH/Connector.SchLib</v>
      </c>
      <c r="H259" t="s">
        <v>6983</v>
      </c>
      <c r="I259" t="s">
        <v>6232</v>
      </c>
      <c r="J259" t="s">
        <v>14030</v>
      </c>
      <c r="L259" s="1" t="s">
        <v>13497</v>
      </c>
    </row>
    <row r="260" spans="1:25" ht="15.75">
      <c r="A260" t="s">
        <v>14031</v>
      </c>
      <c r="B260" t="s">
        <v>14031</v>
      </c>
      <c r="C260" t="s">
        <v>14033</v>
      </c>
      <c r="D260" t="s">
        <v>21</v>
      </c>
      <c r="G260" t="str">
        <f>Config!$B$7</f>
        <v>SCH/Connector.SchLib</v>
      </c>
      <c r="H260" t="s">
        <v>6983</v>
      </c>
      <c r="I260" t="s">
        <v>6232</v>
      </c>
      <c r="J260" t="s">
        <v>14031</v>
      </c>
      <c r="L260" s="1" t="s">
        <v>13497</v>
      </c>
    </row>
    <row r="261" spans="1:25" ht="15.75">
      <c r="A261" t="s">
        <v>12715</v>
      </c>
      <c r="B261" t="s">
        <v>12715</v>
      </c>
      <c r="C261" t="s">
        <v>12720</v>
      </c>
      <c r="D261" t="s">
        <v>21</v>
      </c>
      <c r="G261" t="str">
        <f>Config!$B$7</f>
        <v>SCH/Connector.SchLib</v>
      </c>
      <c r="H261" t="s">
        <v>6983</v>
      </c>
      <c r="I261" t="s">
        <v>6232</v>
      </c>
      <c r="J261" t="s">
        <v>12715</v>
      </c>
      <c r="L261" s="1" t="s">
        <v>13497</v>
      </c>
    </row>
    <row r="262" spans="1:25" ht="15.75">
      <c r="A262" t="s">
        <v>13384</v>
      </c>
      <c r="B262" t="s">
        <v>13384</v>
      </c>
      <c r="C262" t="s">
        <v>13385</v>
      </c>
      <c r="D262" t="s">
        <v>21</v>
      </c>
      <c r="G262" t="str">
        <f>Config!$B$7</f>
        <v>SCH/Connector.SchLib</v>
      </c>
      <c r="H262" t="s">
        <v>6983</v>
      </c>
      <c r="I262" t="s">
        <v>6232</v>
      </c>
      <c r="J262" t="s">
        <v>13384</v>
      </c>
      <c r="L262" s="1" t="s">
        <v>13497</v>
      </c>
    </row>
    <row r="263" spans="1:25" ht="15.75">
      <c r="A263" t="s">
        <v>12716</v>
      </c>
      <c r="B263" t="s">
        <v>12716</v>
      </c>
      <c r="C263" t="s">
        <v>12721</v>
      </c>
      <c r="D263" t="s">
        <v>21</v>
      </c>
      <c r="G263" t="str">
        <f>Config!$B$7</f>
        <v>SCH/Connector.SchLib</v>
      </c>
      <c r="H263" t="s">
        <v>6983</v>
      </c>
      <c r="I263" t="s">
        <v>6232</v>
      </c>
      <c r="J263" t="s">
        <v>12716</v>
      </c>
      <c r="L263" s="1" t="s">
        <v>13497</v>
      </c>
    </row>
    <row r="264" spans="1:25" ht="15.75">
      <c r="A264" t="s">
        <v>12727</v>
      </c>
      <c r="B264" t="s">
        <v>12727</v>
      </c>
      <c r="C264" t="s">
        <v>12728</v>
      </c>
      <c r="D264" t="s">
        <v>21</v>
      </c>
      <c r="G264" t="str">
        <f>Config!$B$7</f>
        <v>SCH/Connector.SchLib</v>
      </c>
      <c r="H264" t="s">
        <v>6983</v>
      </c>
      <c r="I264" t="s">
        <v>6232</v>
      </c>
      <c r="J264" t="s">
        <v>12727</v>
      </c>
      <c r="L264" s="1" t="s">
        <v>13497</v>
      </c>
    </row>
    <row r="265" spans="1:25" ht="15.75">
      <c r="A265" t="s">
        <v>12717</v>
      </c>
      <c r="B265" t="s">
        <v>12717</v>
      </c>
      <c r="C265" t="s">
        <v>12722</v>
      </c>
      <c r="D265" t="s">
        <v>21</v>
      </c>
      <c r="G265" t="str">
        <f>Config!$B$7</f>
        <v>SCH/Connector.SchLib</v>
      </c>
      <c r="H265" t="s">
        <v>6983</v>
      </c>
      <c r="I265" t="s">
        <v>6232</v>
      </c>
      <c r="J265" t="s">
        <v>12717</v>
      </c>
      <c r="L265" s="1" t="s">
        <v>13497</v>
      </c>
    </row>
    <row r="266" spans="1:25" ht="15.75">
      <c r="A266" t="s">
        <v>12725</v>
      </c>
      <c r="B266" t="s">
        <v>12725</v>
      </c>
      <c r="C266" t="s">
        <v>12726</v>
      </c>
      <c r="D266" t="s">
        <v>21</v>
      </c>
      <c r="G266" t="str">
        <f>Config!$B$7</f>
        <v>SCH/Connector.SchLib</v>
      </c>
      <c r="H266" t="s">
        <v>6983</v>
      </c>
      <c r="I266" t="s">
        <v>6232</v>
      </c>
      <c r="J266" t="s">
        <v>12725</v>
      </c>
      <c r="L266" s="1" t="s">
        <v>13497</v>
      </c>
    </row>
    <row r="267" spans="1:25" ht="15.75">
      <c r="A267" t="s">
        <v>12718</v>
      </c>
      <c r="B267" t="s">
        <v>12718</v>
      </c>
      <c r="C267" t="s">
        <v>12723</v>
      </c>
      <c r="D267" t="s">
        <v>21</v>
      </c>
      <c r="G267" t="str">
        <f>Config!$B$7</f>
        <v>SCH/Connector.SchLib</v>
      </c>
      <c r="H267" t="s">
        <v>6983</v>
      </c>
      <c r="I267" t="s">
        <v>6232</v>
      </c>
      <c r="J267" t="s">
        <v>12718</v>
      </c>
      <c r="L267" s="1" t="s">
        <v>13497</v>
      </c>
    </row>
    <row r="268" spans="1:25" ht="15.75">
      <c r="A268" t="s">
        <v>12719</v>
      </c>
      <c r="B268" t="s">
        <v>12719</v>
      </c>
      <c r="C268" t="s">
        <v>12724</v>
      </c>
      <c r="D268" t="s">
        <v>21</v>
      </c>
      <c r="G268" t="str">
        <f>Config!$B$7</f>
        <v>SCH/Connector.SchLib</v>
      </c>
      <c r="H268" t="s">
        <v>6983</v>
      </c>
      <c r="I268" t="s">
        <v>6232</v>
      </c>
      <c r="J268" t="s">
        <v>12719</v>
      </c>
      <c r="L268" s="1" t="s">
        <v>13497</v>
      </c>
    </row>
    <row r="269" spans="1:25" ht="15.75">
      <c r="A269" t="s">
        <v>13070</v>
      </c>
      <c r="B269">
        <v>5600200320</v>
      </c>
      <c r="C269" t="s">
        <v>13071</v>
      </c>
      <c r="D269" t="s">
        <v>6637</v>
      </c>
      <c r="G269" t="str">
        <f>Config!$B$7</f>
        <v>SCH/Connector.SchLib</v>
      </c>
      <c r="H269" t="s">
        <v>7852</v>
      </c>
      <c r="I269" t="str">
        <f>_xlfn.CONCAT(PrivateLibraryPath,"PCB/Molex.PcbLib")</f>
        <v>../altium_lib_private/PCB/Molex.PcbLib</v>
      </c>
      <c r="J269">
        <v>5600200320</v>
      </c>
      <c r="L269" s="1" t="s">
        <v>13497</v>
      </c>
      <c r="M269" t="s">
        <v>13072</v>
      </c>
      <c r="N269" t="s">
        <v>6637</v>
      </c>
      <c r="O269" s="14" t="s">
        <v>13073</v>
      </c>
      <c r="P269" t="s">
        <v>25</v>
      </c>
      <c r="Q269" t="s">
        <v>13074</v>
      </c>
      <c r="V269" t="s">
        <v>6637</v>
      </c>
      <c r="W269" s="14" t="s">
        <v>13073</v>
      </c>
      <c r="X269" t="s">
        <v>4559</v>
      </c>
      <c r="Y269" t="s">
        <v>13075</v>
      </c>
    </row>
    <row r="270" spans="1:25" ht="15.75">
      <c r="A270" t="s">
        <v>13076</v>
      </c>
      <c r="B270">
        <v>5023520300</v>
      </c>
      <c r="C270" t="s">
        <v>13077</v>
      </c>
      <c r="D270" t="s">
        <v>6637</v>
      </c>
      <c r="G270" t="str">
        <f>Config!$B$7</f>
        <v>SCH/Connector.SchLib</v>
      </c>
      <c r="H270" t="s">
        <v>7852</v>
      </c>
      <c r="I270" t="str">
        <f>_xlfn.CONCAT(PrivateLibraryPath,"PCB/Molex.PcbLib")</f>
        <v>../altium_lib_private/PCB/Molex.PcbLib</v>
      </c>
      <c r="J270">
        <v>5023520300</v>
      </c>
      <c r="L270" s="1" t="s">
        <v>13497</v>
      </c>
      <c r="M270" t="s">
        <v>13078</v>
      </c>
      <c r="N270" t="s">
        <v>6637</v>
      </c>
      <c r="O270">
        <v>5023520300</v>
      </c>
      <c r="P270" t="s">
        <v>25</v>
      </c>
      <c r="Q270" t="s">
        <v>13079</v>
      </c>
      <c r="V270" t="s">
        <v>6637</v>
      </c>
      <c r="W270">
        <v>5023520300</v>
      </c>
      <c r="X270" t="s">
        <v>4559</v>
      </c>
      <c r="Y270" t="s">
        <v>13080</v>
      </c>
    </row>
    <row r="271" spans="1:25" ht="15.75">
      <c r="A271" t="s">
        <v>13081</v>
      </c>
      <c r="B271">
        <v>5023520200</v>
      </c>
      <c r="C271" t="s">
        <v>13082</v>
      </c>
      <c r="D271" t="s">
        <v>6637</v>
      </c>
      <c r="G271" t="str">
        <f>Config!$B$7</f>
        <v>SCH/Connector.SchLib</v>
      </c>
      <c r="H271" t="s">
        <v>7005</v>
      </c>
      <c r="I271" t="str">
        <f>_xlfn.CONCAT(PrivateLibraryPath,"PCB/Molex.PcbLib")</f>
        <v>../altium_lib_private/PCB/Molex.PcbLib</v>
      </c>
      <c r="J271">
        <v>5023520200</v>
      </c>
      <c r="L271" s="1" t="s">
        <v>13497</v>
      </c>
      <c r="M271" s="28" t="s">
        <v>13084</v>
      </c>
      <c r="N271" t="s">
        <v>6637</v>
      </c>
      <c r="O271">
        <v>5023520200</v>
      </c>
      <c r="P271" t="s">
        <v>25</v>
      </c>
      <c r="Q271" t="s">
        <v>13083</v>
      </c>
      <c r="V271" t="s">
        <v>6637</v>
      </c>
      <c r="W271">
        <v>5023520200</v>
      </c>
      <c r="X271" t="s">
        <v>4559</v>
      </c>
      <c r="Y271" t="s">
        <v>13085</v>
      </c>
    </row>
    <row r="272" spans="1:25" ht="15.75">
      <c r="A272" t="s">
        <v>13305</v>
      </c>
      <c r="B272" t="s">
        <v>13306</v>
      </c>
      <c r="C272" t="s">
        <v>13307</v>
      </c>
      <c r="D272" t="s">
        <v>13045</v>
      </c>
      <c r="G272" t="str">
        <f>Config!$B$7</f>
        <v>SCH/Connector.SchLib</v>
      </c>
      <c r="H272" t="s">
        <v>13308</v>
      </c>
      <c r="I272" t="s">
        <v>7983</v>
      </c>
      <c r="J272" t="s">
        <v>13329</v>
      </c>
      <c r="L272" s="1" t="s">
        <v>13497</v>
      </c>
      <c r="M272" t="s">
        <v>13309</v>
      </c>
      <c r="N272" t="s">
        <v>13045</v>
      </c>
      <c r="O272" t="s">
        <v>13311</v>
      </c>
      <c r="P272" t="s">
        <v>25</v>
      </c>
      <c r="Q272" t="s">
        <v>13310</v>
      </c>
      <c r="V272" t="s">
        <v>13314</v>
      </c>
      <c r="W272" t="s">
        <v>13312</v>
      </c>
      <c r="X272" t="s">
        <v>4559</v>
      </c>
      <c r="Y272" t="s">
        <v>13313</v>
      </c>
    </row>
    <row r="273" spans="1:26" ht="15.75">
      <c r="A273" t="s">
        <v>14343</v>
      </c>
      <c r="B273" t="s">
        <v>14343</v>
      </c>
      <c r="C273" t="s">
        <v>14344</v>
      </c>
      <c r="D273" t="s">
        <v>6648</v>
      </c>
      <c r="G273" t="str">
        <f>Config!$B$7</f>
        <v>SCH/Connector.SchLib</v>
      </c>
      <c r="H273" t="s">
        <v>14341</v>
      </c>
      <c r="I273" t="s">
        <v>12318</v>
      </c>
      <c r="J273" t="s">
        <v>14340</v>
      </c>
      <c r="L273" s="1" t="s">
        <v>13497</v>
      </c>
      <c r="M273" t="s">
        <v>14342</v>
      </c>
      <c r="N273" t="s">
        <v>14345</v>
      </c>
      <c r="O273" t="s">
        <v>14346</v>
      </c>
      <c r="P273" t="s">
        <v>25</v>
      </c>
      <c r="Q273" t="s">
        <v>14347</v>
      </c>
      <c r="V273" t="s">
        <v>14348</v>
      </c>
      <c r="W273" t="s">
        <v>14346</v>
      </c>
      <c r="X273" t="s">
        <v>4559</v>
      </c>
      <c r="Y273" t="s">
        <v>14349</v>
      </c>
      <c r="Z273" t="s">
        <v>4727</v>
      </c>
    </row>
    <row r="274" spans="1:26" ht="15.75">
      <c r="A274" t="s">
        <v>14350</v>
      </c>
      <c r="B274" t="s">
        <v>14350</v>
      </c>
      <c r="C274" t="s">
        <v>14351</v>
      </c>
      <c r="D274" t="s">
        <v>14352</v>
      </c>
      <c r="G274" t="s">
        <v>4430</v>
      </c>
      <c r="H274" t="s">
        <v>14341</v>
      </c>
      <c r="I274" s="39"/>
      <c r="J274" s="39"/>
      <c r="L274" s="1" t="s">
        <v>13497</v>
      </c>
      <c r="M274" t="s">
        <v>14353</v>
      </c>
      <c r="N274" t="s">
        <v>12253</v>
      </c>
      <c r="O274" t="s">
        <v>14354</v>
      </c>
      <c r="P274" t="s">
        <v>25</v>
      </c>
      <c r="Q274" t="s">
        <v>14355</v>
      </c>
      <c r="V274" t="s">
        <v>14356</v>
      </c>
      <c r="W274" t="s">
        <v>14354</v>
      </c>
      <c r="X274" t="s">
        <v>4559</v>
      </c>
      <c r="Y274" t="s">
        <v>14357</v>
      </c>
      <c r="Z274" t="s">
        <v>4727</v>
      </c>
    </row>
  </sheetData>
  <phoneticPr fontId="2" type="noConversion"/>
  <conditionalFormatting sqref="G2:G273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1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O7" t="s">
        <v>25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14922</v>
      </c>
      <c r="B17" t="s">
        <v>14922</v>
      </c>
      <c r="C17" t="s">
        <v>14924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14922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14923</v>
      </c>
      <c r="B18" t="s">
        <v>14923</v>
      </c>
      <c r="C18" t="s">
        <v>14925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14923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9"/>
  <sheetViews>
    <sheetView zoomScale="85" zoomScaleNormal="85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G223" sqref="G223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16746</v>
      </c>
      <c r="B119" t="s">
        <v>16746</v>
      </c>
      <c r="C119" t="s">
        <v>16751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16747</v>
      </c>
      <c r="K119" t="s">
        <v>4517</v>
      </c>
      <c r="L119" t="s">
        <v>16748</v>
      </c>
      <c r="M119" t="s">
        <v>25</v>
      </c>
      <c r="N119" t="s">
        <v>16749</v>
      </c>
      <c r="S119" t="s">
        <v>6665</v>
      </c>
      <c r="T119" t="s">
        <v>16748</v>
      </c>
      <c r="U119" t="s">
        <v>4559</v>
      </c>
      <c r="V119" t="s">
        <v>16750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  <row r="202" spans="1:23">
      <c r="A202" t="s">
        <v>16867</v>
      </c>
      <c r="B202" t="s">
        <v>16867</v>
      </c>
      <c r="C202" t="s">
        <v>16868</v>
      </c>
      <c r="D202" t="s">
        <v>4517</v>
      </c>
      <c r="E202" t="s">
        <v>11104</v>
      </c>
      <c r="F202" t="s">
        <v>2655</v>
      </c>
      <c r="G202" t="s">
        <v>16867</v>
      </c>
      <c r="H202" t="s">
        <v>6243</v>
      </c>
      <c r="I202" t="s">
        <v>11107</v>
      </c>
      <c r="J202" t="s">
        <v>16869</v>
      </c>
      <c r="K202" t="s">
        <v>4517</v>
      </c>
      <c r="L202" t="s">
        <v>16871</v>
      </c>
      <c r="M202" t="s">
        <v>25</v>
      </c>
      <c r="N202" t="s">
        <v>16870</v>
      </c>
      <c r="S202" t="s">
        <v>4517</v>
      </c>
      <c r="T202" t="s">
        <v>16871</v>
      </c>
      <c r="U202" t="s">
        <v>4559</v>
      </c>
      <c r="V202" t="s">
        <v>16872</v>
      </c>
    </row>
    <row r="203" spans="1:23">
      <c r="A203" t="s">
        <v>16873</v>
      </c>
      <c r="B203" t="s">
        <v>16873</v>
      </c>
      <c r="C203" t="s">
        <v>16883</v>
      </c>
      <c r="D203" t="s">
        <v>16874</v>
      </c>
      <c r="E203" t="s">
        <v>16875</v>
      </c>
      <c r="F203" t="s">
        <v>7015</v>
      </c>
      <c r="G203" t="s">
        <v>16876</v>
      </c>
      <c r="H203" t="s">
        <v>10703</v>
      </c>
      <c r="I203" t="s">
        <v>16877</v>
      </c>
      <c r="J203" t="s">
        <v>16878</v>
      </c>
      <c r="K203" t="s">
        <v>16879</v>
      </c>
      <c r="L203" t="s">
        <v>16880</v>
      </c>
      <c r="M203" t="s">
        <v>25</v>
      </c>
      <c r="N203" t="s">
        <v>16881</v>
      </c>
      <c r="S203" t="s">
        <v>16879</v>
      </c>
      <c r="T203" t="s">
        <v>16881</v>
      </c>
      <c r="U203" t="s">
        <v>4559</v>
      </c>
      <c r="V203" t="s">
        <v>16882</v>
      </c>
    </row>
    <row r="204" spans="1:23">
      <c r="A204" t="s">
        <v>16884</v>
      </c>
      <c r="B204" t="s">
        <v>16887</v>
      </c>
      <c r="C204" t="s">
        <v>16888</v>
      </c>
      <c r="D204" t="s">
        <v>6322</v>
      </c>
      <c r="E204" t="s">
        <v>16875</v>
      </c>
      <c r="F204" t="s">
        <v>7015</v>
      </c>
      <c r="G204" t="s">
        <v>11136</v>
      </c>
      <c r="H204" t="s">
        <v>10703</v>
      </c>
      <c r="I204" t="s">
        <v>16891</v>
      </c>
      <c r="J204" t="s">
        <v>16893</v>
      </c>
      <c r="K204" t="s">
        <v>6322</v>
      </c>
      <c r="L204" t="s">
        <v>16884</v>
      </c>
      <c r="M204" t="s">
        <v>25</v>
      </c>
      <c r="N204" t="s">
        <v>16894</v>
      </c>
      <c r="S204" t="s">
        <v>6322</v>
      </c>
      <c r="T204" t="s">
        <v>16884</v>
      </c>
      <c r="U204" t="s">
        <v>4559</v>
      </c>
      <c r="V204" t="s">
        <v>16896</v>
      </c>
    </row>
    <row r="205" spans="1:23">
      <c r="A205" t="s">
        <v>16885</v>
      </c>
      <c r="B205" t="s">
        <v>16886</v>
      </c>
      <c r="C205" t="s">
        <v>16889</v>
      </c>
      <c r="D205" t="s">
        <v>6322</v>
      </c>
      <c r="E205" t="s">
        <v>16875</v>
      </c>
      <c r="F205" t="s">
        <v>7015</v>
      </c>
      <c r="G205" t="s">
        <v>16890</v>
      </c>
      <c r="H205" t="s">
        <v>10703</v>
      </c>
      <c r="I205" t="s">
        <v>16892</v>
      </c>
      <c r="J205" t="s">
        <v>16893</v>
      </c>
      <c r="K205" t="s">
        <v>6322</v>
      </c>
      <c r="L205" t="s">
        <v>16885</v>
      </c>
      <c r="M205" t="s">
        <v>25</v>
      </c>
      <c r="N205" t="s">
        <v>16895</v>
      </c>
      <c r="S205" t="s">
        <v>6322</v>
      </c>
      <c r="T205" t="s">
        <v>16885</v>
      </c>
      <c r="U205" t="s">
        <v>4559</v>
      </c>
      <c r="V205" t="s">
        <v>16897</v>
      </c>
    </row>
    <row r="206" spans="1:23">
      <c r="A206" t="s">
        <v>16899</v>
      </c>
      <c r="B206" t="s">
        <v>16899</v>
      </c>
      <c r="C206" t="s">
        <v>16900</v>
      </c>
      <c r="D206" t="s">
        <v>16901</v>
      </c>
      <c r="E206" t="s">
        <v>16902</v>
      </c>
      <c r="F206" t="s">
        <v>2655</v>
      </c>
      <c r="G206" t="s">
        <v>16903</v>
      </c>
      <c r="H206" t="s">
        <v>6243</v>
      </c>
      <c r="I206" t="s">
        <v>16898</v>
      </c>
      <c r="J206" t="s">
        <v>16904</v>
      </c>
      <c r="K206" t="s">
        <v>16901</v>
      </c>
      <c r="L206" t="s">
        <v>16905</v>
      </c>
      <c r="M206" t="s">
        <v>25</v>
      </c>
      <c r="N206" t="s">
        <v>16906</v>
      </c>
      <c r="S206" t="s">
        <v>16901</v>
      </c>
      <c r="T206" t="s">
        <v>16905</v>
      </c>
      <c r="U206" t="s">
        <v>4559</v>
      </c>
      <c r="V206" t="s">
        <v>16907</v>
      </c>
    </row>
    <row r="207" spans="1:23">
      <c r="A207" t="s">
        <v>16908</v>
      </c>
      <c r="B207" t="s">
        <v>16908</v>
      </c>
      <c r="C207" t="s">
        <v>16911</v>
      </c>
      <c r="D207" t="s">
        <v>6322</v>
      </c>
      <c r="E207" t="s">
        <v>6236</v>
      </c>
      <c r="F207" t="s">
        <v>2655</v>
      </c>
      <c r="G207" t="s">
        <v>16914</v>
      </c>
      <c r="H207" t="s">
        <v>4377</v>
      </c>
      <c r="I207" t="s">
        <v>10880</v>
      </c>
      <c r="J207" t="s">
        <v>16912</v>
      </c>
      <c r="K207" t="s">
        <v>6322</v>
      </c>
      <c r="L207" t="s">
        <v>16917</v>
      </c>
      <c r="M207" t="s">
        <v>25</v>
      </c>
      <c r="N207" t="s">
        <v>16916</v>
      </c>
    </row>
    <row r="208" spans="1:23">
      <c r="A208" t="s">
        <v>16909</v>
      </c>
      <c r="B208" t="s">
        <v>16909</v>
      </c>
      <c r="C208" t="s">
        <v>16911</v>
      </c>
      <c r="D208" t="s">
        <v>6322</v>
      </c>
      <c r="E208" t="s">
        <v>6335</v>
      </c>
      <c r="F208" t="s">
        <v>2655</v>
      </c>
      <c r="G208" t="s">
        <v>16914</v>
      </c>
      <c r="H208" t="s">
        <v>4377</v>
      </c>
      <c r="I208" t="s">
        <v>11072</v>
      </c>
      <c r="J208" t="s">
        <v>16912</v>
      </c>
      <c r="K208" t="s">
        <v>6322</v>
      </c>
      <c r="L208" t="s">
        <v>16919</v>
      </c>
      <c r="M208" t="s">
        <v>25</v>
      </c>
      <c r="N208" t="s">
        <v>16918</v>
      </c>
      <c r="S208" t="s">
        <v>6322</v>
      </c>
      <c r="T208" t="s">
        <v>16924</v>
      </c>
      <c r="U208" t="s">
        <v>4559</v>
      </c>
      <c r="V208" t="s">
        <v>16923</v>
      </c>
    </row>
    <row r="209" spans="1:14">
      <c r="A209" t="s">
        <v>16910</v>
      </c>
      <c r="B209" t="s">
        <v>16910</v>
      </c>
      <c r="C209" t="s">
        <v>16911</v>
      </c>
      <c r="D209" t="s">
        <v>6322</v>
      </c>
      <c r="E209" t="s">
        <v>16922</v>
      </c>
      <c r="F209" t="s">
        <v>2655</v>
      </c>
      <c r="G209" t="s">
        <v>16913</v>
      </c>
      <c r="H209" t="s">
        <v>7975</v>
      </c>
      <c r="I209" t="s">
        <v>16915</v>
      </c>
      <c r="J209" t="s">
        <v>16912</v>
      </c>
      <c r="K209" t="s">
        <v>6322</v>
      </c>
      <c r="L209" t="s">
        <v>16921</v>
      </c>
      <c r="M209" t="s">
        <v>25</v>
      </c>
      <c r="N209" t="s">
        <v>16920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16268</v>
      </c>
      <c r="B2" t="s">
        <v>16269</v>
      </c>
      <c r="C2" t="s">
        <v>16270</v>
      </c>
      <c r="D2" t="s">
        <v>4479</v>
      </c>
      <c r="E2" s="14" t="s">
        <v>11613</v>
      </c>
      <c r="F2" t="s">
        <v>16253</v>
      </c>
      <c r="G2" s="17" t="str">
        <f>Config!$B$3</f>
        <v>SCH/R_IEC.SchLib</v>
      </c>
      <c r="H2" t="s">
        <v>16254</v>
      </c>
      <c r="I2" s="18" t="s">
        <v>16255</v>
      </c>
      <c r="J2" t="s">
        <v>16256</v>
      </c>
      <c r="M2" s="3">
        <v>800</v>
      </c>
      <c r="N2" t="s">
        <v>16257</v>
      </c>
      <c r="O2" t="s">
        <v>7506</v>
      </c>
      <c r="P2" t="s">
        <v>16258</v>
      </c>
      <c r="Q2" t="s">
        <v>25</v>
      </c>
      <c r="R2" t="s">
        <v>16259</v>
      </c>
      <c r="S2" t="s">
        <v>7506</v>
      </c>
      <c r="T2" t="s">
        <v>16260</v>
      </c>
      <c r="U2" t="s">
        <v>25</v>
      </c>
      <c r="V2" t="s">
        <v>16261</v>
      </c>
    </row>
    <row r="3" spans="1:28">
      <c r="A3" t="s">
        <v>16271</v>
      </c>
      <c r="B3" t="s">
        <v>16248</v>
      </c>
      <c r="C3" t="s">
        <v>16272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16254</v>
      </c>
      <c r="I3" s="18" t="s">
        <v>16255</v>
      </c>
      <c r="J3" t="s">
        <v>16256</v>
      </c>
      <c r="M3" s="3">
        <v>1000</v>
      </c>
      <c r="N3" t="s">
        <v>16239</v>
      </c>
      <c r="O3" t="s">
        <v>7506</v>
      </c>
      <c r="P3" t="s">
        <v>16262</v>
      </c>
      <c r="Q3" t="s">
        <v>25</v>
      </c>
      <c r="R3" t="s">
        <v>16263</v>
      </c>
      <c r="S3" t="s">
        <v>7506</v>
      </c>
      <c r="T3" t="s">
        <v>16231</v>
      </c>
      <c r="U3" t="s">
        <v>25</v>
      </c>
      <c r="V3" t="s">
        <v>16232</v>
      </c>
    </row>
    <row r="4" spans="1:28">
      <c r="A4" t="s">
        <v>16273</v>
      </c>
      <c r="B4" t="s">
        <v>16249</v>
      </c>
      <c r="C4" t="s">
        <v>16274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16254</v>
      </c>
      <c r="I4" s="18" t="s">
        <v>16255</v>
      </c>
      <c r="J4" t="s">
        <v>16256</v>
      </c>
      <c r="M4" s="3">
        <v>1200</v>
      </c>
      <c r="N4" t="s">
        <v>16233</v>
      </c>
      <c r="O4" t="s">
        <v>7506</v>
      </c>
      <c r="P4" t="s">
        <v>16234</v>
      </c>
      <c r="Q4" t="s">
        <v>25</v>
      </c>
      <c r="R4" t="s">
        <v>16235</v>
      </c>
    </row>
    <row r="5" spans="1:28">
      <c r="A5" t="s">
        <v>16275</v>
      </c>
      <c r="B5" t="s">
        <v>16250</v>
      </c>
      <c r="C5" t="s">
        <v>16276</v>
      </c>
      <c r="D5" t="s">
        <v>4479</v>
      </c>
      <c r="E5" s="14" t="s">
        <v>11613</v>
      </c>
      <c r="F5" t="s">
        <v>16236</v>
      </c>
      <c r="G5" s="17" t="str">
        <f>Config!$B$3</f>
        <v>SCH/R_IEC.SchLib</v>
      </c>
      <c r="H5" t="s">
        <v>16254</v>
      </c>
      <c r="I5" s="18" t="s">
        <v>16255</v>
      </c>
      <c r="J5" t="s">
        <v>16256</v>
      </c>
      <c r="M5" s="3">
        <v>1400</v>
      </c>
      <c r="N5" t="s">
        <v>16264</v>
      </c>
      <c r="O5" t="s">
        <v>7506</v>
      </c>
      <c r="P5" t="s">
        <v>16265</v>
      </c>
      <c r="Q5" t="s">
        <v>25</v>
      </c>
      <c r="R5" t="s">
        <v>16266</v>
      </c>
      <c r="S5" t="s">
        <v>7506</v>
      </c>
      <c r="T5" t="s">
        <v>16242</v>
      </c>
      <c r="U5" t="s">
        <v>25</v>
      </c>
      <c r="V5" t="s">
        <v>16243</v>
      </c>
    </row>
    <row r="6" spans="1:28">
      <c r="A6" t="s">
        <v>16329</v>
      </c>
      <c r="B6" t="s">
        <v>16330</v>
      </c>
      <c r="C6" t="s">
        <v>16331</v>
      </c>
      <c r="D6" t="s">
        <v>4479</v>
      </c>
      <c r="E6" s="14" t="s">
        <v>11613</v>
      </c>
      <c r="F6" t="s">
        <v>16332</v>
      </c>
      <c r="G6" s="17" t="str">
        <f>Config!$B$3</f>
        <v>SCH/R_IEC.SchLib</v>
      </c>
      <c r="H6" t="s">
        <v>16254</v>
      </c>
      <c r="I6" s="18" t="s">
        <v>16255</v>
      </c>
      <c r="J6" t="s">
        <v>16256</v>
      </c>
      <c r="M6" s="3">
        <v>1600</v>
      </c>
      <c r="N6" t="s">
        <v>16333</v>
      </c>
      <c r="O6" t="s">
        <v>7506</v>
      </c>
      <c r="P6" t="s">
        <v>16334</v>
      </c>
      <c r="Q6" t="s">
        <v>25</v>
      </c>
      <c r="R6" t="s">
        <v>16335</v>
      </c>
      <c r="S6" t="s">
        <v>7506</v>
      </c>
      <c r="T6" t="s">
        <v>16336</v>
      </c>
      <c r="U6" t="s">
        <v>25</v>
      </c>
      <c r="V6" t="s">
        <v>16337</v>
      </c>
    </row>
    <row r="7" spans="1:28">
      <c r="A7" t="s">
        <v>16277</v>
      </c>
      <c r="B7" t="s">
        <v>16251</v>
      </c>
      <c r="C7" t="s">
        <v>16278</v>
      </c>
      <c r="D7" t="s">
        <v>4479</v>
      </c>
      <c r="E7" s="14" t="s">
        <v>11613</v>
      </c>
      <c r="F7" t="s">
        <v>16237</v>
      </c>
      <c r="G7" s="17" t="str">
        <f>Config!$B$3</f>
        <v>SCH/R_IEC.SchLib</v>
      </c>
      <c r="H7" t="s">
        <v>16254</v>
      </c>
      <c r="I7" s="18" t="s">
        <v>16255</v>
      </c>
      <c r="J7" t="s">
        <v>16256</v>
      </c>
      <c r="M7" s="3">
        <v>2500</v>
      </c>
      <c r="N7" t="s">
        <v>16240</v>
      </c>
      <c r="O7" t="s">
        <v>7506</v>
      </c>
      <c r="P7" t="s">
        <v>16244</v>
      </c>
      <c r="Q7" t="s">
        <v>25</v>
      </c>
      <c r="R7" t="s">
        <v>16245</v>
      </c>
    </row>
    <row r="8" spans="1:28">
      <c r="A8" t="s">
        <v>16279</v>
      </c>
      <c r="B8" t="s">
        <v>16252</v>
      </c>
      <c r="C8" t="s">
        <v>16280</v>
      </c>
      <c r="D8" t="s">
        <v>4479</v>
      </c>
      <c r="E8" s="14" t="s">
        <v>11613</v>
      </c>
      <c r="F8" t="s">
        <v>16238</v>
      </c>
      <c r="G8" s="17" t="str">
        <f>Config!$B$3</f>
        <v>SCH/R_IEC.SchLib</v>
      </c>
      <c r="H8" t="s">
        <v>16254</v>
      </c>
      <c r="I8" s="18" t="s">
        <v>16255</v>
      </c>
      <c r="J8" t="s">
        <v>16256</v>
      </c>
      <c r="M8" s="3">
        <v>3500</v>
      </c>
      <c r="N8" t="s">
        <v>16241</v>
      </c>
      <c r="O8" t="s">
        <v>7506</v>
      </c>
      <c r="P8" t="s">
        <v>16246</v>
      </c>
      <c r="Q8" t="s">
        <v>25</v>
      </c>
      <c r="R8" t="s">
        <v>16247</v>
      </c>
    </row>
    <row r="9" spans="1:28">
      <c r="A9" t="s">
        <v>16339</v>
      </c>
      <c r="B9" t="s">
        <v>16340</v>
      </c>
      <c r="C9" t="s">
        <v>16341</v>
      </c>
      <c r="D9" t="s">
        <v>4479</v>
      </c>
      <c r="E9" s="14" t="s">
        <v>11613</v>
      </c>
      <c r="F9" t="s">
        <v>16338</v>
      </c>
      <c r="G9" s="17" t="str">
        <f>Config!$B$3</f>
        <v>SCH/R_IEC.SchLib</v>
      </c>
      <c r="H9" t="s">
        <v>16254</v>
      </c>
      <c r="I9" s="18" t="s">
        <v>16255</v>
      </c>
      <c r="J9" t="s">
        <v>16256</v>
      </c>
      <c r="M9" s="3">
        <v>4500</v>
      </c>
      <c r="N9" t="s">
        <v>16346</v>
      </c>
      <c r="O9" t="s">
        <v>7506</v>
      </c>
      <c r="P9" t="s">
        <v>16347</v>
      </c>
      <c r="Q9" t="s">
        <v>25</v>
      </c>
      <c r="R9" t="s">
        <v>16348</v>
      </c>
    </row>
    <row r="10" spans="1:28">
      <c r="A10" t="s">
        <v>16342</v>
      </c>
      <c r="B10" t="s">
        <v>16343</v>
      </c>
      <c r="C10" t="s">
        <v>16344</v>
      </c>
      <c r="D10" t="s">
        <v>4479</v>
      </c>
      <c r="E10" s="14" t="s">
        <v>11613</v>
      </c>
      <c r="F10" t="s">
        <v>16345</v>
      </c>
      <c r="G10" s="17" t="str">
        <f>Config!$B$3</f>
        <v>SCH/R_IEC.SchLib</v>
      </c>
      <c r="H10" t="s">
        <v>16254</v>
      </c>
      <c r="I10" s="18" t="s">
        <v>16255</v>
      </c>
      <c r="J10" t="s">
        <v>16256</v>
      </c>
      <c r="M10" s="3">
        <v>5500</v>
      </c>
      <c r="N10" t="s">
        <v>16349</v>
      </c>
      <c r="O10" t="s">
        <v>7506</v>
      </c>
      <c r="P10" t="s">
        <v>16350</v>
      </c>
      <c r="Q10" t="s">
        <v>25</v>
      </c>
      <c r="R10" t="s">
        <v>16351</v>
      </c>
    </row>
    <row r="11" spans="1:28">
      <c r="A11" t="s">
        <v>16281</v>
      </c>
      <c r="B11" t="s">
        <v>16269</v>
      </c>
      <c r="C11" t="s">
        <v>16282</v>
      </c>
      <c r="D11" t="s">
        <v>4479</v>
      </c>
      <c r="E11" s="14" t="s">
        <v>11613</v>
      </c>
      <c r="F11" t="s">
        <v>16253</v>
      </c>
      <c r="G11" s="17" t="str">
        <f>Config!$B$3</f>
        <v>SCH/R_IEC.SchLib</v>
      </c>
      <c r="H11" t="s">
        <v>16254</v>
      </c>
      <c r="I11" s="18" t="s">
        <v>16255</v>
      </c>
      <c r="J11" t="s">
        <v>16267</v>
      </c>
      <c r="M11" s="3">
        <v>800</v>
      </c>
      <c r="N11" t="s">
        <v>16257</v>
      </c>
      <c r="O11" t="s">
        <v>7506</v>
      </c>
      <c r="P11" t="s">
        <v>16258</v>
      </c>
      <c r="Q11" t="s">
        <v>25</v>
      </c>
      <c r="R11" t="s">
        <v>16259</v>
      </c>
      <c r="S11" t="s">
        <v>7506</v>
      </c>
      <c r="T11" t="s">
        <v>16260</v>
      </c>
      <c r="U11" t="s">
        <v>25</v>
      </c>
      <c r="V11" t="s">
        <v>16261</v>
      </c>
    </row>
    <row r="12" spans="1:28">
      <c r="A12" t="s">
        <v>16283</v>
      </c>
      <c r="B12" t="s">
        <v>16248</v>
      </c>
      <c r="C12" t="s">
        <v>16284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16254</v>
      </c>
      <c r="I12" s="18" t="s">
        <v>16255</v>
      </c>
      <c r="J12" t="s">
        <v>16267</v>
      </c>
      <c r="M12" s="3">
        <v>1000</v>
      </c>
      <c r="N12" t="s">
        <v>16239</v>
      </c>
      <c r="O12" t="s">
        <v>7506</v>
      </c>
      <c r="P12" t="s">
        <v>16262</v>
      </c>
      <c r="Q12" t="s">
        <v>25</v>
      </c>
      <c r="R12" t="s">
        <v>16263</v>
      </c>
      <c r="S12" t="s">
        <v>7506</v>
      </c>
      <c r="T12" t="s">
        <v>16231</v>
      </c>
      <c r="U12" t="s">
        <v>25</v>
      </c>
      <c r="V12" t="s">
        <v>16232</v>
      </c>
    </row>
    <row r="13" spans="1:28">
      <c r="A13" t="s">
        <v>16285</v>
      </c>
      <c r="B13" t="s">
        <v>16249</v>
      </c>
      <c r="C13" t="s">
        <v>16286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16254</v>
      </c>
      <c r="I13" s="18" t="s">
        <v>16255</v>
      </c>
      <c r="J13" t="s">
        <v>16267</v>
      </c>
      <c r="M13" s="3">
        <v>1200</v>
      </c>
      <c r="N13" t="s">
        <v>16233</v>
      </c>
      <c r="O13" t="s">
        <v>7506</v>
      </c>
      <c r="P13" t="s">
        <v>16234</v>
      </c>
      <c r="Q13" t="s">
        <v>25</v>
      </c>
      <c r="R13" t="s">
        <v>16235</v>
      </c>
    </row>
    <row r="14" spans="1:28">
      <c r="A14" t="s">
        <v>16287</v>
      </c>
      <c r="B14" t="s">
        <v>16250</v>
      </c>
      <c r="C14" t="s">
        <v>16288</v>
      </c>
      <c r="D14" t="s">
        <v>4479</v>
      </c>
      <c r="E14" s="14" t="s">
        <v>11613</v>
      </c>
      <c r="F14" t="s">
        <v>16236</v>
      </c>
      <c r="G14" s="17" t="str">
        <f>Config!$B$3</f>
        <v>SCH/R_IEC.SchLib</v>
      </c>
      <c r="H14" t="s">
        <v>16254</v>
      </c>
      <c r="I14" s="18" t="s">
        <v>16255</v>
      </c>
      <c r="J14" t="s">
        <v>16267</v>
      </c>
      <c r="M14" s="3">
        <v>1400</v>
      </c>
      <c r="N14" t="s">
        <v>16264</v>
      </c>
      <c r="O14" t="s">
        <v>7506</v>
      </c>
      <c r="P14" t="s">
        <v>16265</v>
      </c>
      <c r="Q14" t="s">
        <v>25</v>
      </c>
      <c r="R14" t="s">
        <v>16266</v>
      </c>
      <c r="S14" t="s">
        <v>7506</v>
      </c>
      <c r="T14" t="s">
        <v>16242</v>
      </c>
      <c r="U14" t="s">
        <v>25</v>
      </c>
      <c r="V14" t="s">
        <v>16243</v>
      </c>
    </row>
    <row r="15" spans="1:28">
      <c r="A15" t="s">
        <v>16352</v>
      </c>
      <c r="B15" t="s">
        <v>16330</v>
      </c>
      <c r="C15" t="s">
        <v>16353</v>
      </c>
      <c r="D15" t="s">
        <v>4479</v>
      </c>
      <c r="E15" s="14" t="s">
        <v>11613</v>
      </c>
      <c r="F15" t="s">
        <v>16332</v>
      </c>
      <c r="G15" s="17" t="str">
        <f>Config!$B$3</f>
        <v>SCH/R_IEC.SchLib</v>
      </c>
      <c r="H15" t="s">
        <v>16254</v>
      </c>
      <c r="I15" s="18" t="s">
        <v>16255</v>
      </c>
      <c r="J15" t="s">
        <v>16267</v>
      </c>
      <c r="M15" s="3">
        <v>1600</v>
      </c>
      <c r="N15" t="s">
        <v>16333</v>
      </c>
      <c r="O15" t="s">
        <v>7506</v>
      </c>
      <c r="P15" t="s">
        <v>16334</v>
      </c>
      <c r="Q15" t="s">
        <v>25</v>
      </c>
      <c r="R15" t="s">
        <v>16335</v>
      </c>
      <c r="S15" t="s">
        <v>7506</v>
      </c>
      <c r="T15" t="s">
        <v>16336</v>
      </c>
      <c r="U15" t="s">
        <v>25</v>
      </c>
      <c r="V15" t="s">
        <v>16337</v>
      </c>
    </row>
    <row r="16" spans="1:28">
      <c r="A16" t="s">
        <v>16289</v>
      </c>
      <c r="B16" t="s">
        <v>16251</v>
      </c>
      <c r="C16" t="s">
        <v>16290</v>
      </c>
      <c r="D16" t="s">
        <v>4479</v>
      </c>
      <c r="E16" s="14" t="s">
        <v>11613</v>
      </c>
      <c r="F16" t="s">
        <v>16237</v>
      </c>
      <c r="G16" s="17" t="str">
        <f>Config!$B$3</f>
        <v>SCH/R_IEC.SchLib</v>
      </c>
      <c r="H16" t="s">
        <v>16254</v>
      </c>
      <c r="I16" s="18" t="s">
        <v>16255</v>
      </c>
      <c r="J16" t="s">
        <v>16267</v>
      </c>
      <c r="M16" s="3">
        <v>2500</v>
      </c>
      <c r="N16" t="s">
        <v>16240</v>
      </c>
      <c r="O16" t="s">
        <v>7506</v>
      </c>
      <c r="P16" t="s">
        <v>16244</v>
      </c>
      <c r="Q16" t="s">
        <v>25</v>
      </c>
      <c r="R16" t="s">
        <v>16245</v>
      </c>
    </row>
    <row r="17" spans="1:22">
      <c r="A17" t="s">
        <v>16291</v>
      </c>
      <c r="B17" t="s">
        <v>16252</v>
      </c>
      <c r="C17" t="s">
        <v>16292</v>
      </c>
      <c r="D17" t="s">
        <v>4479</v>
      </c>
      <c r="E17" s="14" t="s">
        <v>11613</v>
      </c>
      <c r="F17" t="s">
        <v>16238</v>
      </c>
      <c r="G17" s="17" t="str">
        <f>Config!$B$3</f>
        <v>SCH/R_IEC.SchLib</v>
      </c>
      <c r="H17" t="s">
        <v>16254</v>
      </c>
      <c r="I17" s="18" t="s">
        <v>16255</v>
      </c>
      <c r="J17" t="s">
        <v>16267</v>
      </c>
      <c r="M17" s="3">
        <v>3500</v>
      </c>
      <c r="N17" t="s">
        <v>16241</v>
      </c>
      <c r="O17" t="s">
        <v>7506</v>
      </c>
      <c r="P17" t="s">
        <v>16246</v>
      </c>
      <c r="Q17" t="s">
        <v>25</v>
      </c>
      <c r="R17" t="s">
        <v>16247</v>
      </c>
    </row>
    <row r="18" spans="1:22">
      <c r="A18" t="s">
        <v>16354</v>
      </c>
      <c r="B18" t="s">
        <v>16340</v>
      </c>
      <c r="C18" t="s">
        <v>16355</v>
      </c>
      <c r="D18" t="s">
        <v>4479</v>
      </c>
      <c r="E18" s="14" t="s">
        <v>11613</v>
      </c>
      <c r="F18" t="s">
        <v>16338</v>
      </c>
      <c r="G18" s="17" t="str">
        <f>Config!$B$3</f>
        <v>SCH/R_IEC.SchLib</v>
      </c>
      <c r="H18" t="s">
        <v>16254</v>
      </c>
      <c r="I18" s="18" t="s">
        <v>16255</v>
      </c>
      <c r="J18" t="s">
        <v>16267</v>
      </c>
      <c r="M18" s="3">
        <v>4500</v>
      </c>
      <c r="N18" t="s">
        <v>16346</v>
      </c>
      <c r="O18" t="s">
        <v>7506</v>
      </c>
      <c r="P18" t="s">
        <v>16347</v>
      </c>
      <c r="Q18" t="s">
        <v>25</v>
      </c>
      <c r="R18" t="s">
        <v>16348</v>
      </c>
    </row>
    <row r="19" spans="1:22">
      <c r="A19" t="s">
        <v>16356</v>
      </c>
      <c r="B19" t="s">
        <v>16343</v>
      </c>
      <c r="C19" t="s">
        <v>16357</v>
      </c>
      <c r="D19" t="s">
        <v>4479</v>
      </c>
      <c r="E19" s="14" t="s">
        <v>11613</v>
      </c>
      <c r="F19" t="s">
        <v>16345</v>
      </c>
      <c r="G19" s="17" t="str">
        <f>Config!$B$3</f>
        <v>SCH/R_IEC.SchLib</v>
      </c>
      <c r="H19" t="s">
        <v>16254</v>
      </c>
      <c r="I19" s="18" t="s">
        <v>16255</v>
      </c>
      <c r="J19" t="s">
        <v>16267</v>
      </c>
      <c r="M19" s="3">
        <v>5500</v>
      </c>
      <c r="N19" t="s">
        <v>16349</v>
      </c>
      <c r="O19" t="s">
        <v>7506</v>
      </c>
      <c r="P19" t="s">
        <v>16350</v>
      </c>
      <c r="Q19" t="s">
        <v>25</v>
      </c>
      <c r="R19" t="s">
        <v>16351</v>
      </c>
    </row>
    <row r="20" spans="1:22">
      <c r="A20" t="s">
        <v>16293</v>
      </c>
      <c r="B20" t="s">
        <v>16269</v>
      </c>
      <c r="C20" t="s">
        <v>16299</v>
      </c>
      <c r="D20" t="s">
        <v>4479</v>
      </c>
      <c r="E20" s="14" t="s">
        <v>11613</v>
      </c>
      <c r="F20" t="s">
        <v>16253</v>
      </c>
      <c r="G20" s="17" t="str">
        <f>Config!$B$3</f>
        <v>SCH/R_IEC.SchLib</v>
      </c>
      <c r="H20" t="s">
        <v>16254</v>
      </c>
      <c r="I20" s="18" t="s">
        <v>16255</v>
      </c>
      <c r="J20" t="s">
        <v>16358</v>
      </c>
      <c r="M20" s="3">
        <v>800</v>
      </c>
      <c r="N20" t="s">
        <v>16257</v>
      </c>
      <c r="O20" t="s">
        <v>7506</v>
      </c>
      <c r="P20" t="s">
        <v>16258</v>
      </c>
      <c r="Q20" t="s">
        <v>25</v>
      </c>
      <c r="R20" t="s">
        <v>16259</v>
      </c>
      <c r="S20" t="s">
        <v>7506</v>
      </c>
      <c r="T20" t="s">
        <v>16260</v>
      </c>
      <c r="U20" t="s">
        <v>25</v>
      </c>
      <c r="V20" t="s">
        <v>16261</v>
      </c>
    </row>
    <row r="21" spans="1:22">
      <c r="A21" t="s">
        <v>16294</v>
      </c>
      <c r="B21" t="s">
        <v>16248</v>
      </c>
      <c r="C21" t="s">
        <v>16300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16254</v>
      </c>
      <c r="I21" s="18" t="s">
        <v>16255</v>
      </c>
      <c r="J21" t="s">
        <v>16358</v>
      </c>
      <c r="M21" s="3">
        <v>1000</v>
      </c>
      <c r="N21" t="s">
        <v>16239</v>
      </c>
      <c r="O21" t="s">
        <v>7506</v>
      </c>
      <c r="P21" t="s">
        <v>16262</v>
      </c>
      <c r="Q21" t="s">
        <v>25</v>
      </c>
      <c r="R21" t="s">
        <v>16263</v>
      </c>
      <c r="S21" t="s">
        <v>7506</v>
      </c>
      <c r="T21" t="s">
        <v>16231</v>
      </c>
      <c r="U21" t="s">
        <v>25</v>
      </c>
      <c r="V21" t="s">
        <v>16232</v>
      </c>
    </row>
    <row r="22" spans="1:22">
      <c r="A22" t="s">
        <v>16295</v>
      </c>
      <c r="B22" t="s">
        <v>16249</v>
      </c>
      <c r="C22" t="s">
        <v>16301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16254</v>
      </c>
      <c r="I22" s="18" t="s">
        <v>16255</v>
      </c>
      <c r="J22" t="s">
        <v>16358</v>
      </c>
      <c r="M22" s="3">
        <v>1200</v>
      </c>
      <c r="N22" t="s">
        <v>16233</v>
      </c>
      <c r="O22" t="s">
        <v>7506</v>
      </c>
      <c r="P22" t="s">
        <v>16234</v>
      </c>
      <c r="Q22" t="s">
        <v>25</v>
      </c>
      <c r="R22" t="s">
        <v>16235</v>
      </c>
    </row>
    <row r="23" spans="1:22">
      <c r="A23" t="s">
        <v>16296</v>
      </c>
      <c r="B23" t="s">
        <v>16250</v>
      </c>
      <c r="C23" t="s">
        <v>16302</v>
      </c>
      <c r="D23" t="s">
        <v>4479</v>
      </c>
      <c r="E23" s="14" t="s">
        <v>11613</v>
      </c>
      <c r="F23" t="s">
        <v>16236</v>
      </c>
      <c r="G23" s="17" t="str">
        <f>Config!$B$3</f>
        <v>SCH/R_IEC.SchLib</v>
      </c>
      <c r="H23" t="s">
        <v>16254</v>
      </c>
      <c r="I23" s="18" t="s">
        <v>16255</v>
      </c>
      <c r="J23" t="s">
        <v>16358</v>
      </c>
      <c r="M23" s="3">
        <v>1400</v>
      </c>
      <c r="N23" t="s">
        <v>16264</v>
      </c>
      <c r="O23" t="s">
        <v>7506</v>
      </c>
      <c r="P23" t="s">
        <v>16265</v>
      </c>
      <c r="Q23" t="s">
        <v>25</v>
      </c>
      <c r="R23" t="s">
        <v>16266</v>
      </c>
      <c r="S23" t="s">
        <v>7506</v>
      </c>
      <c r="T23" t="s">
        <v>16242</v>
      </c>
      <c r="U23" t="s">
        <v>25</v>
      </c>
      <c r="V23" t="s">
        <v>16243</v>
      </c>
    </row>
    <row r="24" spans="1:22">
      <c r="A24" t="s">
        <v>16359</v>
      </c>
      <c r="B24" t="s">
        <v>16330</v>
      </c>
      <c r="C24" t="s">
        <v>16360</v>
      </c>
      <c r="D24" t="s">
        <v>4479</v>
      </c>
      <c r="E24" s="14" t="s">
        <v>11613</v>
      </c>
      <c r="F24" t="s">
        <v>16332</v>
      </c>
      <c r="G24" s="17" t="str">
        <f>Config!$B$3</f>
        <v>SCH/R_IEC.SchLib</v>
      </c>
      <c r="H24" t="s">
        <v>16254</v>
      </c>
      <c r="I24" s="18" t="s">
        <v>16255</v>
      </c>
      <c r="J24" t="s">
        <v>16358</v>
      </c>
      <c r="M24" s="3">
        <v>1600</v>
      </c>
      <c r="N24" t="s">
        <v>16333</v>
      </c>
      <c r="O24" t="s">
        <v>7506</v>
      </c>
      <c r="P24" t="s">
        <v>16334</v>
      </c>
      <c r="Q24" t="s">
        <v>25</v>
      </c>
      <c r="R24" t="s">
        <v>16335</v>
      </c>
      <c r="S24" t="s">
        <v>7506</v>
      </c>
      <c r="T24" t="s">
        <v>16336</v>
      </c>
      <c r="U24" t="s">
        <v>25</v>
      </c>
      <c r="V24" t="s">
        <v>16337</v>
      </c>
    </row>
    <row r="25" spans="1:22">
      <c r="A25" t="s">
        <v>16297</v>
      </c>
      <c r="B25" t="s">
        <v>16251</v>
      </c>
      <c r="C25" t="s">
        <v>16303</v>
      </c>
      <c r="D25" t="s">
        <v>4479</v>
      </c>
      <c r="E25" s="14" t="s">
        <v>11613</v>
      </c>
      <c r="F25" t="s">
        <v>16237</v>
      </c>
      <c r="G25" s="17" t="str">
        <f>Config!$B$3</f>
        <v>SCH/R_IEC.SchLib</v>
      </c>
      <c r="H25" t="s">
        <v>16254</v>
      </c>
      <c r="I25" s="18" t="s">
        <v>16255</v>
      </c>
      <c r="J25" t="s">
        <v>16358</v>
      </c>
      <c r="M25" s="3">
        <v>2500</v>
      </c>
      <c r="N25" t="s">
        <v>16240</v>
      </c>
      <c r="O25" t="s">
        <v>7506</v>
      </c>
      <c r="P25" t="s">
        <v>16244</v>
      </c>
      <c r="Q25" t="s">
        <v>25</v>
      </c>
      <c r="R25" t="s">
        <v>16245</v>
      </c>
    </row>
    <row r="26" spans="1:22">
      <c r="A26" t="s">
        <v>16298</v>
      </c>
      <c r="B26" t="s">
        <v>16252</v>
      </c>
      <c r="C26" t="s">
        <v>16304</v>
      </c>
      <c r="D26" t="s">
        <v>4479</v>
      </c>
      <c r="E26" s="14" t="s">
        <v>11613</v>
      </c>
      <c r="F26" t="s">
        <v>16238</v>
      </c>
      <c r="G26" s="17" t="str">
        <f>Config!$B$3</f>
        <v>SCH/R_IEC.SchLib</v>
      </c>
      <c r="H26" t="s">
        <v>16254</v>
      </c>
      <c r="I26" s="18" t="s">
        <v>16255</v>
      </c>
      <c r="J26" t="s">
        <v>16358</v>
      </c>
      <c r="M26" s="3">
        <v>3500</v>
      </c>
      <c r="N26" t="s">
        <v>16241</v>
      </c>
      <c r="O26" t="s">
        <v>7506</v>
      </c>
      <c r="P26" t="s">
        <v>16246</v>
      </c>
      <c r="Q26" t="s">
        <v>25</v>
      </c>
      <c r="R26" t="s">
        <v>16247</v>
      </c>
    </row>
    <row r="27" spans="1:22">
      <c r="A27" t="s">
        <v>16361</v>
      </c>
      <c r="B27" t="s">
        <v>16340</v>
      </c>
      <c r="C27" t="s">
        <v>16362</v>
      </c>
      <c r="D27" t="s">
        <v>4479</v>
      </c>
      <c r="E27" s="14" t="s">
        <v>11613</v>
      </c>
      <c r="F27" t="s">
        <v>16338</v>
      </c>
      <c r="G27" s="17" t="str">
        <f>Config!$B$3</f>
        <v>SCH/R_IEC.SchLib</v>
      </c>
      <c r="H27" t="s">
        <v>16254</v>
      </c>
      <c r="I27" s="18" t="s">
        <v>16255</v>
      </c>
      <c r="J27" t="s">
        <v>16358</v>
      </c>
      <c r="M27" s="3">
        <v>4500</v>
      </c>
      <c r="N27" t="s">
        <v>16346</v>
      </c>
      <c r="O27" t="s">
        <v>7506</v>
      </c>
      <c r="P27" t="s">
        <v>16347</v>
      </c>
      <c r="Q27" t="s">
        <v>25</v>
      </c>
      <c r="R27" t="s">
        <v>16348</v>
      </c>
    </row>
    <row r="28" spans="1:22">
      <c r="A28" t="s">
        <v>16363</v>
      </c>
      <c r="B28" t="s">
        <v>16343</v>
      </c>
      <c r="C28" t="s">
        <v>16364</v>
      </c>
      <c r="D28" t="s">
        <v>4479</v>
      </c>
      <c r="E28" s="14" t="s">
        <v>11613</v>
      </c>
      <c r="F28" t="s">
        <v>16345</v>
      </c>
      <c r="G28" s="17" t="str">
        <f>Config!$B$3</f>
        <v>SCH/R_IEC.SchLib</v>
      </c>
      <c r="H28" t="s">
        <v>16254</v>
      </c>
      <c r="I28" s="18" t="s">
        <v>16255</v>
      </c>
      <c r="J28" t="s">
        <v>16358</v>
      </c>
      <c r="M28" s="3">
        <v>5500</v>
      </c>
      <c r="N28" t="s">
        <v>16349</v>
      </c>
      <c r="O28" t="s">
        <v>7506</v>
      </c>
      <c r="P28" t="s">
        <v>16350</v>
      </c>
      <c r="Q28" t="s">
        <v>25</v>
      </c>
      <c r="R28" t="s">
        <v>16351</v>
      </c>
    </row>
    <row r="29" spans="1:22">
      <c r="A29" t="s">
        <v>16305</v>
      </c>
      <c r="B29" t="s">
        <v>16269</v>
      </c>
      <c r="C29" t="s">
        <v>16311</v>
      </c>
      <c r="D29" t="s">
        <v>4479</v>
      </c>
      <c r="E29" s="14" t="s">
        <v>11613</v>
      </c>
      <c r="F29" t="s">
        <v>16253</v>
      </c>
      <c r="G29" s="17" t="str">
        <f>Config!$B$3</f>
        <v>SCH/R_IEC.SchLib</v>
      </c>
      <c r="H29" t="s">
        <v>16254</v>
      </c>
      <c r="I29" s="18" t="s">
        <v>16255</v>
      </c>
      <c r="J29" t="s">
        <v>16365</v>
      </c>
      <c r="M29" s="3">
        <v>800</v>
      </c>
      <c r="N29" t="s">
        <v>16257</v>
      </c>
      <c r="O29" t="s">
        <v>7506</v>
      </c>
      <c r="P29" t="s">
        <v>16258</v>
      </c>
      <c r="Q29" t="s">
        <v>25</v>
      </c>
      <c r="R29" t="s">
        <v>16259</v>
      </c>
      <c r="S29" t="s">
        <v>7506</v>
      </c>
      <c r="T29" t="s">
        <v>16260</v>
      </c>
      <c r="U29" t="s">
        <v>25</v>
      </c>
      <c r="V29" t="s">
        <v>16261</v>
      </c>
    </row>
    <row r="30" spans="1:22">
      <c r="A30" t="s">
        <v>16306</v>
      </c>
      <c r="B30" t="s">
        <v>16248</v>
      </c>
      <c r="C30" t="s">
        <v>16312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16254</v>
      </c>
      <c r="I30" s="18" t="s">
        <v>16255</v>
      </c>
      <c r="J30" t="s">
        <v>16365</v>
      </c>
      <c r="M30" s="3">
        <v>1000</v>
      </c>
      <c r="N30" t="s">
        <v>16239</v>
      </c>
      <c r="O30" t="s">
        <v>7506</v>
      </c>
      <c r="P30" t="s">
        <v>16262</v>
      </c>
      <c r="Q30" t="s">
        <v>25</v>
      </c>
      <c r="R30" t="s">
        <v>16263</v>
      </c>
      <c r="S30" t="s">
        <v>7506</v>
      </c>
      <c r="T30" t="s">
        <v>16231</v>
      </c>
      <c r="U30" t="s">
        <v>25</v>
      </c>
      <c r="V30" t="s">
        <v>16232</v>
      </c>
    </row>
    <row r="31" spans="1:22">
      <c r="A31" t="s">
        <v>16307</v>
      </c>
      <c r="B31" t="s">
        <v>16249</v>
      </c>
      <c r="C31" t="s">
        <v>16313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16254</v>
      </c>
      <c r="I31" s="18" t="s">
        <v>16255</v>
      </c>
      <c r="J31" t="s">
        <v>16365</v>
      </c>
      <c r="M31" s="3">
        <v>1200</v>
      </c>
      <c r="N31" t="s">
        <v>16233</v>
      </c>
      <c r="O31" t="s">
        <v>7506</v>
      </c>
      <c r="P31" t="s">
        <v>16234</v>
      </c>
      <c r="Q31" t="s">
        <v>25</v>
      </c>
      <c r="R31" t="s">
        <v>16235</v>
      </c>
    </row>
    <row r="32" spans="1:22">
      <c r="A32" t="s">
        <v>16308</v>
      </c>
      <c r="B32" t="s">
        <v>16250</v>
      </c>
      <c r="C32" t="s">
        <v>16314</v>
      </c>
      <c r="D32" t="s">
        <v>4479</v>
      </c>
      <c r="E32" s="14" t="s">
        <v>11613</v>
      </c>
      <c r="F32" t="s">
        <v>16236</v>
      </c>
      <c r="G32" s="17" t="str">
        <f>Config!$B$3</f>
        <v>SCH/R_IEC.SchLib</v>
      </c>
      <c r="H32" t="s">
        <v>16254</v>
      </c>
      <c r="I32" s="18" t="s">
        <v>16255</v>
      </c>
      <c r="J32" t="s">
        <v>16365</v>
      </c>
      <c r="M32" s="3">
        <v>1400</v>
      </c>
      <c r="N32" t="s">
        <v>16264</v>
      </c>
      <c r="O32" t="s">
        <v>7506</v>
      </c>
      <c r="P32" t="s">
        <v>16265</v>
      </c>
      <c r="Q32" t="s">
        <v>25</v>
      </c>
      <c r="R32" t="s">
        <v>16266</v>
      </c>
      <c r="S32" t="s">
        <v>7506</v>
      </c>
      <c r="T32" t="s">
        <v>16242</v>
      </c>
      <c r="U32" t="s">
        <v>25</v>
      </c>
      <c r="V32" t="s">
        <v>16243</v>
      </c>
    </row>
    <row r="33" spans="1:22">
      <c r="A33" t="s">
        <v>16366</v>
      </c>
      <c r="B33" t="s">
        <v>16330</v>
      </c>
      <c r="C33" t="s">
        <v>16367</v>
      </c>
      <c r="D33" t="s">
        <v>4479</v>
      </c>
      <c r="E33" s="14" t="s">
        <v>11613</v>
      </c>
      <c r="F33" t="s">
        <v>16332</v>
      </c>
      <c r="G33" s="17" t="str">
        <f>Config!$B$3</f>
        <v>SCH/R_IEC.SchLib</v>
      </c>
      <c r="H33" t="s">
        <v>16254</v>
      </c>
      <c r="I33" s="18" t="s">
        <v>16255</v>
      </c>
      <c r="J33" t="s">
        <v>16365</v>
      </c>
      <c r="M33" s="3">
        <v>1600</v>
      </c>
      <c r="N33" t="s">
        <v>16333</v>
      </c>
      <c r="O33" t="s">
        <v>7506</v>
      </c>
      <c r="P33" t="s">
        <v>16334</v>
      </c>
      <c r="Q33" t="s">
        <v>25</v>
      </c>
      <c r="R33" t="s">
        <v>16335</v>
      </c>
      <c r="S33" t="s">
        <v>7506</v>
      </c>
      <c r="T33" t="s">
        <v>16336</v>
      </c>
      <c r="U33" t="s">
        <v>25</v>
      </c>
      <c r="V33" t="s">
        <v>16337</v>
      </c>
    </row>
    <row r="34" spans="1:22">
      <c r="A34" t="s">
        <v>16309</v>
      </c>
      <c r="B34" t="s">
        <v>16251</v>
      </c>
      <c r="C34" t="s">
        <v>16315</v>
      </c>
      <c r="D34" t="s">
        <v>4479</v>
      </c>
      <c r="E34" s="14" t="s">
        <v>11613</v>
      </c>
      <c r="F34" t="s">
        <v>16237</v>
      </c>
      <c r="G34" s="17" t="str">
        <f>Config!$B$3</f>
        <v>SCH/R_IEC.SchLib</v>
      </c>
      <c r="H34" t="s">
        <v>16254</v>
      </c>
      <c r="I34" s="18" t="s">
        <v>16255</v>
      </c>
      <c r="J34" t="s">
        <v>16365</v>
      </c>
      <c r="M34" s="3">
        <v>2500</v>
      </c>
      <c r="N34" t="s">
        <v>16240</v>
      </c>
      <c r="O34" t="s">
        <v>7506</v>
      </c>
      <c r="P34" t="s">
        <v>16244</v>
      </c>
      <c r="Q34" t="s">
        <v>25</v>
      </c>
      <c r="R34" t="s">
        <v>16245</v>
      </c>
    </row>
    <row r="35" spans="1:22">
      <c r="A35" t="s">
        <v>16310</v>
      </c>
      <c r="B35" t="s">
        <v>16252</v>
      </c>
      <c r="C35" t="s">
        <v>16316</v>
      </c>
      <c r="D35" t="s">
        <v>4479</v>
      </c>
      <c r="E35" s="14" t="s">
        <v>11613</v>
      </c>
      <c r="F35" t="s">
        <v>16238</v>
      </c>
      <c r="G35" s="17" t="str">
        <f>Config!$B$3</f>
        <v>SCH/R_IEC.SchLib</v>
      </c>
      <c r="H35" t="s">
        <v>16254</v>
      </c>
      <c r="I35" s="18" t="s">
        <v>16255</v>
      </c>
      <c r="J35" t="s">
        <v>16365</v>
      </c>
      <c r="M35" s="3">
        <v>3500</v>
      </c>
      <c r="N35" t="s">
        <v>16241</v>
      </c>
      <c r="O35" t="s">
        <v>7506</v>
      </c>
      <c r="P35" t="s">
        <v>16246</v>
      </c>
      <c r="Q35" t="s">
        <v>25</v>
      </c>
      <c r="R35" t="s">
        <v>16247</v>
      </c>
    </row>
    <row r="36" spans="1:22">
      <c r="A36" t="s">
        <v>16368</v>
      </c>
      <c r="B36" t="s">
        <v>16340</v>
      </c>
      <c r="C36" t="s">
        <v>16369</v>
      </c>
      <c r="D36" t="s">
        <v>4479</v>
      </c>
      <c r="E36" s="14" t="s">
        <v>11613</v>
      </c>
      <c r="F36" t="s">
        <v>16338</v>
      </c>
      <c r="G36" s="17" t="str">
        <f>Config!$B$3</f>
        <v>SCH/R_IEC.SchLib</v>
      </c>
      <c r="H36" t="s">
        <v>16254</v>
      </c>
      <c r="I36" s="18" t="s">
        <v>16255</v>
      </c>
      <c r="J36" t="s">
        <v>16365</v>
      </c>
      <c r="M36" s="3">
        <v>4500</v>
      </c>
      <c r="N36" t="s">
        <v>16346</v>
      </c>
      <c r="O36" t="s">
        <v>7506</v>
      </c>
      <c r="P36" t="s">
        <v>16347</v>
      </c>
      <c r="Q36" t="s">
        <v>25</v>
      </c>
      <c r="R36" t="s">
        <v>16348</v>
      </c>
    </row>
    <row r="37" spans="1:22">
      <c r="A37" t="s">
        <v>16370</v>
      </c>
      <c r="B37" t="s">
        <v>16343</v>
      </c>
      <c r="C37" t="s">
        <v>16371</v>
      </c>
      <c r="D37" t="s">
        <v>4479</v>
      </c>
      <c r="E37" s="14" t="s">
        <v>11613</v>
      </c>
      <c r="F37" t="s">
        <v>16345</v>
      </c>
      <c r="G37" s="17" t="str">
        <f>Config!$B$3</f>
        <v>SCH/R_IEC.SchLib</v>
      </c>
      <c r="H37" t="s">
        <v>16254</v>
      </c>
      <c r="I37" s="18" t="s">
        <v>16255</v>
      </c>
      <c r="J37" t="s">
        <v>16365</v>
      </c>
      <c r="M37" s="3">
        <v>5500</v>
      </c>
      <c r="N37" t="s">
        <v>16349</v>
      </c>
      <c r="O37" t="s">
        <v>7506</v>
      </c>
      <c r="P37" t="s">
        <v>16350</v>
      </c>
      <c r="Q37" t="s">
        <v>25</v>
      </c>
      <c r="R37" t="s">
        <v>16351</v>
      </c>
    </row>
    <row r="38" spans="1:22">
      <c r="A38" t="s">
        <v>16317</v>
      </c>
      <c r="B38" t="s">
        <v>16269</v>
      </c>
      <c r="C38" t="s">
        <v>16318</v>
      </c>
      <c r="D38" t="s">
        <v>4479</v>
      </c>
      <c r="E38" s="14" t="s">
        <v>11613</v>
      </c>
      <c r="F38" t="s">
        <v>16253</v>
      </c>
      <c r="G38" s="17" t="str">
        <f>Config!$B$3</f>
        <v>SCH/R_IEC.SchLib</v>
      </c>
      <c r="H38" t="s">
        <v>16254</v>
      </c>
      <c r="I38" s="18" t="s">
        <v>16255</v>
      </c>
      <c r="J38" t="s">
        <v>16372</v>
      </c>
      <c r="M38" s="3">
        <v>800</v>
      </c>
      <c r="N38" t="s">
        <v>16257</v>
      </c>
      <c r="O38" t="s">
        <v>7506</v>
      </c>
      <c r="P38" t="s">
        <v>16258</v>
      </c>
      <c r="Q38" t="s">
        <v>25</v>
      </c>
      <c r="R38" t="s">
        <v>16259</v>
      </c>
      <c r="S38" t="s">
        <v>7506</v>
      </c>
      <c r="T38" t="s">
        <v>16260</v>
      </c>
      <c r="U38" t="s">
        <v>25</v>
      </c>
      <c r="V38" t="s">
        <v>16261</v>
      </c>
    </row>
    <row r="39" spans="1:22">
      <c r="A39" t="s">
        <v>16319</v>
      </c>
      <c r="B39" t="s">
        <v>16248</v>
      </c>
      <c r="C39" t="s">
        <v>16320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16254</v>
      </c>
      <c r="I39" s="18" t="s">
        <v>16255</v>
      </c>
      <c r="J39" t="s">
        <v>16372</v>
      </c>
      <c r="M39" s="3">
        <v>1000</v>
      </c>
      <c r="N39" t="s">
        <v>16239</v>
      </c>
      <c r="O39" t="s">
        <v>7506</v>
      </c>
      <c r="P39" t="s">
        <v>16262</v>
      </c>
      <c r="Q39" t="s">
        <v>25</v>
      </c>
      <c r="R39" t="s">
        <v>16263</v>
      </c>
      <c r="S39" t="s">
        <v>7506</v>
      </c>
      <c r="T39" t="s">
        <v>16231</v>
      </c>
      <c r="U39" t="s">
        <v>25</v>
      </c>
      <c r="V39" t="s">
        <v>16232</v>
      </c>
    </row>
    <row r="40" spans="1:22">
      <c r="A40" t="s">
        <v>16321</v>
      </c>
      <c r="B40" t="s">
        <v>16249</v>
      </c>
      <c r="C40" t="s">
        <v>16322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16254</v>
      </c>
      <c r="I40" s="18" t="s">
        <v>16255</v>
      </c>
      <c r="J40" t="s">
        <v>16372</v>
      </c>
      <c r="M40" s="3">
        <v>1200</v>
      </c>
      <c r="N40" t="s">
        <v>16233</v>
      </c>
      <c r="O40" t="s">
        <v>7506</v>
      </c>
      <c r="P40" t="s">
        <v>16234</v>
      </c>
      <c r="Q40" t="s">
        <v>25</v>
      </c>
      <c r="R40" t="s">
        <v>16235</v>
      </c>
    </row>
    <row r="41" spans="1:22">
      <c r="A41" t="s">
        <v>16323</v>
      </c>
      <c r="B41" t="s">
        <v>16250</v>
      </c>
      <c r="C41" t="s">
        <v>16324</v>
      </c>
      <c r="D41" t="s">
        <v>4479</v>
      </c>
      <c r="E41" s="14" t="s">
        <v>11613</v>
      </c>
      <c r="F41" t="s">
        <v>16236</v>
      </c>
      <c r="G41" s="17" t="str">
        <f>Config!$B$3</f>
        <v>SCH/R_IEC.SchLib</v>
      </c>
      <c r="H41" t="s">
        <v>16254</v>
      </c>
      <c r="I41" s="18" t="s">
        <v>16255</v>
      </c>
      <c r="J41" t="s">
        <v>16372</v>
      </c>
      <c r="M41" s="3">
        <v>1400</v>
      </c>
      <c r="N41" t="s">
        <v>16264</v>
      </c>
      <c r="O41" t="s">
        <v>7506</v>
      </c>
      <c r="P41" t="s">
        <v>16265</v>
      </c>
      <c r="Q41" t="s">
        <v>25</v>
      </c>
      <c r="R41" t="s">
        <v>16266</v>
      </c>
      <c r="S41" t="s">
        <v>7506</v>
      </c>
      <c r="T41" t="s">
        <v>16242</v>
      </c>
      <c r="U41" t="s">
        <v>25</v>
      </c>
      <c r="V41" t="s">
        <v>16243</v>
      </c>
    </row>
    <row r="42" spans="1:22">
      <c r="A42" t="s">
        <v>16373</v>
      </c>
      <c r="B42" t="s">
        <v>16330</v>
      </c>
      <c r="C42" t="s">
        <v>16374</v>
      </c>
      <c r="D42" t="s">
        <v>4479</v>
      </c>
      <c r="E42" s="14" t="s">
        <v>11613</v>
      </c>
      <c r="F42" t="s">
        <v>16332</v>
      </c>
      <c r="G42" s="17" t="str">
        <f>Config!$B$3</f>
        <v>SCH/R_IEC.SchLib</v>
      </c>
      <c r="H42" t="s">
        <v>16254</v>
      </c>
      <c r="I42" s="18" t="s">
        <v>16255</v>
      </c>
      <c r="J42" t="s">
        <v>16372</v>
      </c>
      <c r="M42" s="3">
        <v>1600</v>
      </c>
      <c r="N42" t="s">
        <v>16333</v>
      </c>
      <c r="O42" t="s">
        <v>7506</v>
      </c>
      <c r="P42" t="s">
        <v>16334</v>
      </c>
      <c r="Q42" t="s">
        <v>25</v>
      </c>
      <c r="R42" t="s">
        <v>16335</v>
      </c>
      <c r="S42" t="s">
        <v>7506</v>
      </c>
      <c r="T42" t="s">
        <v>16336</v>
      </c>
      <c r="U42" t="s">
        <v>25</v>
      </c>
      <c r="V42" t="s">
        <v>16337</v>
      </c>
    </row>
    <row r="43" spans="1:22">
      <c r="A43" t="s">
        <v>16325</v>
      </c>
      <c r="B43" t="s">
        <v>16251</v>
      </c>
      <c r="C43" t="s">
        <v>16326</v>
      </c>
      <c r="D43" t="s">
        <v>4479</v>
      </c>
      <c r="E43" s="14" t="s">
        <v>11613</v>
      </c>
      <c r="F43" t="s">
        <v>16237</v>
      </c>
      <c r="G43" s="17" t="str">
        <f>Config!$B$3</f>
        <v>SCH/R_IEC.SchLib</v>
      </c>
      <c r="H43" t="s">
        <v>16254</v>
      </c>
      <c r="I43" s="18" t="s">
        <v>16255</v>
      </c>
      <c r="J43" t="s">
        <v>16372</v>
      </c>
      <c r="M43" s="3">
        <v>2500</v>
      </c>
      <c r="N43" t="s">
        <v>16240</v>
      </c>
      <c r="O43" t="s">
        <v>7506</v>
      </c>
      <c r="P43" t="s">
        <v>16244</v>
      </c>
      <c r="Q43" t="s">
        <v>25</v>
      </c>
      <c r="R43" t="s">
        <v>16245</v>
      </c>
    </row>
    <row r="44" spans="1:22">
      <c r="A44" t="s">
        <v>16327</v>
      </c>
      <c r="B44" t="s">
        <v>16252</v>
      </c>
      <c r="C44" t="s">
        <v>16328</v>
      </c>
      <c r="D44" t="s">
        <v>4479</v>
      </c>
      <c r="E44" s="14" t="s">
        <v>11613</v>
      </c>
      <c r="F44" t="s">
        <v>16238</v>
      </c>
      <c r="G44" s="17" t="str">
        <f>Config!$B$3</f>
        <v>SCH/R_IEC.SchLib</v>
      </c>
      <c r="H44" t="s">
        <v>16254</v>
      </c>
      <c r="I44" s="18" t="s">
        <v>16255</v>
      </c>
      <c r="J44" t="s">
        <v>16372</v>
      </c>
      <c r="M44" s="3">
        <v>3500</v>
      </c>
      <c r="N44" t="s">
        <v>16241</v>
      </c>
      <c r="O44" t="s">
        <v>7506</v>
      </c>
      <c r="P44" t="s">
        <v>16246</v>
      </c>
      <c r="Q44" t="s">
        <v>25</v>
      </c>
      <c r="R44" t="s">
        <v>16247</v>
      </c>
    </row>
    <row r="45" spans="1:22">
      <c r="A45" t="s">
        <v>16375</v>
      </c>
      <c r="B45" t="s">
        <v>16340</v>
      </c>
      <c r="C45" t="s">
        <v>16376</v>
      </c>
      <c r="D45" t="s">
        <v>4479</v>
      </c>
      <c r="E45" s="14" t="s">
        <v>11613</v>
      </c>
      <c r="F45" t="s">
        <v>16338</v>
      </c>
      <c r="G45" s="17" t="str">
        <f>Config!$B$3</f>
        <v>SCH/R_IEC.SchLib</v>
      </c>
      <c r="H45" t="s">
        <v>16254</v>
      </c>
      <c r="I45" s="18" t="s">
        <v>16255</v>
      </c>
      <c r="J45" t="s">
        <v>16372</v>
      </c>
      <c r="M45" s="3">
        <v>4500</v>
      </c>
      <c r="N45" t="s">
        <v>16346</v>
      </c>
      <c r="O45" t="s">
        <v>7506</v>
      </c>
      <c r="P45" t="s">
        <v>16347</v>
      </c>
      <c r="Q45" t="s">
        <v>25</v>
      </c>
      <c r="R45" t="s">
        <v>16348</v>
      </c>
    </row>
    <row r="46" spans="1:22">
      <c r="A46" t="s">
        <v>16377</v>
      </c>
      <c r="B46" t="s">
        <v>16343</v>
      </c>
      <c r="C46" t="s">
        <v>16378</v>
      </c>
      <c r="D46" t="s">
        <v>4479</v>
      </c>
      <c r="E46" s="14" t="s">
        <v>11613</v>
      </c>
      <c r="F46" t="s">
        <v>16345</v>
      </c>
      <c r="G46" s="17" t="str">
        <f>Config!$B$3</f>
        <v>SCH/R_IEC.SchLib</v>
      </c>
      <c r="H46" t="s">
        <v>16254</v>
      </c>
      <c r="I46" s="18" t="s">
        <v>16255</v>
      </c>
      <c r="J46" t="s">
        <v>16372</v>
      </c>
      <c r="M46" s="3">
        <v>5500</v>
      </c>
      <c r="N46" t="s">
        <v>16349</v>
      </c>
      <c r="O46" t="s">
        <v>7506</v>
      </c>
      <c r="P46" t="s">
        <v>16350</v>
      </c>
      <c r="Q46" t="s">
        <v>25</v>
      </c>
      <c r="R46" t="s">
        <v>16351</v>
      </c>
    </row>
    <row r="48" spans="1:22">
      <c r="A48" t="s">
        <v>16379</v>
      </c>
      <c r="B48" t="s">
        <v>16269</v>
      </c>
      <c r="C48" t="s">
        <v>16517</v>
      </c>
      <c r="D48" t="s">
        <v>4479</v>
      </c>
      <c r="E48" s="14" t="s">
        <v>11613</v>
      </c>
      <c r="F48" t="s">
        <v>16253</v>
      </c>
      <c r="G48" s="17" t="str">
        <f>Config!$B$3</f>
        <v>SCH/R_IEC.SchLib</v>
      </c>
      <c r="H48" t="s">
        <v>16254</v>
      </c>
      <c r="I48" s="18" t="s">
        <v>16255</v>
      </c>
      <c r="J48" t="s">
        <v>16424</v>
      </c>
      <c r="M48" s="3">
        <v>800</v>
      </c>
      <c r="N48" t="s">
        <v>16257</v>
      </c>
      <c r="O48" t="s">
        <v>7506</v>
      </c>
      <c r="P48" t="s">
        <v>16258</v>
      </c>
      <c r="Q48" t="s">
        <v>25</v>
      </c>
      <c r="R48" t="s">
        <v>16259</v>
      </c>
      <c r="S48" t="s">
        <v>7506</v>
      </c>
      <c r="T48" t="s">
        <v>16260</v>
      </c>
      <c r="U48" t="s">
        <v>25</v>
      </c>
      <c r="V48" t="s">
        <v>16261</v>
      </c>
    </row>
    <row r="49" spans="1:22">
      <c r="A49" t="s">
        <v>16380</v>
      </c>
      <c r="B49" t="s">
        <v>16248</v>
      </c>
      <c r="C49" t="s">
        <v>16518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16254</v>
      </c>
      <c r="I49" s="18" t="s">
        <v>16255</v>
      </c>
      <c r="J49" t="s">
        <v>16424</v>
      </c>
      <c r="M49" s="3">
        <v>1000</v>
      </c>
      <c r="N49" t="s">
        <v>16239</v>
      </c>
      <c r="O49" t="s">
        <v>7506</v>
      </c>
      <c r="P49" t="s">
        <v>16262</v>
      </c>
      <c r="Q49" t="s">
        <v>25</v>
      </c>
      <c r="R49" t="s">
        <v>16263</v>
      </c>
      <c r="S49" t="s">
        <v>7506</v>
      </c>
      <c r="T49" t="s">
        <v>16231</v>
      </c>
      <c r="U49" t="s">
        <v>25</v>
      </c>
      <c r="V49" t="s">
        <v>16232</v>
      </c>
    </row>
    <row r="50" spans="1:22">
      <c r="A50" t="s">
        <v>16381</v>
      </c>
      <c r="B50" t="s">
        <v>16249</v>
      </c>
      <c r="C50" t="s">
        <v>16519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16254</v>
      </c>
      <c r="I50" s="18" t="s">
        <v>16255</v>
      </c>
      <c r="J50" t="s">
        <v>16424</v>
      </c>
      <c r="M50" s="3">
        <v>1200</v>
      </c>
      <c r="N50" t="s">
        <v>16233</v>
      </c>
      <c r="O50" t="s">
        <v>7506</v>
      </c>
      <c r="P50" t="s">
        <v>16234</v>
      </c>
      <c r="Q50" t="s">
        <v>25</v>
      </c>
      <c r="R50" t="s">
        <v>16235</v>
      </c>
    </row>
    <row r="51" spans="1:22">
      <c r="A51" t="s">
        <v>16382</v>
      </c>
      <c r="B51" t="s">
        <v>16250</v>
      </c>
      <c r="C51" t="s">
        <v>16520</v>
      </c>
      <c r="D51" t="s">
        <v>4479</v>
      </c>
      <c r="E51" s="14" t="s">
        <v>11613</v>
      </c>
      <c r="F51" t="s">
        <v>16236</v>
      </c>
      <c r="G51" s="17" t="str">
        <f>Config!$B$3</f>
        <v>SCH/R_IEC.SchLib</v>
      </c>
      <c r="H51" t="s">
        <v>16254</v>
      </c>
      <c r="I51" s="18" t="s">
        <v>16255</v>
      </c>
      <c r="J51" t="s">
        <v>16424</v>
      </c>
      <c r="M51" s="3">
        <v>1400</v>
      </c>
      <c r="N51" t="s">
        <v>16264</v>
      </c>
      <c r="O51" t="s">
        <v>7506</v>
      </c>
      <c r="P51" t="s">
        <v>16265</v>
      </c>
      <c r="Q51" t="s">
        <v>25</v>
      </c>
      <c r="R51" t="s">
        <v>16266</v>
      </c>
      <c r="S51" t="s">
        <v>7506</v>
      </c>
      <c r="T51" t="s">
        <v>16242</v>
      </c>
      <c r="U51" t="s">
        <v>25</v>
      </c>
      <c r="V51" t="s">
        <v>16243</v>
      </c>
    </row>
    <row r="52" spans="1:22">
      <c r="A52" t="s">
        <v>16383</v>
      </c>
      <c r="B52" t="s">
        <v>16330</v>
      </c>
      <c r="C52" t="s">
        <v>16521</v>
      </c>
      <c r="D52" t="s">
        <v>4479</v>
      </c>
      <c r="E52" s="14" t="s">
        <v>11613</v>
      </c>
      <c r="F52" t="s">
        <v>16332</v>
      </c>
      <c r="G52" s="17" t="str">
        <f>Config!$B$3</f>
        <v>SCH/R_IEC.SchLib</v>
      </c>
      <c r="H52" t="s">
        <v>16254</v>
      </c>
      <c r="I52" s="18" t="s">
        <v>16255</v>
      </c>
      <c r="J52" t="s">
        <v>16424</v>
      </c>
      <c r="M52" s="3">
        <v>1600</v>
      </c>
      <c r="N52" t="s">
        <v>16333</v>
      </c>
      <c r="O52" t="s">
        <v>7506</v>
      </c>
      <c r="P52" t="s">
        <v>16334</v>
      </c>
      <c r="Q52" t="s">
        <v>25</v>
      </c>
      <c r="R52" t="s">
        <v>16335</v>
      </c>
      <c r="S52" t="s">
        <v>7506</v>
      </c>
      <c r="T52" t="s">
        <v>16336</v>
      </c>
      <c r="U52" t="s">
        <v>25</v>
      </c>
      <c r="V52" t="s">
        <v>16337</v>
      </c>
    </row>
    <row r="53" spans="1:22">
      <c r="A53" t="s">
        <v>16384</v>
      </c>
      <c r="B53" t="s">
        <v>16251</v>
      </c>
      <c r="C53" t="s">
        <v>16522</v>
      </c>
      <c r="D53" t="s">
        <v>4479</v>
      </c>
      <c r="E53" s="14" t="s">
        <v>11613</v>
      </c>
      <c r="F53" t="s">
        <v>16237</v>
      </c>
      <c r="G53" s="17" t="str">
        <f>Config!$B$3</f>
        <v>SCH/R_IEC.SchLib</v>
      </c>
      <c r="H53" t="s">
        <v>16254</v>
      </c>
      <c r="I53" s="18" t="s">
        <v>16255</v>
      </c>
      <c r="J53" t="s">
        <v>16424</v>
      </c>
      <c r="M53" s="3">
        <v>2500</v>
      </c>
      <c r="N53" t="s">
        <v>16240</v>
      </c>
      <c r="O53" t="s">
        <v>7506</v>
      </c>
      <c r="P53" t="s">
        <v>16244</v>
      </c>
      <c r="Q53" t="s">
        <v>25</v>
      </c>
      <c r="R53" t="s">
        <v>16245</v>
      </c>
    </row>
    <row r="54" spans="1:22">
      <c r="A54" t="s">
        <v>16385</v>
      </c>
      <c r="B54" t="s">
        <v>16252</v>
      </c>
      <c r="C54" t="s">
        <v>16523</v>
      </c>
      <c r="D54" t="s">
        <v>4479</v>
      </c>
      <c r="E54" s="14" t="s">
        <v>11613</v>
      </c>
      <c r="F54" t="s">
        <v>16238</v>
      </c>
      <c r="G54" s="17" t="str">
        <f>Config!$B$3</f>
        <v>SCH/R_IEC.SchLib</v>
      </c>
      <c r="H54" t="s">
        <v>16254</v>
      </c>
      <c r="I54" s="18" t="s">
        <v>16255</v>
      </c>
      <c r="J54" t="s">
        <v>16424</v>
      </c>
      <c r="M54" s="3">
        <v>3500</v>
      </c>
      <c r="N54" t="s">
        <v>16241</v>
      </c>
      <c r="O54" t="s">
        <v>7506</v>
      </c>
      <c r="P54" t="s">
        <v>16246</v>
      </c>
      <c r="Q54" t="s">
        <v>25</v>
      </c>
      <c r="R54" t="s">
        <v>16247</v>
      </c>
    </row>
    <row r="55" spans="1:22">
      <c r="A55" t="s">
        <v>16386</v>
      </c>
      <c r="B55" t="s">
        <v>16340</v>
      </c>
      <c r="C55" t="s">
        <v>16524</v>
      </c>
      <c r="D55" t="s">
        <v>4479</v>
      </c>
      <c r="E55" s="14" t="s">
        <v>11613</v>
      </c>
      <c r="F55" t="s">
        <v>16338</v>
      </c>
      <c r="G55" s="17" t="str">
        <f>Config!$B$3</f>
        <v>SCH/R_IEC.SchLib</v>
      </c>
      <c r="H55" t="s">
        <v>16254</v>
      </c>
      <c r="I55" s="18" t="s">
        <v>16255</v>
      </c>
      <c r="J55" t="s">
        <v>16424</v>
      </c>
      <c r="M55" s="3">
        <v>4500</v>
      </c>
      <c r="N55" t="s">
        <v>16346</v>
      </c>
      <c r="O55" t="s">
        <v>7506</v>
      </c>
      <c r="P55" t="s">
        <v>16347</v>
      </c>
      <c r="Q55" t="s">
        <v>25</v>
      </c>
      <c r="R55" t="s">
        <v>16348</v>
      </c>
    </row>
    <row r="56" spans="1:22">
      <c r="A56" t="s">
        <v>16387</v>
      </c>
      <c r="B56" t="s">
        <v>16343</v>
      </c>
      <c r="C56" t="s">
        <v>16525</v>
      </c>
      <c r="D56" t="s">
        <v>4479</v>
      </c>
      <c r="E56" s="14" t="s">
        <v>11613</v>
      </c>
      <c r="F56" t="s">
        <v>16345</v>
      </c>
      <c r="G56" s="17" t="str">
        <f>Config!$B$3</f>
        <v>SCH/R_IEC.SchLib</v>
      </c>
      <c r="H56" t="s">
        <v>16254</v>
      </c>
      <c r="I56" s="18" t="s">
        <v>16255</v>
      </c>
      <c r="J56" t="s">
        <v>16424</v>
      </c>
      <c r="M56" s="3">
        <v>5500</v>
      </c>
      <c r="N56" t="s">
        <v>16349</v>
      </c>
      <c r="O56" t="s">
        <v>7506</v>
      </c>
      <c r="P56" t="s">
        <v>16350</v>
      </c>
      <c r="Q56" t="s">
        <v>25</v>
      </c>
      <c r="R56" t="s">
        <v>16351</v>
      </c>
    </row>
    <row r="57" spans="1:22">
      <c r="A57" t="s">
        <v>16388</v>
      </c>
      <c r="B57" t="s">
        <v>16269</v>
      </c>
      <c r="C57" t="s">
        <v>16526</v>
      </c>
      <c r="D57" t="s">
        <v>4479</v>
      </c>
      <c r="E57" s="14" t="s">
        <v>11613</v>
      </c>
      <c r="F57" t="s">
        <v>16253</v>
      </c>
      <c r="G57" s="17" t="str">
        <f>Config!$B$3</f>
        <v>SCH/R_IEC.SchLib</v>
      </c>
      <c r="H57" t="s">
        <v>16254</v>
      </c>
      <c r="I57" s="18" t="s">
        <v>16255</v>
      </c>
      <c r="J57" t="s">
        <v>16424</v>
      </c>
      <c r="M57" s="3">
        <v>800</v>
      </c>
      <c r="N57" t="s">
        <v>16257</v>
      </c>
      <c r="O57" t="s">
        <v>7506</v>
      </c>
      <c r="P57" t="s">
        <v>16258</v>
      </c>
      <c r="Q57" t="s">
        <v>25</v>
      </c>
      <c r="R57" t="s">
        <v>16259</v>
      </c>
      <c r="S57" t="s">
        <v>7506</v>
      </c>
      <c r="T57" t="s">
        <v>16260</v>
      </c>
      <c r="U57" t="s">
        <v>25</v>
      </c>
      <c r="V57" t="s">
        <v>16261</v>
      </c>
    </row>
    <row r="58" spans="1:22">
      <c r="A58" t="s">
        <v>16389</v>
      </c>
      <c r="B58" t="s">
        <v>16248</v>
      </c>
      <c r="C58" t="s">
        <v>16527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16254</v>
      </c>
      <c r="I58" s="18" t="s">
        <v>16255</v>
      </c>
      <c r="J58" t="s">
        <v>16424</v>
      </c>
      <c r="M58" s="3">
        <v>1000</v>
      </c>
      <c r="N58" t="s">
        <v>16239</v>
      </c>
      <c r="O58" t="s">
        <v>7506</v>
      </c>
      <c r="P58" t="s">
        <v>16262</v>
      </c>
      <c r="Q58" t="s">
        <v>25</v>
      </c>
      <c r="R58" t="s">
        <v>16263</v>
      </c>
      <c r="S58" t="s">
        <v>7506</v>
      </c>
      <c r="T58" t="s">
        <v>16231</v>
      </c>
      <c r="U58" t="s">
        <v>25</v>
      </c>
      <c r="V58" t="s">
        <v>16232</v>
      </c>
    </row>
    <row r="59" spans="1:22">
      <c r="A59" t="s">
        <v>16390</v>
      </c>
      <c r="B59" t="s">
        <v>16249</v>
      </c>
      <c r="C59" t="s">
        <v>16528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16254</v>
      </c>
      <c r="I59" s="18" t="s">
        <v>16255</v>
      </c>
      <c r="J59" t="s">
        <v>16424</v>
      </c>
      <c r="M59" s="3">
        <v>1200</v>
      </c>
      <c r="N59" t="s">
        <v>16233</v>
      </c>
      <c r="O59" t="s">
        <v>7506</v>
      </c>
      <c r="P59" t="s">
        <v>16234</v>
      </c>
      <c r="Q59" t="s">
        <v>25</v>
      </c>
      <c r="R59" t="s">
        <v>16235</v>
      </c>
    </row>
    <row r="60" spans="1:22">
      <c r="A60" t="s">
        <v>16391</v>
      </c>
      <c r="B60" t="s">
        <v>16250</v>
      </c>
      <c r="C60" t="s">
        <v>16529</v>
      </c>
      <c r="D60" t="s">
        <v>4479</v>
      </c>
      <c r="E60" s="14" t="s">
        <v>11613</v>
      </c>
      <c r="F60" t="s">
        <v>16236</v>
      </c>
      <c r="G60" s="17" t="str">
        <f>Config!$B$3</f>
        <v>SCH/R_IEC.SchLib</v>
      </c>
      <c r="H60" t="s">
        <v>16254</v>
      </c>
      <c r="I60" s="18" t="s">
        <v>16255</v>
      </c>
      <c r="J60" t="s">
        <v>16424</v>
      </c>
      <c r="M60" s="3">
        <v>1400</v>
      </c>
      <c r="N60" t="s">
        <v>16264</v>
      </c>
      <c r="O60" t="s">
        <v>7506</v>
      </c>
      <c r="P60" t="s">
        <v>16265</v>
      </c>
      <c r="Q60" t="s">
        <v>25</v>
      </c>
      <c r="R60" t="s">
        <v>16266</v>
      </c>
      <c r="S60" t="s">
        <v>7506</v>
      </c>
      <c r="T60" t="s">
        <v>16242</v>
      </c>
      <c r="U60" t="s">
        <v>25</v>
      </c>
      <c r="V60" t="s">
        <v>16243</v>
      </c>
    </row>
    <row r="61" spans="1:22">
      <c r="A61" t="s">
        <v>16392</v>
      </c>
      <c r="B61" t="s">
        <v>16330</v>
      </c>
      <c r="C61" t="s">
        <v>16530</v>
      </c>
      <c r="D61" t="s">
        <v>4479</v>
      </c>
      <c r="E61" s="14" t="s">
        <v>11613</v>
      </c>
      <c r="F61" t="s">
        <v>16332</v>
      </c>
      <c r="G61" s="17" t="str">
        <f>Config!$B$3</f>
        <v>SCH/R_IEC.SchLib</v>
      </c>
      <c r="H61" t="s">
        <v>16254</v>
      </c>
      <c r="I61" s="18" t="s">
        <v>16255</v>
      </c>
      <c r="J61" t="s">
        <v>16424</v>
      </c>
      <c r="M61" s="3">
        <v>1600</v>
      </c>
      <c r="N61" t="s">
        <v>16333</v>
      </c>
      <c r="O61" t="s">
        <v>7506</v>
      </c>
      <c r="P61" t="s">
        <v>16334</v>
      </c>
      <c r="Q61" t="s">
        <v>25</v>
      </c>
      <c r="R61" t="s">
        <v>16335</v>
      </c>
      <c r="S61" t="s">
        <v>7506</v>
      </c>
      <c r="T61" t="s">
        <v>16336</v>
      </c>
      <c r="U61" t="s">
        <v>25</v>
      </c>
      <c r="V61" t="s">
        <v>16337</v>
      </c>
    </row>
    <row r="62" spans="1:22">
      <c r="A62" t="s">
        <v>16393</v>
      </c>
      <c r="B62" t="s">
        <v>16251</v>
      </c>
      <c r="C62" t="s">
        <v>16531</v>
      </c>
      <c r="D62" t="s">
        <v>4479</v>
      </c>
      <c r="E62" s="14" t="s">
        <v>11613</v>
      </c>
      <c r="F62" t="s">
        <v>16237</v>
      </c>
      <c r="G62" s="17" t="str">
        <f>Config!$B$3</f>
        <v>SCH/R_IEC.SchLib</v>
      </c>
      <c r="H62" t="s">
        <v>16254</v>
      </c>
      <c r="I62" s="18" t="s">
        <v>16255</v>
      </c>
      <c r="J62" t="s">
        <v>16424</v>
      </c>
      <c r="M62" s="3">
        <v>2500</v>
      </c>
      <c r="N62" t="s">
        <v>16240</v>
      </c>
      <c r="O62" t="s">
        <v>7506</v>
      </c>
      <c r="P62" t="s">
        <v>16244</v>
      </c>
      <c r="Q62" t="s">
        <v>25</v>
      </c>
      <c r="R62" t="s">
        <v>16245</v>
      </c>
    </row>
    <row r="63" spans="1:22">
      <c r="A63" t="s">
        <v>16394</v>
      </c>
      <c r="B63" t="s">
        <v>16252</v>
      </c>
      <c r="C63" t="s">
        <v>16532</v>
      </c>
      <c r="D63" t="s">
        <v>4479</v>
      </c>
      <c r="E63" s="14" t="s">
        <v>11613</v>
      </c>
      <c r="F63" t="s">
        <v>16238</v>
      </c>
      <c r="G63" s="17" t="str">
        <f>Config!$B$3</f>
        <v>SCH/R_IEC.SchLib</v>
      </c>
      <c r="H63" t="s">
        <v>16254</v>
      </c>
      <c r="I63" s="18" t="s">
        <v>16255</v>
      </c>
      <c r="J63" t="s">
        <v>16424</v>
      </c>
      <c r="M63" s="3">
        <v>3500</v>
      </c>
      <c r="N63" t="s">
        <v>16241</v>
      </c>
      <c r="O63" t="s">
        <v>7506</v>
      </c>
      <c r="P63" t="s">
        <v>16246</v>
      </c>
      <c r="Q63" t="s">
        <v>25</v>
      </c>
      <c r="R63" t="s">
        <v>16247</v>
      </c>
    </row>
    <row r="64" spans="1:22">
      <c r="A64" t="s">
        <v>16395</v>
      </c>
      <c r="B64" t="s">
        <v>16340</v>
      </c>
      <c r="C64" t="s">
        <v>16533</v>
      </c>
      <c r="D64" t="s">
        <v>4479</v>
      </c>
      <c r="E64" s="14" t="s">
        <v>11613</v>
      </c>
      <c r="F64" t="s">
        <v>16338</v>
      </c>
      <c r="G64" s="17" t="str">
        <f>Config!$B$3</f>
        <v>SCH/R_IEC.SchLib</v>
      </c>
      <c r="H64" t="s">
        <v>16254</v>
      </c>
      <c r="I64" s="18" t="s">
        <v>16255</v>
      </c>
      <c r="J64" t="s">
        <v>16424</v>
      </c>
      <c r="M64" s="3">
        <v>4500</v>
      </c>
      <c r="N64" t="s">
        <v>16346</v>
      </c>
      <c r="O64" t="s">
        <v>7506</v>
      </c>
      <c r="P64" t="s">
        <v>16347</v>
      </c>
      <c r="Q64" t="s">
        <v>25</v>
      </c>
      <c r="R64" t="s">
        <v>16348</v>
      </c>
    </row>
    <row r="65" spans="1:22">
      <c r="A65" t="s">
        <v>16396</v>
      </c>
      <c r="B65" t="s">
        <v>16343</v>
      </c>
      <c r="C65" t="s">
        <v>16534</v>
      </c>
      <c r="D65" t="s">
        <v>4479</v>
      </c>
      <c r="E65" s="14" t="s">
        <v>11613</v>
      </c>
      <c r="F65" t="s">
        <v>16345</v>
      </c>
      <c r="G65" s="17" t="str">
        <f>Config!$B$3</f>
        <v>SCH/R_IEC.SchLib</v>
      </c>
      <c r="H65" t="s">
        <v>16254</v>
      </c>
      <c r="I65" s="18" t="s">
        <v>16255</v>
      </c>
      <c r="J65" t="s">
        <v>16424</v>
      </c>
      <c r="M65" s="3">
        <v>5500</v>
      </c>
      <c r="N65" t="s">
        <v>16349</v>
      </c>
      <c r="O65" t="s">
        <v>7506</v>
      </c>
      <c r="P65" t="s">
        <v>16350</v>
      </c>
      <c r="Q65" t="s">
        <v>25</v>
      </c>
      <c r="R65" t="s">
        <v>16351</v>
      </c>
    </row>
    <row r="66" spans="1:22">
      <c r="A66" t="s">
        <v>16397</v>
      </c>
      <c r="B66" t="s">
        <v>16269</v>
      </c>
      <c r="C66" t="s">
        <v>16535</v>
      </c>
      <c r="D66" t="s">
        <v>4479</v>
      </c>
      <c r="E66" s="14" t="s">
        <v>11613</v>
      </c>
      <c r="F66" t="s">
        <v>16253</v>
      </c>
      <c r="G66" s="17" t="str">
        <f>Config!$B$3</f>
        <v>SCH/R_IEC.SchLib</v>
      </c>
      <c r="H66" t="s">
        <v>16254</v>
      </c>
      <c r="I66" s="18" t="s">
        <v>16255</v>
      </c>
      <c r="J66" t="s">
        <v>16424</v>
      </c>
      <c r="M66" s="3">
        <v>800</v>
      </c>
      <c r="N66" t="s">
        <v>16257</v>
      </c>
      <c r="O66" t="s">
        <v>7506</v>
      </c>
      <c r="P66" t="s">
        <v>16258</v>
      </c>
      <c r="Q66" t="s">
        <v>25</v>
      </c>
      <c r="R66" t="s">
        <v>16259</v>
      </c>
      <c r="S66" t="s">
        <v>7506</v>
      </c>
      <c r="T66" t="s">
        <v>16260</v>
      </c>
      <c r="U66" t="s">
        <v>25</v>
      </c>
      <c r="V66" t="s">
        <v>16261</v>
      </c>
    </row>
    <row r="67" spans="1:22">
      <c r="A67" t="s">
        <v>16398</v>
      </c>
      <c r="B67" t="s">
        <v>16248</v>
      </c>
      <c r="C67" t="s">
        <v>16536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16254</v>
      </c>
      <c r="I67" s="18" t="s">
        <v>16255</v>
      </c>
      <c r="J67" t="s">
        <v>16424</v>
      </c>
      <c r="M67" s="3">
        <v>1000</v>
      </c>
      <c r="N67" t="s">
        <v>16239</v>
      </c>
      <c r="O67" t="s">
        <v>7506</v>
      </c>
      <c r="P67" t="s">
        <v>16262</v>
      </c>
      <c r="Q67" t="s">
        <v>25</v>
      </c>
      <c r="R67" t="s">
        <v>16263</v>
      </c>
      <c r="S67" t="s">
        <v>7506</v>
      </c>
      <c r="T67" t="s">
        <v>16231</v>
      </c>
      <c r="U67" t="s">
        <v>25</v>
      </c>
      <c r="V67" t="s">
        <v>16232</v>
      </c>
    </row>
    <row r="68" spans="1:22">
      <c r="A68" t="s">
        <v>16399</v>
      </c>
      <c r="B68" t="s">
        <v>16249</v>
      </c>
      <c r="C68" t="s">
        <v>16537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16254</v>
      </c>
      <c r="I68" s="18" t="s">
        <v>16255</v>
      </c>
      <c r="J68" t="s">
        <v>16424</v>
      </c>
      <c r="M68" s="3">
        <v>1200</v>
      </c>
      <c r="N68" t="s">
        <v>16233</v>
      </c>
      <c r="O68" t="s">
        <v>7506</v>
      </c>
      <c r="P68" t="s">
        <v>16234</v>
      </c>
      <c r="Q68" t="s">
        <v>25</v>
      </c>
      <c r="R68" t="s">
        <v>16235</v>
      </c>
    </row>
    <row r="69" spans="1:22">
      <c r="A69" t="s">
        <v>16400</v>
      </c>
      <c r="B69" t="s">
        <v>16250</v>
      </c>
      <c r="C69" t="s">
        <v>16538</v>
      </c>
      <c r="D69" t="s">
        <v>4479</v>
      </c>
      <c r="E69" s="14" t="s">
        <v>11613</v>
      </c>
      <c r="F69" t="s">
        <v>16236</v>
      </c>
      <c r="G69" s="17" t="str">
        <f>Config!$B$3</f>
        <v>SCH/R_IEC.SchLib</v>
      </c>
      <c r="H69" t="s">
        <v>16254</v>
      </c>
      <c r="I69" s="18" t="s">
        <v>16255</v>
      </c>
      <c r="J69" t="s">
        <v>16424</v>
      </c>
      <c r="M69" s="3">
        <v>1400</v>
      </c>
      <c r="N69" t="s">
        <v>16264</v>
      </c>
      <c r="O69" t="s">
        <v>7506</v>
      </c>
      <c r="P69" t="s">
        <v>16265</v>
      </c>
      <c r="Q69" t="s">
        <v>25</v>
      </c>
      <c r="R69" t="s">
        <v>16266</v>
      </c>
      <c r="S69" t="s">
        <v>7506</v>
      </c>
      <c r="T69" t="s">
        <v>16242</v>
      </c>
      <c r="U69" t="s">
        <v>25</v>
      </c>
      <c r="V69" t="s">
        <v>16243</v>
      </c>
    </row>
    <row r="70" spans="1:22">
      <c r="A70" t="s">
        <v>16401</v>
      </c>
      <c r="B70" t="s">
        <v>16330</v>
      </c>
      <c r="C70" t="s">
        <v>16539</v>
      </c>
      <c r="D70" t="s">
        <v>4479</v>
      </c>
      <c r="E70" s="14" t="s">
        <v>11613</v>
      </c>
      <c r="F70" t="s">
        <v>16332</v>
      </c>
      <c r="G70" s="17" t="str">
        <f>Config!$B$3</f>
        <v>SCH/R_IEC.SchLib</v>
      </c>
      <c r="H70" t="s">
        <v>16254</v>
      </c>
      <c r="I70" s="18" t="s">
        <v>16255</v>
      </c>
      <c r="J70" t="s">
        <v>16424</v>
      </c>
      <c r="M70" s="3">
        <v>1600</v>
      </c>
      <c r="N70" t="s">
        <v>16333</v>
      </c>
      <c r="O70" t="s">
        <v>7506</v>
      </c>
      <c r="P70" t="s">
        <v>16334</v>
      </c>
      <c r="Q70" t="s">
        <v>25</v>
      </c>
      <c r="R70" t="s">
        <v>16335</v>
      </c>
      <c r="S70" t="s">
        <v>7506</v>
      </c>
      <c r="T70" t="s">
        <v>16336</v>
      </c>
      <c r="U70" t="s">
        <v>25</v>
      </c>
      <c r="V70" t="s">
        <v>16337</v>
      </c>
    </row>
    <row r="71" spans="1:22">
      <c r="A71" t="s">
        <v>16402</v>
      </c>
      <c r="B71" t="s">
        <v>16251</v>
      </c>
      <c r="C71" t="s">
        <v>16540</v>
      </c>
      <c r="D71" t="s">
        <v>4479</v>
      </c>
      <c r="E71" s="14" t="s">
        <v>11613</v>
      </c>
      <c r="F71" t="s">
        <v>16237</v>
      </c>
      <c r="G71" s="17" t="str">
        <f>Config!$B$3</f>
        <v>SCH/R_IEC.SchLib</v>
      </c>
      <c r="H71" t="s">
        <v>16254</v>
      </c>
      <c r="I71" s="18" t="s">
        <v>16255</v>
      </c>
      <c r="J71" t="s">
        <v>16424</v>
      </c>
      <c r="M71" s="3">
        <v>2500</v>
      </c>
      <c r="N71" t="s">
        <v>16240</v>
      </c>
      <c r="O71" t="s">
        <v>7506</v>
      </c>
      <c r="P71" t="s">
        <v>16244</v>
      </c>
      <c r="Q71" t="s">
        <v>25</v>
      </c>
      <c r="R71" t="s">
        <v>16245</v>
      </c>
    </row>
    <row r="72" spans="1:22">
      <c r="A72" t="s">
        <v>16403</v>
      </c>
      <c r="B72" t="s">
        <v>16252</v>
      </c>
      <c r="C72" t="s">
        <v>16541</v>
      </c>
      <c r="D72" t="s">
        <v>4479</v>
      </c>
      <c r="E72" s="14" t="s">
        <v>11613</v>
      </c>
      <c r="F72" t="s">
        <v>16238</v>
      </c>
      <c r="G72" s="17" t="str">
        <f>Config!$B$3</f>
        <v>SCH/R_IEC.SchLib</v>
      </c>
      <c r="H72" t="s">
        <v>16254</v>
      </c>
      <c r="I72" s="18" t="s">
        <v>16255</v>
      </c>
      <c r="J72" t="s">
        <v>16424</v>
      </c>
      <c r="M72" s="3">
        <v>3500</v>
      </c>
      <c r="N72" t="s">
        <v>16241</v>
      </c>
      <c r="O72" t="s">
        <v>7506</v>
      </c>
      <c r="P72" t="s">
        <v>16246</v>
      </c>
      <c r="Q72" t="s">
        <v>25</v>
      </c>
      <c r="R72" t="s">
        <v>16247</v>
      </c>
    </row>
    <row r="73" spans="1:22">
      <c r="A73" t="s">
        <v>16404</v>
      </c>
      <c r="B73" t="s">
        <v>16340</v>
      </c>
      <c r="C73" t="s">
        <v>16542</v>
      </c>
      <c r="D73" t="s">
        <v>4479</v>
      </c>
      <c r="E73" s="14" t="s">
        <v>11613</v>
      </c>
      <c r="F73" t="s">
        <v>16338</v>
      </c>
      <c r="G73" s="17" t="str">
        <f>Config!$B$3</f>
        <v>SCH/R_IEC.SchLib</v>
      </c>
      <c r="H73" t="s">
        <v>16254</v>
      </c>
      <c r="I73" s="18" t="s">
        <v>16255</v>
      </c>
      <c r="J73" t="s">
        <v>16424</v>
      </c>
      <c r="M73" s="3">
        <v>4500</v>
      </c>
      <c r="N73" t="s">
        <v>16346</v>
      </c>
      <c r="O73" t="s">
        <v>7506</v>
      </c>
      <c r="P73" t="s">
        <v>16347</v>
      </c>
      <c r="Q73" t="s">
        <v>25</v>
      </c>
      <c r="R73" t="s">
        <v>16348</v>
      </c>
    </row>
    <row r="74" spans="1:22">
      <c r="A74" t="s">
        <v>16405</v>
      </c>
      <c r="B74" t="s">
        <v>16343</v>
      </c>
      <c r="C74" t="s">
        <v>16543</v>
      </c>
      <c r="D74" t="s">
        <v>4479</v>
      </c>
      <c r="E74" s="14" t="s">
        <v>11613</v>
      </c>
      <c r="F74" t="s">
        <v>16345</v>
      </c>
      <c r="G74" s="17" t="str">
        <f>Config!$B$3</f>
        <v>SCH/R_IEC.SchLib</v>
      </c>
      <c r="H74" t="s">
        <v>16254</v>
      </c>
      <c r="I74" s="18" t="s">
        <v>16255</v>
      </c>
      <c r="J74" t="s">
        <v>16424</v>
      </c>
      <c r="M74" s="3">
        <v>5500</v>
      </c>
      <c r="N74" t="s">
        <v>16349</v>
      </c>
      <c r="O74" t="s">
        <v>7506</v>
      </c>
      <c r="P74" t="s">
        <v>16350</v>
      </c>
      <c r="Q74" t="s">
        <v>25</v>
      </c>
      <c r="R74" t="s">
        <v>16351</v>
      </c>
    </row>
    <row r="75" spans="1:22">
      <c r="A75" t="s">
        <v>16406</v>
      </c>
      <c r="B75" t="s">
        <v>16269</v>
      </c>
      <c r="C75" t="s">
        <v>16544</v>
      </c>
      <c r="D75" t="s">
        <v>4479</v>
      </c>
      <c r="E75" s="14" t="s">
        <v>11613</v>
      </c>
      <c r="F75" t="s">
        <v>16253</v>
      </c>
      <c r="G75" s="17" t="str">
        <f>Config!$B$3</f>
        <v>SCH/R_IEC.SchLib</v>
      </c>
      <c r="H75" t="s">
        <v>16254</v>
      </c>
      <c r="I75" s="18" t="s">
        <v>16255</v>
      </c>
      <c r="J75" t="s">
        <v>16424</v>
      </c>
      <c r="M75" s="3">
        <v>800</v>
      </c>
      <c r="N75" t="s">
        <v>16257</v>
      </c>
      <c r="O75" t="s">
        <v>7506</v>
      </c>
      <c r="P75" t="s">
        <v>16258</v>
      </c>
      <c r="Q75" t="s">
        <v>25</v>
      </c>
      <c r="R75" t="s">
        <v>16259</v>
      </c>
      <c r="S75" t="s">
        <v>7506</v>
      </c>
      <c r="T75" t="s">
        <v>16260</v>
      </c>
      <c r="U75" t="s">
        <v>25</v>
      </c>
      <c r="V75" t="s">
        <v>16261</v>
      </c>
    </row>
    <row r="76" spans="1:22">
      <c r="A76" t="s">
        <v>16407</v>
      </c>
      <c r="B76" t="s">
        <v>16248</v>
      </c>
      <c r="C76" t="s">
        <v>16545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16254</v>
      </c>
      <c r="I76" s="18" t="s">
        <v>16255</v>
      </c>
      <c r="J76" t="s">
        <v>16424</v>
      </c>
      <c r="M76" s="3">
        <v>1000</v>
      </c>
      <c r="N76" t="s">
        <v>16239</v>
      </c>
      <c r="O76" t="s">
        <v>7506</v>
      </c>
      <c r="P76" t="s">
        <v>16262</v>
      </c>
      <c r="Q76" t="s">
        <v>25</v>
      </c>
      <c r="R76" t="s">
        <v>16263</v>
      </c>
      <c r="S76" t="s">
        <v>7506</v>
      </c>
      <c r="T76" t="s">
        <v>16231</v>
      </c>
      <c r="U76" t="s">
        <v>25</v>
      </c>
      <c r="V76" t="s">
        <v>16232</v>
      </c>
    </row>
    <row r="77" spans="1:22">
      <c r="A77" t="s">
        <v>16408</v>
      </c>
      <c r="B77" t="s">
        <v>16249</v>
      </c>
      <c r="C77" t="s">
        <v>16546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16254</v>
      </c>
      <c r="I77" s="18" t="s">
        <v>16255</v>
      </c>
      <c r="J77" t="s">
        <v>16424</v>
      </c>
      <c r="M77" s="3">
        <v>1200</v>
      </c>
      <c r="N77" t="s">
        <v>16233</v>
      </c>
      <c r="O77" t="s">
        <v>7506</v>
      </c>
      <c r="P77" t="s">
        <v>16234</v>
      </c>
      <c r="Q77" t="s">
        <v>25</v>
      </c>
      <c r="R77" t="s">
        <v>16235</v>
      </c>
    </row>
    <row r="78" spans="1:22">
      <c r="A78" t="s">
        <v>16409</v>
      </c>
      <c r="B78" t="s">
        <v>16250</v>
      </c>
      <c r="C78" t="s">
        <v>16547</v>
      </c>
      <c r="D78" t="s">
        <v>4479</v>
      </c>
      <c r="E78" s="14" t="s">
        <v>11613</v>
      </c>
      <c r="F78" t="s">
        <v>16236</v>
      </c>
      <c r="G78" s="17" t="str">
        <f>Config!$B$3</f>
        <v>SCH/R_IEC.SchLib</v>
      </c>
      <c r="H78" t="s">
        <v>16254</v>
      </c>
      <c r="I78" s="18" t="s">
        <v>16255</v>
      </c>
      <c r="J78" t="s">
        <v>16424</v>
      </c>
      <c r="M78" s="3">
        <v>1400</v>
      </c>
      <c r="N78" t="s">
        <v>16264</v>
      </c>
      <c r="O78" t="s">
        <v>7506</v>
      </c>
      <c r="P78" t="s">
        <v>16265</v>
      </c>
      <c r="Q78" t="s">
        <v>25</v>
      </c>
      <c r="R78" t="s">
        <v>16266</v>
      </c>
      <c r="S78" t="s">
        <v>7506</v>
      </c>
      <c r="T78" t="s">
        <v>16242</v>
      </c>
      <c r="U78" t="s">
        <v>25</v>
      </c>
      <c r="V78" t="s">
        <v>16243</v>
      </c>
    </row>
    <row r="79" spans="1:22">
      <c r="A79" t="s">
        <v>16410</v>
      </c>
      <c r="B79" t="s">
        <v>16330</v>
      </c>
      <c r="C79" t="s">
        <v>16548</v>
      </c>
      <c r="D79" t="s">
        <v>4479</v>
      </c>
      <c r="E79" s="14" t="s">
        <v>11613</v>
      </c>
      <c r="F79" t="s">
        <v>16332</v>
      </c>
      <c r="G79" s="17" t="str">
        <f>Config!$B$3</f>
        <v>SCH/R_IEC.SchLib</v>
      </c>
      <c r="H79" t="s">
        <v>16254</v>
      </c>
      <c r="I79" s="18" t="s">
        <v>16255</v>
      </c>
      <c r="J79" t="s">
        <v>16424</v>
      </c>
      <c r="M79" s="3">
        <v>1600</v>
      </c>
      <c r="N79" t="s">
        <v>16333</v>
      </c>
      <c r="O79" t="s">
        <v>7506</v>
      </c>
      <c r="P79" t="s">
        <v>16334</v>
      </c>
      <c r="Q79" t="s">
        <v>25</v>
      </c>
      <c r="R79" t="s">
        <v>16335</v>
      </c>
      <c r="S79" t="s">
        <v>7506</v>
      </c>
      <c r="T79" t="s">
        <v>16336</v>
      </c>
      <c r="U79" t="s">
        <v>25</v>
      </c>
      <c r="V79" t="s">
        <v>16337</v>
      </c>
    </row>
    <row r="80" spans="1:22">
      <c r="A80" t="s">
        <v>16411</v>
      </c>
      <c r="B80" t="s">
        <v>16251</v>
      </c>
      <c r="C80" t="s">
        <v>16549</v>
      </c>
      <c r="D80" t="s">
        <v>4479</v>
      </c>
      <c r="E80" s="14" t="s">
        <v>11613</v>
      </c>
      <c r="F80" t="s">
        <v>16237</v>
      </c>
      <c r="G80" s="17" t="str">
        <f>Config!$B$3</f>
        <v>SCH/R_IEC.SchLib</v>
      </c>
      <c r="H80" t="s">
        <v>16254</v>
      </c>
      <c r="I80" s="18" t="s">
        <v>16255</v>
      </c>
      <c r="J80" t="s">
        <v>16424</v>
      </c>
      <c r="M80" s="3">
        <v>2500</v>
      </c>
      <c r="N80" t="s">
        <v>16240</v>
      </c>
      <c r="O80" t="s">
        <v>7506</v>
      </c>
      <c r="P80" t="s">
        <v>16244</v>
      </c>
      <c r="Q80" t="s">
        <v>25</v>
      </c>
      <c r="R80" t="s">
        <v>16245</v>
      </c>
    </row>
    <row r="81" spans="1:22">
      <c r="A81" t="s">
        <v>16412</v>
      </c>
      <c r="B81" t="s">
        <v>16252</v>
      </c>
      <c r="C81" t="s">
        <v>16550</v>
      </c>
      <c r="D81" t="s">
        <v>4479</v>
      </c>
      <c r="E81" s="14" t="s">
        <v>11613</v>
      </c>
      <c r="F81" t="s">
        <v>16238</v>
      </c>
      <c r="G81" s="17" t="str">
        <f>Config!$B$3</f>
        <v>SCH/R_IEC.SchLib</v>
      </c>
      <c r="H81" t="s">
        <v>16254</v>
      </c>
      <c r="I81" s="18" t="s">
        <v>16255</v>
      </c>
      <c r="J81" t="s">
        <v>16424</v>
      </c>
      <c r="M81" s="3">
        <v>3500</v>
      </c>
      <c r="N81" t="s">
        <v>16241</v>
      </c>
      <c r="O81" t="s">
        <v>7506</v>
      </c>
      <c r="P81" t="s">
        <v>16246</v>
      </c>
      <c r="Q81" t="s">
        <v>25</v>
      </c>
      <c r="R81" t="s">
        <v>16247</v>
      </c>
    </row>
    <row r="82" spans="1:22">
      <c r="A82" t="s">
        <v>16413</v>
      </c>
      <c r="B82" t="s">
        <v>16340</v>
      </c>
      <c r="C82" t="s">
        <v>16551</v>
      </c>
      <c r="D82" t="s">
        <v>4479</v>
      </c>
      <c r="E82" s="14" t="s">
        <v>11613</v>
      </c>
      <c r="F82" t="s">
        <v>16338</v>
      </c>
      <c r="G82" s="17" t="str">
        <f>Config!$B$3</f>
        <v>SCH/R_IEC.SchLib</v>
      </c>
      <c r="H82" t="s">
        <v>16254</v>
      </c>
      <c r="I82" s="18" t="s">
        <v>16255</v>
      </c>
      <c r="J82" t="s">
        <v>16424</v>
      </c>
      <c r="M82" s="3">
        <v>4500</v>
      </c>
      <c r="N82" t="s">
        <v>16346</v>
      </c>
      <c r="O82" t="s">
        <v>7506</v>
      </c>
      <c r="P82" t="s">
        <v>16347</v>
      </c>
      <c r="Q82" t="s">
        <v>25</v>
      </c>
      <c r="R82" t="s">
        <v>16348</v>
      </c>
    </row>
    <row r="83" spans="1:22">
      <c r="A83" t="s">
        <v>16414</v>
      </c>
      <c r="B83" t="s">
        <v>16343</v>
      </c>
      <c r="C83" t="s">
        <v>16552</v>
      </c>
      <c r="D83" t="s">
        <v>4479</v>
      </c>
      <c r="E83" s="14" t="s">
        <v>11613</v>
      </c>
      <c r="F83" t="s">
        <v>16345</v>
      </c>
      <c r="G83" s="17" t="str">
        <f>Config!$B$3</f>
        <v>SCH/R_IEC.SchLib</v>
      </c>
      <c r="H83" t="s">
        <v>16254</v>
      </c>
      <c r="I83" s="18" t="s">
        <v>16255</v>
      </c>
      <c r="J83" t="s">
        <v>16424</v>
      </c>
      <c r="M83" s="3">
        <v>5500</v>
      </c>
      <c r="N83" t="s">
        <v>16349</v>
      </c>
      <c r="O83" t="s">
        <v>7506</v>
      </c>
      <c r="P83" t="s">
        <v>16350</v>
      </c>
      <c r="Q83" t="s">
        <v>25</v>
      </c>
      <c r="R83" t="s">
        <v>16351</v>
      </c>
    </row>
    <row r="84" spans="1:22">
      <c r="A84" t="s">
        <v>16415</v>
      </c>
      <c r="B84" t="s">
        <v>16269</v>
      </c>
      <c r="C84" t="s">
        <v>16553</v>
      </c>
      <c r="D84" t="s">
        <v>4479</v>
      </c>
      <c r="E84" s="14" t="s">
        <v>11613</v>
      </c>
      <c r="F84" t="s">
        <v>16253</v>
      </c>
      <c r="G84" s="17" t="str">
        <f>Config!$B$3</f>
        <v>SCH/R_IEC.SchLib</v>
      </c>
      <c r="H84" t="s">
        <v>16254</v>
      </c>
      <c r="I84" s="18" t="s">
        <v>16255</v>
      </c>
      <c r="J84" t="s">
        <v>16424</v>
      </c>
      <c r="M84" s="3">
        <v>800</v>
      </c>
      <c r="N84" t="s">
        <v>16257</v>
      </c>
      <c r="O84" t="s">
        <v>7506</v>
      </c>
      <c r="P84" t="s">
        <v>16258</v>
      </c>
      <c r="Q84" t="s">
        <v>25</v>
      </c>
      <c r="R84" t="s">
        <v>16259</v>
      </c>
      <c r="S84" t="s">
        <v>7506</v>
      </c>
      <c r="T84" t="s">
        <v>16260</v>
      </c>
      <c r="U84" t="s">
        <v>25</v>
      </c>
      <c r="V84" t="s">
        <v>16261</v>
      </c>
    </row>
    <row r="85" spans="1:22">
      <c r="A85" t="s">
        <v>16416</v>
      </c>
      <c r="B85" t="s">
        <v>16248</v>
      </c>
      <c r="C85" t="s">
        <v>16554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16254</v>
      </c>
      <c r="I85" s="18" t="s">
        <v>16255</v>
      </c>
      <c r="J85" t="s">
        <v>16424</v>
      </c>
      <c r="M85" s="3">
        <v>1000</v>
      </c>
      <c r="N85" t="s">
        <v>16239</v>
      </c>
      <c r="O85" t="s">
        <v>7506</v>
      </c>
      <c r="P85" t="s">
        <v>16262</v>
      </c>
      <c r="Q85" t="s">
        <v>25</v>
      </c>
      <c r="R85" t="s">
        <v>16263</v>
      </c>
      <c r="S85" t="s">
        <v>7506</v>
      </c>
      <c r="T85" t="s">
        <v>16231</v>
      </c>
      <c r="U85" t="s">
        <v>25</v>
      </c>
      <c r="V85" t="s">
        <v>16232</v>
      </c>
    </row>
    <row r="86" spans="1:22">
      <c r="A86" t="s">
        <v>16417</v>
      </c>
      <c r="B86" t="s">
        <v>16249</v>
      </c>
      <c r="C86" t="s">
        <v>16555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16254</v>
      </c>
      <c r="I86" s="18" t="s">
        <v>16255</v>
      </c>
      <c r="J86" t="s">
        <v>16424</v>
      </c>
      <c r="M86" s="3">
        <v>1200</v>
      </c>
      <c r="N86" t="s">
        <v>16233</v>
      </c>
      <c r="O86" t="s">
        <v>7506</v>
      </c>
      <c r="P86" t="s">
        <v>16234</v>
      </c>
      <c r="Q86" t="s">
        <v>25</v>
      </c>
      <c r="R86" t="s">
        <v>16235</v>
      </c>
    </row>
    <row r="87" spans="1:22">
      <c r="A87" t="s">
        <v>16418</v>
      </c>
      <c r="B87" t="s">
        <v>16250</v>
      </c>
      <c r="C87" t="s">
        <v>16556</v>
      </c>
      <c r="D87" t="s">
        <v>4479</v>
      </c>
      <c r="E87" s="14" t="s">
        <v>11613</v>
      </c>
      <c r="F87" t="s">
        <v>16236</v>
      </c>
      <c r="G87" s="17" t="str">
        <f>Config!$B$3</f>
        <v>SCH/R_IEC.SchLib</v>
      </c>
      <c r="H87" t="s">
        <v>16254</v>
      </c>
      <c r="I87" s="18" t="s">
        <v>16255</v>
      </c>
      <c r="J87" t="s">
        <v>16424</v>
      </c>
      <c r="M87" s="3">
        <v>1400</v>
      </c>
      <c r="N87" t="s">
        <v>16264</v>
      </c>
      <c r="O87" t="s">
        <v>7506</v>
      </c>
      <c r="P87" t="s">
        <v>16265</v>
      </c>
      <c r="Q87" t="s">
        <v>25</v>
      </c>
      <c r="R87" t="s">
        <v>16266</v>
      </c>
      <c r="S87" t="s">
        <v>7506</v>
      </c>
      <c r="T87" t="s">
        <v>16242</v>
      </c>
      <c r="U87" t="s">
        <v>25</v>
      </c>
      <c r="V87" t="s">
        <v>16243</v>
      </c>
    </row>
    <row r="88" spans="1:22">
      <c r="A88" t="s">
        <v>16419</v>
      </c>
      <c r="B88" t="s">
        <v>16330</v>
      </c>
      <c r="C88" t="s">
        <v>16557</v>
      </c>
      <c r="D88" t="s">
        <v>4479</v>
      </c>
      <c r="E88" s="14" t="s">
        <v>11613</v>
      </c>
      <c r="F88" t="s">
        <v>16332</v>
      </c>
      <c r="G88" s="17" t="str">
        <f>Config!$B$3</f>
        <v>SCH/R_IEC.SchLib</v>
      </c>
      <c r="H88" t="s">
        <v>16254</v>
      </c>
      <c r="I88" s="18" t="s">
        <v>16255</v>
      </c>
      <c r="J88" t="s">
        <v>16424</v>
      </c>
      <c r="M88" s="3">
        <v>1600</v>
      </c>
      <c r="N88" t="s">
        <v>16333</v>
      </c>
      <c r="O88" t="s">
        <v>7506</v>
      </c>
      <c r="P88" t="s">
        <v>16334</v>
      </c>
      <c r="Q88" t="s">
        <v>25</v>
      </c>
      <c r="R88" t="s">
        <v>16335</v>
      </c>
      <c r="S88" t="s">
        <v>7506</v>
      </c>
      <c r="T88" t="s">
        <v>16336</v>
      </c>
      <c r="U88" t="s">
        <v>25</v>
      </c>
      <c r="V88" t="s">
        <v>16337</v>
      </c>
    </row>
    <row r="89" spans="1:22">
      <c r="A89" t="s">
        <v>16420</v>
      </c>
      <c r="B89" t="s">
        <v>16251</v>
      </c>
      <c r="C89" t="s">
        <v>16558</v>
      </c>
      <c r="D89" t="s">
        <v>4479</v>
      </c>
      <c r="E89" s="14" t="s">
        <v>11613</v>
      </c>
      <c r="F89" t="s">
        <v>16237</v>
      </c>
      <c r="G89" s="17" t="str">
        <f>Config!$B$3</f>
        <v>SCH/R_IEC.SchLib</v>
      </c>
      <c r="H89" t="s">
        <v>16254</v>
      </c>
      <c r="I89" s="18" t="s">
        <v>16255</v>
      </c>
      <c r="J89" t="s">
        <v>16424</v>
      </c>
      <c r="M89" s="3">
        <v>2500</v>
      </c>
      <c r="N89" t="s">
        <v>16240</v>
      </c>
      <c r="O89" t="s">
        <v>7506</v>
      </c>
      <c r="P89" t="s">
        <v>16244</v>
      </c>
      <c r="Q89" t="s">
        <v>25</v>
      </c>
      <c r="R89" t="s">
        <v>16245</v>
      </c>
    </row>
    <row r="90" spans="1:22">
      <c r="A90" t="s">
        <v>16421</v>
      </c>
      <c r="B90" t="s">
        <v>16252</v>
      </c>
      <c r="C90" t="s">
        <v>16559</v>
      </c>
      <c r="D90" t="s">
        <v>4479</v>
      </c>
      <c r="E90" s="14" t="s">
        <v>11613</v>
      </c>
      <c r="F90" t="s">
        <v>16238</v>
      </c>
      <c r="G90" s="17" t="str">
        <f>Config!$B$3</f>
        <v>SCH/R_IEC.SchLib</v>
      </c>
      <c r="H90" t="s">
        <v>16254</v>
      </c>
      <c r="I90" s="18" t="s">
        <v>16255</v>
      </c>
      <c r="J90" t="s">
        <v>16424</v>
      </c>
      <c r="M90" s="3">
        <v>3500</v>
      </c>
      <c r="N90" t="s">
        <v>16241</v>
      </c>
      <c r="O90" t="s">
        <v>7506</v>
      </c>
      <c r="P90" t="s">
        <v>16246</v>
      </c>
      <c r="Q90" t="s">
        <v>25</v>
      </c>
      <c r="R90" t="s">
        <v>16247</v>
      </c>
    </row>
    <row r="91" spans="1:22">
      <c r="A91" t="s">
        <v>16422</v>
      </c>
      <c r="B91" t="s">
        <v>16340</v>
      </c>
      <c r="C91" t="s">
        <v>16560</v>
      </c>
      <c r="D91" t="s">
        <v>4479</v>
      </c>
      <c r="E91" s="14" t="s">
        <v>11613</v>
      </c>
      <c r="F91" t="s">
        <v>16338</v>
      </c>
      <c r="G91" s="17" t="str">
        <f>Config!$B$3</f>
        <v>SCH/R_IEC.SchLib</v>
      </c>
      <c r="H91" t="s">
        <v>16254</v>
      </c>
      <c r="I91" s="18" t="s">
        <v>16255</v>
      </c>
      <c r="J91" t="s">
        <v>16424</v>
      </c>
      <c r="M91" s="3">
        <v>4500</v>
      </c>
      <c r="N91" t="s">
        <v>16346</v>
      </c>
      <c r="O91" t="s">
        <v>7506</v>
      </c>
      <c r="P91" t="s">
        <v>16347</v>
      </c>
      <c r="Q91" t="s">
        <v>25</v>
      </c>
      <c r="R91" t="s">
        <v>16348</v>
      </c>
    </row>
    <row r="92" spans="1:22">
      <c r="A92" t="s">
        <v>16423</v>
      </c>
      <c r="B92" t="s">
        <v>16343</v>
      </c>
      <c r="C92" t="s">
        <v>16561</v>
      </c>
      <c r="D92" t="s">
        <v>4479</v>
      </c>
      <c r="E92" s="14" t="s">
        <v>11613</v>
      </c>
      <c r="F92" t="s">
        <v>16345</v>
      </c>
      <c r="G92" s="17" t="str">
        <f>Config!$B$3</f>
        <v>SCH/R_IEC.SchLib</v>
      </c>
      <c r="H92" t="s">
        <v>16254</v>
      </c>
      <c r="I92" s="18" t="s">
        <v>16255</v>
      </c>
      <c r="J92" t="s">
        <v>16424</v>
      </c>
      <c r="M92" s="3">
        <v>5500</v>
      </c>
      <c r="N92" t="s">
        <v>16349</v>
      </c>
      <c r="O92" t="s">
        <v>7506</v>
      </c>
      <c r="P92" t="s">
        <v>16350</v>
      </c>
      <c r="Q92" t="s">
        <v>25</v>
      </c>
      <c r="R92" t="s">
        <v>16351</v>
      </c>
    </row>
    <row r="94" spans="1:22">
      <c r="A94" t="s">
        <v>16425</v>
      </c>
      <c r="B94" t="s">
        <v>16269</v>
      </c>
      <c r="C94" t="s">
        <v>16562</v>
      </c>
      <c r="D94" t="s">
        <v>4479</v>
      </c>
      <c r="E94" s="14" t="s">
        <v>11613</v>
      </c>
      <c r="F94" t="s">
        <v>16253</v>
      </c>
      <c r="G94" s="17" t="str">
        <f>Config!$B$3</f>
        <v>SCH/R_IEC.SchLib</v>
      </c>
      <c r="H94" t="s">
        <v>16254</v>
      </c>
      <c r="I94" s="18" t="s">
        <v>16255</v>
      </c>
      <c r="J94" t="s">
        <v>16470</v>
      </c>
      <c r="M94" s="3">
        <v>800</v>
      </c>
      <c r="N94" t="s">
        <v>16257</v>
      </c>
      <c r="O94" t="s">
        <v>7506</v>
      </c>
      <c r="P94" t="s">
        <v>16258</v>
      </c>
      <c r="Q94" t="s">
        <v>25</v>
      </c>
      <c r="R94" t="s">
        <v>16259</v>
      </c>
      <c r="S94" t="s">
        <v>7506</v>
      </c>
      <c r="T94" t="s">
        <v>16260</v>
      </c>
      <c r="U94" t="s">
        <v>25</v>
      </c>
      <c r="V94" t="s">
        <v>16261</v>
      </c>
    </row>
    <row r="95" spans="1:22">
      <c r="A95" t="s">
        <v>16426</v>
      </c>
      <c r="B95" t="s">
        <v>16248</v>
      </c>
      <c r="C95" t="s">
        <v>16563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16254</v>
      </c>
      <c r="I95" s="18" t="s">
        <v>16255</v>
      </c>
      <c r="J95" t="s">
        <v>16470</v>
      </c>
      <c r="M95" s="3">
        <v>1000</v>
      </c>
      <c r="N95" t="s">
        <v>16239</v>
      </c>
      <c r="O95" t="s">
        <v>7506</v>
      </c>
      <c r="P95" t="s">
        <v>16262</v>
      </c>
      <c r="Q95" t="s">
        <v>25</v>
      </c>
      <c r="R95" t="s">
        <v>16263</v>
      </c>
      <c r="S95" t="s">
        <v>7506</v>
      </c>
      <c r="T95" t="s">
        <v>16231</v>
      </c>
      <c r="U95" t="s">
        <v>25</v>
      </c>
      <c r="V95" t="s">
        <v>16232</v>
      </c>
    </row>
    <row r="96" spans="1:22">
      <c r="A96" t="s">
        <v>16427</v>
      </c>
      <c r="B96" t="s">
        <v>16249</v>
      </c>
      <c r="C96" t="s">
        <v>16564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16254</v>
      </c>
      <c r="I96" s="18" t="s">
        <v>16255</v>
      </c>
      <c r="J96" t="s">
        <v>16470</v>
      </c>
      <c r="M96" s="3">
        <v>1200</v>
      </c>
      <c r="N96" t="s">
        <v>16233</v>
      </c>
      <c r="O96" t="s">
        <v>7506</v>
      </c>
      <c r="P96" t="s">
        <v>16234</v>
      </c>
      <c r="Q96" t="s">
        <v>25</v>
      </c>
      <c r="R96" t="s">
        <v>16235</v>
      </c>
    </row>
    <row r="97" spans="1:22">
      <c r="A97" t="s">
        <v>16428</v>
      </c>
      <c r="B97" t="s">
        <v>16250</v>
      </c>
      <c r="C97" t="s">
        <v>16565</v>
      </c>
      <c r="D97" t="s">
        <v>4479</v>
      </c>
      <c r="E97" s="14" t="s">
        <v>11613</v>
      </c>
      <c r="F97" t="s">
        <v>16236</v>
      </c>
      <c r="G97" s="17" t="str">
        <f>Config!$B$3</f>
        <v>SCH/R_IEC.SchLib</v>
      </c>
      <c r="H97" t="s">
        <v>16254</v>
      </c>
      <c r="I97" s="18" t="s">
        <v>16255</v>
      </c>
      <c r="J97" t="s">
        <v>16470</v>
      </c>
      <c r="M97" s="3">
        <v>1400</v>
      </c>
      <c r="N97" t="s">
        <v>16264</v>
      </c>
      <c r="O97" t="s">
        <v>7506</v>
      </c>
      <c r="P97" t="s">
        <v>16265</v>
      </c>
      <c r="Q97" t="s">
        <v>25</v>
      </c>
      <c r="R97" t="s">
        <v>16266</v>
      </c>
      <c r="S97" t="s">
        <v>7506</v>
      </c>
      <c r="T97" t="s">
        <v>16242</v>
      </c>
      <c r="U97" t="s">
        <v>25</v>
      </c>
      <c r="V97" t="s">
        <v>16243</v>
      </c>
    </row>
    <row r="98" spans="1:22">
      <c r="A98" t="s">
        <v>16429</v>
      </c>
      <c r="B98" t="s">
        <v>16330</v>
      </c>
      <c r="C98" t="s">
        <v>16566</v>
      </c>
      <c r="D98" t="s">
        <v>4479</v>
      </c>
      <c r="E98" s="14" t="s">
        <v>11613</v>
      </c>
      <c r="F98" t="s">
        <v>16332</v>
      </c>
      <c r="G98" s="17" t="str">
        <f>Config!$B$3</f>
        <v>SCH/R_IEC.SchLib</v>
      </c>
      <c r="H98" t="s">
        <v>16254</v>
      </c>
      <c r="I98" s="18" t="s">
        <v>16255</v>
      </c>
      <c r="J98" t="s">
        <v>16470</v>
      </c>
      <c r="M98" s="3">
        <v>1600</v>
      </c>
      <c r="N98" t="s">
        <v>16333</v>
      </c>
      <c r="O98" t="s">
        <v>7506</v>
      </c>
      <c r="P98" t="s">
        <v>16334</v>
      </c>
      <c r="Q98" t="s">
        <v>25</v>
      </c>
      <c r="R98" t="s">
        <v>16335</v>
      </c>
      <c r="S98" t="s">
        <v>7506</v>
      </c>
      <c r="T98" t="s">
        <v>16336</v>
      </c>
      <c r="U98" t="s">
        <v>25</v>
      </c>
      <c r="V98" t="s">
        <v>16337</v>
      </c>
    </row>
    <row r="99" spans="1:22">
      <c r="A99" t="s">
        <v>16430</v>
      </c>
      <c r="B99" t="s">
        <v>16251</v>
      </c>
      <c r="C99" t="s">
        <v>16567</v>
      </c>
      <c r="D99" t="s">
        <v>4479</v>
      </c>
      <c r="E99" s="14" t="s">
        <v>11613</v>
      </c>
      <c r="F99" t="s">
        <v>16237</v>
      </c>
      <c r="G99" s="17" t="str">
        <f>Config!$B$3</f>
        <v>SCH/R_IEC.SchLib</v>
      </c>
      <c r="H99" t="s">
        <v>16254</v>
      </c>
      <c r="I99" s="18" t="s">
        <v>16255</v>
      </c>
      <c r="J99" t="s">
        <v>16470</v>
      </c>
      <c r="M99" s="3">
        <v>2500</v>
      </c>
      <c r="N99" t="s">
        <v>16240</v>
      </c>
      <c r="O99" t="s">
        <v>7506</v>
      </c>
      <c r="P99" t="s">
        <v>16244</v>
      </c>
      <c r="Q99" t="s">
        <v>25</v>
      </c>
      <c r="R99" t="s">
        <v>16245</v>
      </c>
    </row>
    <row r="100" spans="1:22">
      <c r="A100" t="s">
        <v>16431</v>
      </c>
      <c r="B100" t="s">
        <v>16252</v>
      </c>
      <c r="C100" t="s">
        <v>16568</v>
      </c>
      <c r="D100" t="s">
        <v>4479</v>
      </c>
      <c r="E100" s="14" t="s">
        <v>11613</v>
      </c>
      <c r="F100" t="s">
        <v>16238</v>
      </c>
      <c r="G100" s="17" t="str">
        <f>Config!$B$3</f>
        <v>SCH/R_IEC.SchLib</v>
      </c>
      <c r="H100" t="s">
        <v>16254</v>
      </c>
      <c r="I100" s="18" t="s">
        <v>16255</v>
      </c>
      <c r="J100" t="s">
        <v>16470</v>
      </c>
      <c r="M100" s="3">
        <v>3500</v>
      </c>
      <c r="N100" t="s">
        <v>16241</v>
      </c>
      <c r="O100" t="s">
        <v>7506</v>
      </c>
      <c r="P100" t="s">
        <v>16246</v>
      </c>
      <c r="Q100" t="s">
        <v>25</v>
      </c>
      <c r="R100" t="s">
        <v>16247</v>
      </c>
    </row>
    <row r="101" spans="1:22">
      <c r="A101" t="s">
        <v>16432</v>
      </c>
      <c r="B101" t="s">
        <v>16340</v>
      </c>
      <c r="C101" t="s">
        <v>16569</v>
      </c>
      <c r="D101" t="s">
        <v>4479</v>
      </c>
      <c r="E101" s="14" t="s">
        <v>11613</v>
      </c>
      <c r="F101" t="s">
        <v>16338</v>
      </c>
      <c r="G101" s="17" t="str">
        <f>Config!$B$3</f>
        <v>SCH/R_IEC.SchLib</v>
      </c>
      <c r="H101" t="s">
        <v>16254</v>
      </c>
      <c r="I101" s="18" t="s">
        <v>16255</v>
      </c>
      <c r="J101" t="s">
        <v>16470</v>
      </c>
      <c r="M101" s="3">
        <v>4500</v>
      </c>
      <c r="N101" t="s">
        <v>16346</v>
      </c>
      <c r="O101" t="s">
        <v>7506</v>
      </c>
      <c r="P101" t="s">
        <v>16347</v>
      </c>
      <c r="Q101" t="s">
        <v>25</v>
      </c>
      <c r="R101" t="s">
        <v>16348</v>
      </c>
    </row>
    <row r="102" spans="1:22">
      <c r="A102" t="s">
        <v>16433</v>
      </c>
      <c r="B102" t="s">
        <v>16343</v>
      </c>
      <c r="C102" t="s">
        <v>16570</v>
      </c>
      <c r="D102" t="s">
        <v>4479</v>
      </c>
      <c r="E102" s="14" t="s">
        <v>11613</v>
      </c>
      <c r="F102" t="s">
        <v>16345</v>
      </c>
      <c r="G102" s="17" t="str">
        <f>Config!$B$3</f>
        <v>SCH/R_IEC.SchLib</v>
      </c>
      <c r="H102" t="s">
        <v>16254</v>
      </c>
      <c r="I102" s="18" t="s">
        <v>16255</v>
      </c>
      <c r="J102" t="s">
        <v>16470</v>
      </c>
      <c r="M102" s="3">
        <v>5500</v>
      </c>
      <c r="N102" t="s">
        <v>16349</v>
      </c>
      <c r="O102" t="s">
        <v>7506</v>
      </c>
      <c r="P102" t="s">
        <v>16350</v>
      </c>
      <c r="Q102" t="s">
        <v>25</v>
      </c>
      <c r="R102" t="s">
        <v>16351</v>
      </c>
    </row>
    <row r="103" spans="1:22">
      <c r="A103" t="s">
        <v>16434</v>
      </c>
      <c r="B103" t="s">
        <v>16269</v>
      </c>
      <c r="C103" t="s">
        <v>16571</v>
      </c>
      <c r="D103" t="s">
        <v>4479</v>
      </c>
      <c r="E103" s="14" t="s">
        <v>11613</v>
      </c>
      <c r="F103" t="s">
        <v>16253</v>
      </c>
      <c r="G103" s="17" t="str">
        <f>Config!$B$3</f>
        <v>SCH/R_IEC.SchLib</v>
      </c>
      <c r="H103" t="s">
        <v>16254</v>
      </c>
      <c r="I103" s="18" t="s">
        <v>16255</v>
      </c>
      <c r="J103" t="s">
        <v>16470</v>
      </c>
      <c r="M103" s="3">
        <v>800</v>
      </c>
      <c r="N103" t="s">
        <v>16257</v>
      </c>
      <c r="O103" t="s">
        <v>7506</v>
      </c>
      <c r="P103" t="s">
        <v>16258</v>
      </c>
      <c r="Q103" t="s">
        <v>25</v>
      </c>
      <c r="R103" t="s">
        <v>16259</v>
      </c>
      <c r="S103" t="s">
        <v>7506</v>
      </c>
      <c r="T103" t="s">
        <v>16260</v>
      </c>
      <c r="U103" t="s">
        <v>25</v>
      </c>
      <c r="V103" t="s">
        <v>16261</v>
      </c>
    </row>
    <row r="104" spans="1:22">
      <c r="A104" t="s">
        <v>16435</v>
      </c>
      <c r="B104" t="s">
        <v>16248</v>
      </c>
      <c r="C104" t="s">
        <v>16572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16254</v>
      </c>
      <c r="I104" s="18" t="s">
        <v>16255</v>
      </c>
      <c r="J104" t="s">
        <v>16470</v>
      </c>
      <c r="M104" s="3">
        <v>1000</v>
      </c>
      <c r="N104" t="s">
        <v>16239</v>
      </c>
      <c r="O104" t="s">
        <v>7506</v>
      </c>
      <c r="P104" t="s">
        <v>16262</v>
      </c>
      <c r="Q104" t="s">
        <v>25</v>
      </c>
      <c r="R104" t="s">
        <v>16263</v>
      </c>
      <c r="S104" t="s">
        <v>7506</v>
      </c>
      <c r="T104" t="s">
        <v>16231</v>
      </c>
      <c r="U104" t="s">
        <v>25</v>
      </c>
      <c r="V104" t="s">
        <v>16232</v>
      </c>
    </row>
    <row r="105" spans="1:22">
      <c r="A105" t="s">
        <v>16436</v>
      </c>
      <c r="B105" t="s">
        <v>16249</v>
      </c>
      <c r="C105" t="s">
        <v>16573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16254</v>
      </c>
      <c r="I105" s="18" t="s">
        <v>16255</v>
      </c>
      <c r="J105" t="s">
        <v>16470</v>
      </c>
      <c r="M105" s="3">
        <v>1200</v>
      </c>
      <c r="N105" t="s">
        <v>16233</v>
      </c>
      <c r="O105" t="s">
        <v>7506</v>
      </c>
      <c r="P105" t="s">
        <v>16234</v>
      </c>
      <c r="Q105" t="s">
        <v>25</v>
      </c>
      <c r="R105" t="s">
        <v>16235</v>
      </c>
    </row>
    <row r="106" spans="1:22">
      <c r="A106" t="s">
        <v>16437</v>
      </c>
      <c r="B106" t="s">
        <v>16250</v>
      </c>
      <c r="C106" t="s">
        <v>16574</v>
      </c>
      <c r="D106" t="s">
        <v>4479</v>
      </c>
      <c r="E106" s="14" t="s">
        <v>11613</v>
      </c>
      <c r="F106" t="s">
        <v>16236</v>
      </c>
      <c r="G106" s="17" t="str">
        <f>Config!$B$3</f>
        <v>SCH/R_IEC.SchLib</v>
      </c>
      <c r="H106" t="s">
        <v>16254</v>
      </c>
      <c r="I106" s="18" t="s">
        <v>16255</v>
      </c>
      <c r="J106" t="s">
        <v>16470</v>
      </c>
      <c r="M106" s="3">
        <v>1400</v>
      </c>
      <c r="N106" t="s">
        <v>16264</v>
      </c>
      <c r="O106" t="s">
        <v>7506</v>
      </c>
      <c r="P106" t="s">
        <v>16265</v>
      </c>
      <c r="Q106" t="s">
        <v>25</v>
      </c>
      <c r="R106" t="s">
        <v>16266</v>
      </c>
      <c r="S106" t="s">
        <v>7506</v>
      </c>
      <c r="T106" t="s">
        <v>16242</v>
      </c>
      <c r="U106" t="s">
        <v>25</v>
      </c>
      <c r="V106" t="s">
        <v>16243</v>
      </c>
    </row>
    <row r="107" spans="1:22">
      <c r="A107" t="s">
        <v>16438</v>
      </c>
      <c r="B107" t="s">
        <v>16330</v>
      </c>
      <c r="C107" t="s">
        <v>16575</v>
      </c>
      <c r="D107" t="s">
        <v>4479</v>
      </c>
      <c r="E107" s="14" t="s">
        <v>11613</v>
      </c>
      <c r="F107" t="s">
        <v>16332</v>
      </c>
      <c r="G107" s="17" t="str">
        <f>Config!$B$3</f>
        <v>SCH/R_IEC.SchLib</v>
      </c>
      <c r="H107" t="s">
        <v>16254</v>
      </c>
      <c r="I107" s="18" t="s">
        <v>16255</v>
      </c>
      <c r="J107" t="s">
        <v>16470</v>
      </c>
      <c r="M107" s="3">
        <v>1600</v>
      </c>
      <c r="N107" t="s">
        <v>16333</v>
      </c>
      <c r="O107" t="s">
        <v>7506</v>
      </c>
      <c r="P107" t="s">
        <v>16334</v>
      </c>
      <c r="Q107" t="s">
        <v>25</v>
      </c>
      <c r="R107" t="s">
        <v>16335</v>
      </c>
      <c r="S107" t="s">
        <v>7506</v>
      </c>
      <c r="T107" t="s">
        <v>16336</v>
      </c>
      <c r="U107" t="s">
        <v>25</v>
      </c>
      <c r="V107" t="s">
        <v>16337</v>
      </c>
    </row>
    <row r="108" spans="1:22">
      <c r="A108" t="s">
        <v>16439</v>
      </c>
      <c r="B108" t="s">
        <v>16251</v>
      </c>
      <c r="C108" t="s">
        <v>16576</v>
      </c>
      <c r="D108" t="s">
        <v>4479</v>
      </c>
      <c r="E108" s="14" t="s">
        <v>11613</v>
      </c>
      <c r="F108" t="s">
        <v>16237</v>
      </c>
      <c r="G108" s="17" t="str">
        <f>Config!$B$3</f>
        <v>SCH/R_IEC.SchLib</v>
      </c>
      <c r="H108" t="s">
        <v>16254</v>
      </c>
      <c r="I108" s="18" t="s">
        <v>16255</v>
      </c>
      <c r="J108" t="s">
        <v>16470</v>
      </c>
      <c r="M108" s="3">
        <v>2500</v>
      </c>
      <c r="N108" t="s">
        <v>16240</v>
      </c>
      <c r="O108" t="s">
        <v>7506</v>
      </c>
      <c r="P108" t="s">
        <v>16244</v>
      </c>
      <c r="Q108" t="s">
        <v>25</v>
      </c>
      <c r="R108" t="s">
        <v>16245</v>
      </c>
    </row>
    <row r="109" spans="1:22">
      <c r="A109" t="s">
        <v>16440</v>
      </c>
      <c r="B109" t="s">
        <v>16252</v>
      </c>
      <c r="C109" t="s">
        <v>16577</v>
      </c>
      <c r="D109" t="s">
        <v>4479</v>
      </c>
      <c r="E109" s="14" t="s">
        <v>11613</v>
      </c>
      <c r="F109" t="s">
        <v>16238</v>
      </c>
      <c r="G109" s="17" t="str">
        <f>Config!$B$3</f>
        <v>SCH/R_IEC.SchLib</v>
      </c>
      <c r="H109" t="s">
        <v>16254</v>
      </c>
      <c r="I109" s="18" t="s">
        <v>16255</v>
      </c>
      <c r="J109" t="s">
        <v>16470</v>
      </c>
      <c r="M109" s="3">
        <v>3500</v>
      </c>
      <c r="N109" t="s">
        <v>16241</v>
      </c>
      <c r="O109" t="s">
        <v>7506</v>
      </c>
      <c r="P109" t="s">
        <v>16246</v>
      </c>
      <c r="Q109" t="s">
        <v>25</v>
      </c>
      <c r="R109" t="s">
        <v>16247</v>
      </c>
    </row>
    <row r="110" spans="1:22">
      <c r="A110" t="s">
        <v>16441</v>
      </c>
      <c r="B110" t="s">
        <v>16340</v>
      </c>
      <c r="C110" t="s">
        <v>16578</v>
      </c>
      <c r="D110" t="s">
        <v>4479</v>
      </c>
      <c r="E110" s="14" t="s">
        <v>11613</v>
      </c>
      <c r="F110" t="s">
        <v>16338</v>
      </c>
      <c r="G110" s="17" t="str">
        <f>Config!$B$3</f>
        <v>SCH/R_IEC.SchLib</v>
      </c>
      <c r="H110" t="s">
        <v>16254</v>
      </c>
      <c r="I110" s="18" t="s">
        <v>16255</v>
      </c>
      <c r="J110" t="s">
        <v>16470</v>
      </c>
      <c r="M110" s="3">
        <v>4500</v>
      </c>
      <c r="N110" t="s">
        <v>16346</v>
      </c>
      <c r="O110" t="s">
        <v>7506</v>
      </c>
      <c r="P110" t="s">
        <v>16347</v>
      </c>
      <c r="Q110" t="s">
        <v>25</v>
      </c>
      <c r="R110" t="s">
        <v>16348</v>
      </c>
    </row>
    <row r="111" spans="1:22">
      <c r="A111" t="s">
        <v>16442</v>
      </c>
      <c r="B111" t="s">
        <v>16343</v>
      </c>
      <c r="C111" t="s">
        <v>16579</v>
      </c>
      <c r="D111" t="s">
        <v>4479</v>
      </c>
      <c r="E111" s="14" t="s">
        <v>11613</v>
      </c>
      <c r="F111" t="s">
        <v>16345</v>
      </c>
      <c r="G111" s="17" t="str">
        <f>Config!$B$3</f>
        <v>SCH/R_IEC.SchLib</v>
      </c>
      <c r="H111" t="s">
        <v>16254</v>
      </c>
      <c r="I111" s="18" t="s">
        <v>16255</v>
      </c>
      <c r="J111" t="s">
        <v>16470</v>
      </c>
      <c r="M111" s="3">
        <v>5500</v>
      </c>
      <c r="N111" t="s">
        <v>16349</v>
      </c>
      <c r="O111" t="s">
        <v>7506</v>
      </c>
      <c r="P111" t="s">
        <v>16350</v>
      </c>
      <c r="Q111" t="s">
        <v>25</v>
      </c>
      <c r="R111" t="s">
        <v>16351</v>
      </c>
    </row>
    <row r="112" spans="1:22">
      <c r="A112" t="s">
        <v>16443</v>
      </c>
      <c r="B112" t="s">
        <v>16269</v>
      </c>
      <c r="C112" t="s">
        <v>16580</v>
      </c>
      <c r="D112" t="s">
        <v>4479</v>
      </c>
      <c r="E112" s="14" t="s">
        <v>11613</v>
      </c>
      <c r="F112" t="s">
        <v>16253</v>
      </c>
      <c r="G112" s="17" t="str">
        <f>Config!$B$3</f>
        <v>SCH/R_IEC.SchLib</v>
      </c>
      <c r="H112" t="s">
        <v>16254</v>
      </c>
      <c r="I112" s="18" t="s">
        <v>16255</v>
      </c>
      <c r="J112" t="s">
        <v>16470</v>
      </c>
      <c r="M112" s="3">
        <v>800</v>
      </c>
      <c r="N112" t="s">
        <v>16257</v>
      </c>
      <c r="O112" t="s">
        <v>7506</v>
      </c>
      <c r="P112" t="s">
        <v>16258</v>
      </c>
      <c r="Q112" t="s">
        <v>25</v>
      </c>
      <c r="R112" t="s">
        <v>16259</v>
      </c>
      <c r="S112" t="s">
        <v>7506</v>
      </c>
      <c r="T112" t="s">
        <v>16260</v>
      </c>
      <c r="U112" t="s">
        <v>25</v>
      </c>
      <c r="V112" t="s">
        <v>16261</v>
      </c>
    </row>
    <row r="113" spans="1:22">
      <c r="A113" t="s">
        <v>16444</v>
      </c>
      <c r="B113" t="s">
        <v>16248</v>
      </c>
      <c r="C113" t="s">
        <v>16581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16254</v>
      </c>
      <c r="I113" s="18" t="s">
        <v>16255</v>
      </c>
      <c r="J113" t="s">
        <v>16470</v>
      </c>
      <c r="M113" s="3">
        <v>1000</v>
      </c>
      <c r="N113" t="s">
        <v>16239</v>
      </c>
      <c r="O113" t="s">
        <v>7506</v>
      </c>
      <c r="P113" t="s">
        <v>16262</v>
      </c>
      <c r="Q113" t="s">
        <v>25</v>
      </c>
      <c r="R113" t="s">
        <v>16263</v>
      </c>
      <c r="S113" t="s">
        <v>7506</v>
      </c>
      <c r="T113" t="s">
        <v>16231</v>
      </c>
      <c r="U113" t="s">
        <v>25</v>
      </c>
      <c r="V113" t="s">
        <v>16232</v>
      </c>
    </row>
    <row r="114" spans="1:22">
      <c r="A114" t="s">
        <v>16445</v>
      </c>
      <c r="B114" t="s">
        <v>16249</v>
      </c>
      <c r="C114" t="s">
        <v>16582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16254</v>
      </c>
      <c r="I114" s="18" t="s">
        <v>16255</v>
      </c>
      <c r="J114" t="s">
        <v>16470</v>
      </c>
      <c r="M114" s="3">
        <v>1200</v>
      </c>
      <c r="N114" t="s">
        <v>16233</v>
      </c>
      <c r="O114" t="s">
        <v>7506</v>
      </c>
      <c r="P114" t="s">
        <v>16234</v>
      </c>
      <c r="Q114" t="s">
        <v>25</v>
      </c>
      <c r="R114" t="s">
        <v>16235</v>
      </c>
    </row>
    <row r="115" spans="1:22">
      <c r="A115" t="s">
        <v>16446</v>
      </c>
      <c r="B115" t="s">
        <v>16250</v>
      </c>
      <c r="C115" t="s">
        <v>16583</v>
      </c>
      <c r="D115" t="s">
        <v>4479</v>
      </c>
      <c r="E115" s="14" t="s">
        <v>11613</v>
      </c>
      <c r="F115" t="s">
        <v>16236</v>
      </c>
      <c r="G115" s="17" t="str">
        <f>Config!$B$3</f>
        <v>SCH/R_IEC.SchLib</v>
      </c>
      <c r="H115" t="s">
        <v>16254</v>
      </c>
      <c r="I115" s="18" t="s">
        <v>16255</v>
      </c>
      <c r="J115" t="s">
        <v>16470</v>
      </c>
      <c r="M115" s="3">
        <v>1400</v>
      </c>
      <c r="N115" t="s">
        <v>16264</v>
      </c>
      <c r="O115" t="s">
        <v>7506</v>
      </c>
      <c r="P115" t="s">
        <v>16265</v>
      </c>
      <c r="Q115" t="s">
        <v>25</v>
      </c>
      <c r="R115" t="s">
        <v>16266</v>
      </c>
      <c r="S115" t="s">
        <v>7506</v>
      </c>
      <c r="T115" t="s">
        <v>16242</v>
      </c>
      <c r="U115" t="s">
        <v>25</v>
      </c>
      <c r="V115" t="s">
        <v>16243</v>
      </c>
    </row>
    <row r="116" spans="1:22">
      <c r="A116" t="s">
        <v>16447</v>
      </c>
      <c r="B116" t="s">
        <v>16330</v>
      </c>
      <c r="C116" t="s">
        <v>16584</v>
      </c>
      <c r="D116" t="s">
        <v>4479</v>
      </c>
      <c r="E116" s="14" t="s">
        <v>11613</v>
      </c>
      <c r="F116" t="s">
        <v>16332</v>
      </c>
      <c r="G116" s="17" t="str">
        <f>Config!$B$3</f>
        <v>SCH/R_IEC.SchLib</v>
      </c>
      <c r="H116" t="s">
        <v>16254</v>
      </c>
      <c r="I116" s="18" t="s">
        <v>16255</v>
      </c>
      <c r="J116" t="s">
        <v>16470</v>
      </c>
      <c r="M116" s="3">
        <v>1600</v>
      </c>
      <c r="N116" t="s">
        <v>16333</v>
      </c>
      <c r="O116" t="s">
        <v>7506</v>
      </c>
      <c r="P116" t="s">
        <v>16334</v>
      </c>
      <c r="Q116" t="s">
        <v>25</v>
      </c>
      <c r="R116" t="s">
        <v>16335</v>
      </c>
      <c r="S116" t="s">
        <v>7506</v>
      </c>
      <c r="T116" t="s">
        <v>16336</v>
      </c>
      <c r="U116" t="s">
        <v>25</v>
      </c>
      <c r="V116" t="s">
        <v>16337</v>
      </c>
    </row>
    <row r="117" spans="1:22">
      <c r="A117" t="s">
        <v>16448</v>
      </c>
      <c r="B117" t="s">
        <v>16251</v>
      </c>
      <c r="C117" t="s">
        <v>16585</v>
      </c>
      <c r="D117" t="s">
        <v>4479</v>
      </c>
      <c r="E117" s="14" t="s">
        <v>11613</v>
      </c>
      <c r="F117" t="s">
        <v>16237</v>
      </c>
      <c r="G117" s="17" t="str">
        <f>Config!$B$3</f>
        <v>SCH/R_IEC.SchLib</v>
      </c>
      <c r="H117" t="s">
        <v>16254</v>
      </c>
      <c r="I117" s="18" t="s">
        <v>16255</v>
      </c>
      <c r="J117" t="s">
        <v>16470</v>
      </c>
      <c r="M117" s="3">
        <v>2500</v>
      </c>
      <c r="N117" t="s">
        <v>16240</v>
      </c>
      <c r="O117" t="s">
        <v>7506</v>
      </c>
      <c r="P117" t="s">
        <v>16244</v>
      </c>
      <c r="Q117" t="s">
        <v>25</v>
      </c>
      <c r="R117" t="s">
        <v>16245</v>
      </c>
    </row>
    <row r="118" spans="1:22">
      <c r="A118" t="s">
        <v>16449</v>
      </c>
      <c r="B118" t="s">
        <v>16252</v>
      </c>
      <c r="C118" t="s">
        <v>16586</v>
      </c>
      <c r="D118" t="s">
        <v>4479</v>
      </c>
      <c r="E118" s="14" t="s">
        <v>11613</v>
      </c>
      <c r="F118" t="s">
        <v>16238</v>
      </c>
      <c r="G118" s="17" t="str">
        <f>Config!$B$3</f>
        <v>SCH/R_IEC.SchLib</v>
      </c>
      <c r="H118" t="s">
        <v>16254</v>
      </c>
      <c r="I118" s="18" t="s">
        <v>16255</v>
      </c>
      <c r="J118" t="s">
        <v>16470</v>
      </c>
      <c r="M118" s="3">
        <v>3500</v>
      </c>
      <c r="N118" t="s">
        <v>16241</v>
      </c>
      <c r="O118" t="s">
        <v>7506</v>
      </c>
      <c r="P118" t="s">
        <v>16246</v>
      </c>
      <c r="Q118" t="s">
        <v>25</v>
      </c>
      <c r="R118" t="s">
        <v>16247</v>
      </c>
    </row>
    <row r="119" spans="1:22">
      <c r="A119" t="s">
        <v>16450</v>
      </c>
      <c r="B119" t="s">
        <v>16340</v>
      </c>
      <c r="C119" t="s">
        <v>16587</v>
      </c>
      <c r="D119" t="s">
        <v>4479</v>
      </c>
      <c r="E119" s="14" t="s">
        <v>11613</v>
      </c>
      <c r="F119" t="s">
        <v>16338</v>
      </c>
      <c r="G119" s="17" t="str">
        <f>Config!$B$3</f>
        <v>SCH/R_IEC.SchLib</v>
      </c>
      <c r="H119" t="s">
        <v>16254</v>
      </c>
      <c r="I119" s="18" t="s">
        <v>16255</v>
      </c>
      <c r="J119" t="s">
        <v>16470</v>
      </c>
      <c r="M119" s="3">
        <v>4500</v>
      </c>
      <c r="N119" t="s">
        <v>16346</v>
      </c>
      <c r="O119" t="s">
        <v>7506</v>
      </c>
      <c r="P119" t="s">
        <v>16347</v>
      </c>
      <c r="Q119" t="s">
        <v>25</v>
      </c>
      <c r="R119" t="s">
        <v>16348</v>
      </c>
    </row>
    <row r="120" spans="1:22">
      <c r="A120" t="s">
        <v>16451</v>
      </c>
      <c r="B120" t="s">
        <v>16343</v>
      </c>
      <c r="C120" t="s">
        <v>16588</v>
      </c>
      <c r="D120" t="s">
        <v>4479</v>
      </c>
      <c r="E120" s="14" t="s">
        <v>11613</v>
      </c>
      <c r="F120" t="s">
        <v>16345</v>
      </c>
      <c r="G120" s="17" t="str">
        <f>Config!$B$3</f>
        <v>SCH/R_IEC.SchLib</v>
      </c>
      <c r="H120" t="s">
        <v>16254</v>
      </c>
      <c r="I120" s="18" t="s">
        <v>16255</v>
      </c>
      <c r="J120" t="s">
        <v>16470</v>
      </c>
      <c r="M120" s="3">
        <v>5500</v>
      </c>
      <c r="N120" t="s">
        <v>16349</v>
      </c>
      <c r="O120" t="s">
        <v>7506</v>
      </c>
      <c r="P120" t="s">
        <v>16350</v>
      </c>
      <c r="Q120" t="s">
        <v>25</v>
      </c>
      <c r="R120" t="s">
        <v>16351</v>
      </c>
    </row>
    <row r="121" spans="1:22">
      <c r="A121" t="s">
        <v>16452</v>
      </c>
      <c r="B121" t="s">
        <v>16269</v>
      </c>
      <c r="C121" t="s">
        <v>16589</v>
      </c>
      <c r="D121" t="s">
        <v>4479</v>
      </c>
      <c r="E121" s="14" t="s">
        <v>11613</v>
      </c>
      <c r="F121" t="s">
        <v>16253</v>
      </c>
      <c r="G121" s="17" t="str">
        <f>Config!$B$3</f>
        <v>SCH/R_IEC.SchLib</v>
      </c>
      <c r="H121" t="s">
        <v>16254</v>
      </c>
      <c r="I121" s="18" t="s">
        <v>16255</v>
      </c>
      <c r="J121" t="s">
        <v>16470</v>
      </c>
      <c r="M121" s="3">
        <v>800</v>
      </c>
      <c r="N121" t="s">
        <v>16257</v>
      </c>
      <c r="O121" t="s">
        <v>7506</v>
      </c>
      <c r="P121" t="s">
        <v>16258</v>
      </c>
      <c r="Q121" t="s">
        <v>25</v>
      </c>
      <c r="R121" t="s">
        <v>16259</v>
      </c>
      <c r="S121" t="s">
        <v>7506</v>
      </c>
      <c r="T121" t="s">
        <v>16260</v>
      </c>
      <c r="U121" t="s">
        <v>25</v>
      </c>
      <c r="V121" t="s">
        <v>16261</v>
      </c>
    </row>
    <row r="122" spans="1:22">
      <c r="A122" t="s">
        <v>16453</v>
      </c>
      <c r="B122" t="s">
        <v>16248</v>
      </c>
      <c r="C122" t="s">
        <v>16590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16254</v>
      </c>
      <c r="I122" s="18" t="s">
        <v>16255</v>
      </c>
      <c r="J122" t="s">
        <v>16470</v>
      </c>
      <c r="M122" s="3">
        <v>1000</v>
      </c>
      <c r="N122" t="s">
        <v>16239</v>
      </c>
      <c r="O122" t="s">
        <v>7506</v>
      </c>
      <c r="P122" t="s">
        <v>16262</v>
      </c>
      <c r="Q122" t="s">
        <v>25</v>
      </c>
      <c r="R122" t="s">
        <v>16263</v>
      </c>
      <c r="S122" t="s">
        <v>7506</v>
      </c>
      <c r="T122" t="s">
        <v>16231</v>
      </c>
      <c r="U122" t="s">
        <v>25</v>
      </c>
      <c r="V122" t="s">
        <v>16232</v>
      </c>
    </row>
    <row r="123" spans="1:22">
      <c r="A123" t="s">
        <v>16454</v>
      </c>
      <c r="B123" t="s">
        <v>16249</v>
      </c>
      <c r="C123" t="s">
        <v>16591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16254</v>
      </c>
      <c r="I123" s="18" t="s">
        <v>16255</v>
      </c>
      <c r="J123" t="s">
        <v>16470</v>
      </c>
      <c r="M123" s="3">
        <v>1200</v>
      </c>
      <c r="N123" t="s">
        <v>16233</v>
      </c>
      <c r="O123" t="s">
        <v>7506</v>
      </c>
      <c r="P123" t="s">
        <v>16234</v>
      </c>
      <c r="Q123" t="s">
        <v>25</v>
      </c>
      <c r="R123" t="s">
        <v>16235</v>
      </c>
    </row>
    <row r="124" spans="1:22">
      <c r="A124" t="s">
        <v>16455</v>
      </c>
      <c r="B124" t="s">
        <v>16250</v>
      </c>
      <c r="C124" t="s">
        <v>16592</v>
      </c>
      <c r="D124" t="s">
        <v>4479</v>
      </c>
      <c r="E124" s="14" t="s">
        <v>11613</v>
      </c>
      <c r="F124" t="s">
        <v>16236</v>
      </c>
      <c r="G124" s="17" t="str">
        <f>Config!$B$3</f>
        <v>SCH/R_IEC.SchLib</v>
      </c>
      <c r="H124" t="s">
        <v>16254</v>
      </c>
      <c r="I124" s="18" t="s">
        <v>16255</v>
      </c>
      <c r="J124" t="s">
        <v>16470</v>
      </c>
      <c r="M124" s="3">
        <v>1400</v>
      </c>
      <c r="N124" t="s">
        <v>16264</v>
      </c>
      <c r="O124" t="s">
        <v>7506</v>
      </c>
      <c r="P124" t="s">
        <v>16265</v>
      </c>
      <c r="Q124" t="s">
        <v>25</v>
      </c>
      <c r="R124" t="s">
        <v>16266</v>
      </c>
      <c r="S124" t="s">
        <v>7506</v>
      </c>
      <c r="T124" t="s">
        <v>16242</v>
      </c>
      <c r="U124" t="s">
        <v>25</v>
      </c>
      <c r="V124" t="s">
        <v>16243</v>
      </c>
    </row>
    <row r="125" spans="1:22">
      <c r="A125" t="s">
        <v>16456</v>
      </c>
      <c r="B125" t="s">
        <v>16330</v>
      </c>
      <c r="C125" t="s">
        <v>16593</v>
      </c>
      <c r="D125" t="s">
        <v>4479</v>
      </c>
      <c r="E125" s="14" t="s">
        <v>11613</v>
      </c>
      <c r="F125" t="s">
        <v>16332</v>
      </c>
      <c r="G125" s="17" t="str">
        <f>Config!$B$3</f>
        <v>SCH/R_IEC.SchLib</v>
      </c>
      <c r="H125" t="s">
        <v>16254</v>
      </c>
      <c r="I125" s="18" t="s">
        <v>16255</v>
      </c>
      <c r="J125" t="s">
        <v>16470</v>
      </c>
      <c r="M125" s="3">
        <v>1600</v>
      </c>
      <c r="N125" t="s">
        <v>16333</v>
      </c>
      <c r="O125" t="s">
        <v>7506</v>
      </c>
      <c r="P125" t="s">
        <v>16334</v>
      </c>
      <c r="Q125" t="s">
        <v>25</v>
      </c>
      <c r="R125" t="s">
        <v>16335</v>
      </c>
      <c r="S125" t="s">
        <v>7506</v>
      </c>
      <c r="T125" t="s">
        <v>16336</v>
      </c>
      <c r="U125" t="s">
        <v>25</v>
      </c>
      <c r="V125" t="s">
        <v>16337</v>
      </c>
    </row>
    <row r="126" spans="1:22">
      <c r="A126" t="s">
        <v>16457</v>
      </c>
      <c r="B126" t="s">
        <v>16251</v>
      </c>
      <c r="C126" t="s">
        <v>16594</v>
      </c>
      <c r="D126" t="s">
        <v>4479</v>
      </c>
      <c r="E126" s="14" t="s">
        <v>11613</v>
      </c>
      <c r="F126" t="s">
        <v>16237</v>
      </c>
      <c r="G126" s="17" t="str">
        <f>Config!$B$3</f>
        <v>SCH/R_IEC.SchLib</v>
      </c>
      <c r="H126" t="s">
        <v>16254</v>
      </c>
      <c r="I126" s="18" t="s">
        <v>16255</v>
      </c>
      <c r="J126" t="s">
        <v>16470</v>
      </c>
      <c r="M126" s="3">
        <v>2500</v>
      </c>
      <c r="N126" t="s">
        <v>16240</v>
      </c>
      <c r="O126" t="s">
        <v>7506</v>
      </c>
      <c r="P126" t="s">
        <v>16244</v>
      </c>
      <c r="Q126" t="s">
        <v>25</v>
      </c>
      <c r="R126" t="s">
        <v>16245</v>
      </c>
    </row>
    <row r="127" spans="1:22">
      <c r="A127" t="s">
        <v>16458</v>
      </c>
      <c r="B127" t="s">
        <v>16252</v>
      </c>
      <c r="C127" t="s">
        <v>16595</v>
      </c>
      <c r="D127" t="s">
        <v>4479</v>
      </c>
      <c r="E127" s="14" t="s">
        <v>11613</v>
      </c>
      <c r="F127" t="s">
        <v>16238</v>
      </c>
      <c r="G127" s="17" t="str">
        <f>Config!$B$3</f>
        <v>SCH/R_IEC.SchLib</v>
      </c>
      <c r="H127" t="s">
        <v>16254</v>
      </c>
      <c r="I127" s="18" t="s">
        <v>16255</v>
      </c>
      <c r="J127" t="s">
        <v>16470</v>
      </c>
      <c r="M127" s="3">
        <v>3500</v>
      </c>
      <c r="N127" t="s">
        <v>16241</v>
      </c>
      <c r="O127" t="s">
        <v>7506</v>
      </c>
      <c r="P127" t="s">
        <v>16246</v>
      </c>
      <c r="Q127" t="s">
        <v>25</v>
      </c>
      <c r="R127" t="s">
        <v>16247</v>
      </c>
    </row>
    <row r="128" spans="1:22">
      <c r="A128" t="s">
        <v>16459</v>
      </c>
      <c r="B128" t="s">
        <v>16340</v>
      </c>
      <c r="C128" t="s">
        <v>16596</v>
      </c>
      <c r="D128" t="s">
        <v>4479</v>
      </c>
      <c r="E128" s="14" t="s">
        <v>11613</v>
      </c>
      <c r="F128" t="s">
        <v>16338</v>
      </c>
      <c r="G128" s="17" t="str">
        <f>Config!$B$3</f>
        <v>SCH/R_IEC.SchLib</v>
      </c>
      <c r="H128" t="s">
        <v>16254</v>
      </c>
      <c r="I128" s="18" t="s">
        <v>16255</v>
      </c>
      <c r="J128" t="s">
        <v>16470</v>
      </c>
      <c r="M128" s="3">
        <v>4500</v>
      </c>
      <c r="N128" t="s">
        <v>16346</v>
      </c>
      <c r="O128" t="s">
        <v>7506</v>
      </c>
      <c r="P128" t="s">
        <v>16347</v>
      </c>
      <c r="Q128" t="s">
        <v>25</v>
      </c>
      <c r="R128" t="s">
        <v>16348</v>
      </c>
    </row>
    <row r="129" spans="1:22">
      <c r="A129" t="s">
        <v>16460</v>
      </c>
      <c r="B129" t="s">
        <v>16343</v>
      </c>
      <c r="C129" t="s">
        <v>16597</v>
      </c>
      <c r="D129" t="s">
        <v>4479</v>
      </c>
      <c r="E129" s="14" t="s">
        <v>11613</v>
      </c>
      <c r="F129" t="s">
        <v>16345</v>
      </c>
      <c r="G129" s="17" t="str">
        <f>Config!$B$3</f>
        <v>SCH/R_IEC.SchLib</v>
      </c>
      <c r="H129" t="s">
        <v>16254</v>
      </c>
      <c r="I129" s="18" t="s">
        <v>16255</v>
      </c>
      <c r="J129" t="s">
        <v>16470</v>
      </c>
      <c r="M129" s="3">
        <v>5500</v>
      </c>
      <c r="N129" t="s">
        <v>16349</v>
      </c>
      <c r="O129" t="s">
        <v>7506</v>
      </c>
      <c r="P129" t="s">
        <v>16350</v>
      </c>
      <c r="Q129" t="s">
        <v>25</v>
      </c>
      <c r="R129" t="s">
        <v>16351</v>
      </c>
    </row>
    <row r="130" spans="1:22">
      <c r="A130" t="s">
        <v>16461</v>
      </c>
      <c r="B130" t="s">
        <v>16269</v>
      </c>
      <c r="C130" t="s">
        <v>16598</v>
      </c>
      <c r="D130" t="s">
        <v>4479</v>
      </c>
      <c r="E130" s="14" t="s">
        <v>11613</v>
      </c>
      <c r="F130" t="s">
        <v>16253</v>
      </c>
      <c r="G130" s="17" t="str">
        <f>Config!$B$3</f>
        <v>SCH/R_IEC.SchLib</v>
      </c>
      <c r="H130" t="s">
        <v>16254</v>
      </c>
      <c r="I130" s="18" t="s">
        <v>16255</v>
      </c>
      <c r="J130" t="s">
        <v>16470</v>
      </c>
      <c r="M130" s="3">
        <v>800</v>
      </c>
      <c r="N130" t="s">
        <v>16257</v>
      </c>
      <c r="O130" t="s">
        <v>7506</v>
      </c>
      <c r="P130" t="s">
        <v>16258</v>
      </c>
      <c r="Q130" t="s">
        <v>25</v>
      </c>
      <c r="R130" t="s">
        <v>16259</v>
      </c>
      <c r="S130" t="s">
        <v>7506</v>
      </c>
      <c r="T130" t="s">
        <v>16260</v>
      </c>
      <c r="U130" t="s">
        <v>25</v>
      </c>
      <c r="V130" t="s">
        <v>16261</v>
      </c>
    </row>
    <row r="131" spans="1:22">
      <c r="A131" t="s">
        <v>16462</v>
      </c>
      <c r="B131" t="s">
        <v>16248</v>
      </c>
      <c r="C131" t="s">
        <v>16599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16254</v>
      </c>
      <c r="I131" s="18" t="s">
        <v>16255</v>
      </c>
      <c r="J131" t="s">
        <v>16470</v>
      </c>
      <c r="M131" s="3">
        <v>1000</v>
      </c>
      <c r="N131" t="s">
        <v>16239</v>
      </c>
      <c r="O131" t="s">
        <v>7506</v>
      </c>
      <c r="P131" t="s">
        <v>16262</v>
      </c>
      <c r="Q131" t="s">
        <v>25</v>
      </c>
      <c r="R131" t="s">
        <v>16263</v>
      </c>
      <c r="S131" t="s">
        <v>7506</v>
      </c>
      <c r="T131" t="s">
        <v>16231</v>
      </c>
      <c r="U131" t="s">
        <v>25</v>
      </c>
      <c r="V131" t="s">
        <v>16232</v>
      </c>
    </row>
    <row r="132" spans="1:22">
      <c r="A132" t="s">
        <v>16463</v>
      </c>
      <c r="B132" t="s">
        <v>16249</v>
      </c>
      <c r="C132" t="s">
        <v>16600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16254</v>
      </c>
      <c r="I132" s="18" t="s">
        <v>16255</v>
      </c>
      <c r="J132" t="s">
        <v>16470</v>
      </c>
      <c r="M132" s="3">
        <v>1200</v>
      </c>
      <c r="N132" t="s">
        <v>16233</v>
      </c>
      <c r="O132" t="s">
        <v>7506</v>
      </c>
      <c r="P132" t="s">
        <v>16234</v>
      </c>
      <c r="Q132" t="s">
        <v>25</v>
      </c>
      <c r="R132" t="s">
        <v>16235</v>
      </c>
    </row>
    <row r="133" spans="1:22">
      <c r="A133" t="s">
        <v>16464</v>
      </c>
      <c r="B133" t="s">
        <v>16250</v>
      </c>
      <c r="C133" t="s">
        <v>16601</v>
      </c>
      <c r="D133" t="s">
        <v>4479</v>
      </c>
      <c r="E133" s="14" t="s">
        <v>11613</v>
      </c>
      <c r="F133" t="s">
        <v>16236</v>
      </c>
      <c r="G133" s="17" t="str">
        <f>Config!$B$3</f>
        <v>SCH/R_IEC.SchLib</v>
      </c>
      <c r="H133" t="s">
        <v>16254</v>
      </c>
      <c r="I133" s="18" t="s">
        <v>16255</v>
      </c>
      <c r="J133" t="s">
        <v>16470</v>
      </c>
      <c r="M133" s="3">
        <v>1400</v>
      </c>
      <c r="N133" t="s">
        <v>16264</v>
      </c>
      <c r="O133" t="s">
        <v>7506</v>
      </c>
      <c r="P133" t="s">
        <v>16265</v>
      </c>
      <c r="Q133" t="s">
        <v>25</v>
      </c>
      <c r="R133" t="s">
        <v>16266</v>
      </c>
      <c r="S133" t="s">
        <v>7506</v>
      </c>
      <c r="T133" t="s">
        <v>16242</v>
      </c>
      <c r="U133" t="s">
        <v>25</v>
      </c>
      <c r="V133" t="s">
        <v>16243</v>
      </c>
    </row>
    <row r="134" spans="1:22">
      <c r="A134" t="s">
        <v>16465</v>
      </c>
      <c r="B134" t="s">
        <v>16330</v>
      </c>
      <c r="C134" t="s">
        <v>16602</v>
      </c>
      <c r="D134" t="s">
        <v>4479</v>
      </c>
      <c r="E134" s="14" t="s">
        <v>11613</v>
      </c>
      <c r="F134" t="s">
        <v>16332</v>
      </c>
      <c r="G134" s="17" t="str">
        <f>Config!$B$3</f>
        <v>SCH/R_IEC.SchLib</v>
      </c>
      <c r="H134" t="s">
        <v>16254</v>
      </c>
      <c r="I134" s="18" t="s">
        <v>16255</v>
      </c>
      <c r="J134" t="s">
        <v>16470</v>
      </c>
      <c r="M134" s="3">
        <v>1600</v>
      </c>
      <c r="N134" t="s">
        <v>16333</v>
      </c>
      <c r="O134" t="s">
        <v>7506</v>
      </c>
      <c r="P134" t="s">
        <v>16334</v>
      </c>
      <c r="Q134" t="s">
        <v>25</v>
      </c>
      <c r="R134" t="s">
        <v>16335</v>
      </c>
      <c r="S134" t="s">
        <v>7506</v>
      </c>
      <c r="T134" t="s">
        <v>16336</v>
      </c>
      <c r="U134" t="s">
        <v>25</v>
      </c>
      <c r="V134" t="s">
        <v>16337</v>
      </c>
    </row>
    <row r="135" spans="1:22">
      <c r="A135" t="s">
        <v>16466</v>
      </c>
      <c r="B135" t="s">
        <v>16251</v>
      </c>
      <c r="C135" t="s">
        <v>16603</v>
      </c>
      <c r="D135" t="s">
        <v>4479</v>
      </c>
      <c r="E135" s="14" t="s">
        <v>11613</v>
      </c>
      <c r="F135" t="s">
        <v>16237</v>
      </c>
      <c r="G135" s="17" t="str">
        <f>Config!$B$3</f>
        <v>SCH/R_IEC.SchLib</v>
      </c>
      <c r="H135" t="s">
        <v>16254</v>
      </c>
      <c r="I135" s="18" t="s">
        <v>16255</v>
      </c>
      <c r="J135" t="s">
        <v>16470</v>
      </c>
      <c r="M135" s="3">
        <v>2500</v>
      </c>
      <c r="N135" t="s">
        <v>16240</v>
      </c>
      <c r="O135" t="s">
        <v>7506</v>
      </c>
      <c r="P135" t="s">
        <v>16244</v>
      </c>
      <c r="Q135" t="s">
        <v>25</v>
      </c>
      <c r="R135" t="s">
        <v>16245</v>
      </c>
    </row>
    <row r="136" spans="1:22">
      <c r="A136" t="s">
        <v>16467</v>
      </c>
      <c r="B136" t="s">
        <v>16252</v>
      </c>
      <c r="C136" t="s">
        <v>16604</v>
      </c>
      <c r="D136" t="s">
        <v>4479</v>
      </c>
      <c r="E136" s="14" t="s">
        <v>11613</v>
      </c>
      <c r="F136" t="s">
        <v>16238</v>
      </c>
      <c r="G136" s="17" t="str">
        <f>Config!$B$3</f>
        <v>SCH/R_IEC.SchLib</v>
      </c>
      <c r="H136" t="s">
        <v>16254</v>
      </c>
      <c r="I136" s="18" t="s">
        <v>16255</v>
      </c>
      <c r="J136" t="s">
        <v>16470</v>
      </c>
      <c r="M136" s="3">
        <v>3500</v>
      </c>
      <c r="N136" t="s">
        <v>16241</v>
      </c>
      <c r="O136" t="s">
        <v>7506</v>
      </c>
      <c r="P136" t="s">
        <v>16246</v>
      </c>
      <c r="Q136" t="s">
        <v>25</v>
      </c>
      <c r="R136" t="s">
        <v>16247</v>
      </c>
    </row>
    <row r="137" spans="1:22">
      <c r="A137" t="s">
        <v>16468</v>
      </c>
      <c r="B137" t="s">
        <v>16340</v>
      </c>
      <c r="C137" t="s">
        <v>16605</v>
      </c>
      <c r="D137" t="s">
        <v>4479</v>
      </c>
      <c r="E137" s="14" t="s">
        <v>11613</v>
      </c>
      <c r="F137" t="s">
        <v>16338</v>
      </c>
      <c r="G137" s="17" t="str">
        <f>Config!$B$3</f>
        <v>SCH/R_IEC.SchLib</v>
      </c>
      <c r="H137" t="s">
        <v>16254</v>
      </c>
      <c r="I137" s="18" t="s">
        <v>16255</v>
      </c>
      <c r="J137" t="s">
        <v>16470</v>
      </c>
      <c r="M137" s="3">
        <v>4500</v>
      </c>
      <c r="N137" t="s">
        <v>16346</v>
      </c>
      <c r="O137" t="s">
        <v>7506</v>
      </c>
      <c r="P137" t="s">
        <v>16347</v>
      </c>
      <c r="Q137" t="s">
        <v>25</v>
      </c>
      <c r="R137" t="s">
        <v>16348</v>
      </c>
    </row>
    <row r="138" spans="1:22">
      <c r="A138" t="s">
        <v>16469</v>
      </c>
      <c r="B138" t="s">
        <v>16343</v>
      </c>
      <c r="C138" t="s">
        <v>16606</v>
      </c>
      <c r="D138" t="s">
        <v>4479</v>
      </c>
      <c r="E138" s="14" t="s">
        <v>11613</v>
      </c>
      <c r="F138" t="s">
        <v>16345</v>
      </c>
      <c r="G138" s="17" t="str">
        <f>Config!$B$3</f>
        <v>SCH/R_IEC.SchLib</v>
      </c>
      <c r="H138" t="s">
        <v>16254</v>
      </c>
      <c r="I138" s="18" t="s">
        <v>16255</v>
      </c>
      <c r="J138" t="s">
        <v>16470</v>
      </c>
      <c r="M138" s="3">
        <v>5500</v>
      </c>
      <c r="N138" t="s">
        <v>16349</v>
      </c>
      <c r="O138" t="s">
        <v>7506</v>
      </c>
      <c r="P138" t="s">
        <v>16350</v>
      </c>
      <c r="Q138" t="s">
        <v>25</v>
      </c>
      <c r="R138" t="s">
        <v>16351</v>
      </c>
    </row>
    <row r="140" spans="1:22">
      <c r="A140" t="s">
        <v>16472</v>
      </c>
      <c r="B140" t="s">
        <v>16269</v>
      </c>
      <c r="C140" t="s">
        <v>16607</v>
      </c>
      <c r="D140" t="s">
        <v>4479</v>
      </c>
      <c r="E140" s="14" t="s">
        <v>11613</v>
      </c>
      <c r="F140" t="s">
        <v>16253</v>
      </c>
      <c r="G140" s="17" t="str">
        <f>Config!$B$3</f>
        <v>SCH/R_IEC.SchLib</v>
      </c>
      <c r="H140" t="s">
        <v>16254</v>
      </c>
      <c r="I140" s="18" t="s">
        <v>16255</v>
      </c>
      <c r="J140" t="s">
        <v>16471</v>
      </c>
      <c r="M140" s="3">
        <v>800</v>
      </c>
      <c r="N140" t="s">
        <v>16257</v>
      </c>
      <c r="O140" t="s">
        <v>7506</v>
      </c>
      <c r="P140" t="s">
        <v>16258</v>
      </c>
      <c r="Q140" t="s">
        <v>25</v>
      </c>
      <c r="R140" t="s">
        <v>16259</v>
      </c>
      <c r="S140" t="s">
        <v>7506</v>
      </c>
      <c r="T140" t="s">
        <v>16260</v>
      </c>
      <c r="U140" t="s">
        <v>25</v>
      </c>
      <c r="V140" t="s">
        <v>16261</v>
      </c>
    </row>
    <row r="141" spans="1:22">
      <c r="A141" t="s">
        <v>16473</v>
      </c>
      <c r="B141" t="s">
        <v>16248</v>
      </c>
      <c r="C141" t="s">
        <v>16608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16254</v>
      </c>
      <c r="I141" s="18" t="s">
        <v>16255</v>
      </c>
      <c r="J141" t="s">
        <v>16471</v>
      </c>
      <c r="M141" s="3">
        <v>1000</v>
      </c>
      <c r="N141" t="s">
        <v>16239</v>
      </c>
      <c r="O141" t="s">
        <v>7506</v>
      </c>
      <c r="P141" t="s">
        <v>16262</v>
      </c>
      <c r="Q141" t="s">
        <v>25</v>
      </c>
      <c r="R141" t="s">
        <v>16263</v>
      </c>
      <c r="S141" t="s">
        <v>7506</v>
      </c>
      <c r="T141" t="s">
        <v>16231</v>
      </c>
      <c r="U141" t="s">
        <v>25</v>
      </c>
      <c r="V141" t="s">
        <v>16232</v>
      </c>
    </row>
    <row r="142" spans="1:22">
      <c r="A142" t="s">
        <v>16474</v>
      </c>
      <c r="B142" t="s">
        <v>16249</v>
      </c>
      <c r="C142" t="s">
        <v>16609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16254</v>
      </c>
      <c r="I142" s="18" t="s">
        <v>16255</v>
      </c>
      <c r="J142" t="s">
        <v>16471</v>
      </c>
      <c r="M142" s="3">
        <v>1200</v>
      </c>
      <c r="N142" t="s">
        <v>16233</v>
      </c>
      <c r="O142" t="s">
        <v>7506</v>
      </c>
      <c r="P142" t="s">
        <v>16234</v>
      </c>
      <c r="Q142" t="s">
        <v>25</v>
      </c>
      <c r="R142" t="s">
        <v>16235</v>
      </c>
    </row>
    <row r="143" spans="1:22">
      <c r="A143" t="s">
        <v>16475</v>
      </c>
      <c r="B143" t="s">
        <v>16250</v>
      </c>
      <c r="C143" t="s">
        <v>16610</v>
      </c>
      <c r="D143" t="s">
        <v>4479</v>
      </c>
      <c r="E143" s="14" t="s">
        <v>11613</v>
      </c>
      <c r="F143" t="s">
        <v>16236</v>
      </c>
      <c r="G143" s="17" t="str">
        <f>Config!$B$3</f>
        <v>SCH/R_IEC.SchLib</v>
      </c>
      <c r="H143" t="s">
        <v>16254</v>
      </c>
      <c r="I143" s="18" t="s">
        <v>16255</v>
      </c>
      <c r="J143" t="s">
        <v>16471</v>
      </c>
      <c r="M143" s="3">
        <v>1400</v>
      </c>
      <c r="N143" t="s">
        <v>16264</v>
      </c>
      <c r="O143" t="s">
        <v>7506</v>
      </c>
      <c r="P143" t="s">
        <v>16265</v>
      </c>
      <c r="Q143" t="s">
        <v>25</v>
      </c>
      <c r="R143" t="s">
        <v>16266</v>
      </c>
      <c r="S143" t="s">
        <v>7506</v>
      </c>
      <c r="T143" t="s">
        <v>16242</v>
      </c>
      <c r="U143" t="s">
        <v>25</v>
      </c>
      <c r="V143" t="s">
        <v>16243</v>
      </c>
    </row>
    <row r="144" spans="1:22">
      <c r="A144" t="s">
        <v>16476</v>
      </c>
      <c r="B144" t="s">
        <v>16330</v>
      </c>
      <c r="C144" t="s">
        <v>16611</v>
      </c>
      <c r="D144" t="s">
        <v>4479</v>
      </c>
      <c r="E144" s="14" t="s">
        <v>11613</v>
      </c>
      <c r="F144" t="s">
        <v>16332</v>
      </c>
      <c r="G144" s="17" t="str">
        <f>Config!$B$3</f>
        <v>SCH/R_IEC.SchLib</v>
      </c>
      <c r="H144" t="s">
        <v>16254</v>
      </c>
      <c r="I144" s="18" t="s">
        <v>16255</v>
      </c>
      <c r="J144" t="s">
        <v>16471</v>
      </c>
      <c r="M144" s="3">
        <v>1600</v>
      </c>
      <c r="N144" t="s">
        <v>16333</v>
      </c>
      <c r="O144" t="s">
        <v>7506</v>
      </c>
      <c r="P144" t="s">
        <v>16334</v>
      </c>
      <c r="Q144" t="s">
        <v>25</v>
      </c>
      <c r="R144" t="s">
        <v>16335</v>
      </c>
      <c r="S144" t="s">
        <v>7506</v>
      </c>
      <c r="T144" t="s">
        <v>16336</v>
      </c>
      <c r="U144" t="s">
        <v>25</v>
      </c>
      <c r="V144" t="s">
        <v>16337</v>
      </c>
    </row>
    <row r="145" spans="1:22">
      <c r="A145" t="s">
        <v>16477</v>
      </c>
      <c r="B145" t="s">
        <v>16251</v>
      </c>
      <c r="C145" t="s">
        <v>16612</v>
      </c>
      <c r="D145" t="s">
        <v>4479</v>
      </c>
      <c r="E145" s="14" t="s">
        <v>11613</v>
      </c>
      <c r="F145" t="s">
        <v>16237</v>
      </c>
      <c r="G145" s="17" t="str">
        <f>Config!$B$3</f>
        <v>SCH/R_IEC.SchLib</v>
      </c>
      <c r="H145" t="s">
        <v>16254</v>
      </c>
      <c r="I145" s="18" t="s">
        <v>16255</v>
      </c>
      <c r="J145" t="s">
        <v>16471</v>
      </c>
      <c r="M145" s="3">
        <v>2500</v>
      </c>
      <c r="N145" t="s">
        <v>16240</v>
      </c>
      <c r="O145" t="s">
        <v>7506</v>
      </c>
      <c r="P145" t="s">
        <v>16244</v>
      </c>
      <c r="Q145" t="s">
        <v>25</v>
      </c>
      <c r="R145" t="s">
        <v>16245</v>
      </c>
    </row>
    <row r="146" spans="1:22">
      <c r="A146" t="s">
        <v>16478</v>
      </c>
      <c r="B146" t="s">
        <v>16252</v>
      </c>
      <c r="C146" t="s">
        <v>16613</v>
      </c>
      <c r="D146" t="s">
        <v>4479</v>
      </c>
      <c r="E146" s="14" t="s">
        <v>11613</v>
      </c>
      <c r="F146" t="s">
        <v>16238</v>
      </c>
      <c r="G146" s="17" t="str">
        <f>Config!$B$3</f>
        <v>SCH/R_IEC.SchLib</v>
      </c>
      <c r="H146" t="s">
        <v>16254</v>
      </c>
      <c r="I146" s="18" t="s">
        <v>16255</v>
      </c>
      <c r="J146" t="s">
        <v>16471</v>
      </c>
      <c r="M146" s="3">
        <v>3500</v>
      </c>
      <c r="N146" t="s">
        <v>16241</v>
      </c>
      <c r="O146" t="s">
        <v>7506</v>
      </c>
      <c r="P146" t="s">
        <v>16246</v>
      </c>
      <c r="Q146" t="s">
        <v>25</v>
      </c>
      <c r="R146" t="s">
        <v>16247</v>
      </c>
    </row>
    <row r="147" spans="1:22">
      <c r="A147" t="s">
        <v>16479</v>
      </c>
      <c r="B147" t="s">
        <v>16340</v>
      </c>
      <c r="C147" t="s">
        <v>16614</v>
      </c>
      <c r="D147" t="s">
        <v>4479</v>
      </c>
      <c r="E147" s="14" t="s">
        <v>11613</v>
      </c>
      <c r="F147" t="s">
        <v>16338</v>
      </c>
      <c r="G147" s="17" t="str">
        <f>Config!$B$3</f>
        <v>SCH/R_IEC.SchLib</v>
      </c>
      <c r="H147" t="s">
        <v>16254</v>
      </c>
      <c r="I147" s="18" t="s">
        <v>16255</v>
      </c>
      <c r="J147" t="s">
        <v>16471</v>
      </c>
      <c r="M147" s="3">
        <v>4500</v>
      </c>
      <c r="N147" t="s">
        <v>16346</v>
      </c>
      <c r="O147" t="s">
        <v>7506</v>
      </c>
      <c r="P147" t="s">
        <v>16347</v>
      </c>
      <c r="Q147" t="s">
        <v>25</v>
      </c>
      <c r="R147" t="s">
        <v>16348</v>
      </c>
    </row>
    <row r="148" spans="1:22">
      <c r="A148" t="s">
        <v>16480</v>
      </c>
      <c r="B148" t="s">
        <v>16343</v>
      </c>
      <c r="C148" t="s">
        <v>16615</v>
      </c>
      <c r="D148" t="s">
        <v>4479</v>
      </c>
      <c r="E148" s="14" t="s">
        <v>11613</v>
      </c>
      <c r="F148" t="s">
        <v>16345</v>
      </c>
      <c r="G148" s="17" t="str">
        <f>Config!$B$3</f>
        <v>SCH/R_IEC.SchLib</v>
      </c>
      <c r="H148" t="s">
        <v>16254</v>
      </c>
      <c r="I148" s="18" t="s">
        <v>16255</v>
      </c>
      <c r="J148" t="s">
        <v>16471</v>
      </c>
      <c r="M148" s="3">
        <v>5500</v>
      </c>
      <c r="N148" t="s">
        <v>16349</v>
      </c>
      <c r="O148" t="s">
        <v>7506</v>
      </c>
      <c r="P148" t="s">
        <v>16350</v>
      </c>
      <c r="Q148" t="s">
        <v>25</v>
      </c>
      <c r="R148" t="s">
        <v>16351</v>
      </c>
    </row>
    <row r="149" spans="1:22">
      <c r="A149" t="s">
        <v>16481</v>
      </c>
      <c r="B149" t="s">
        <v>16269</v>
      </c>
      <c r="C149" t="s">
        <v>16616</v>
      </c>
      <c r="D149" t="s">
        <v>4479</v>
      </c>
      <c r="E149" s="14" t="s">
        <v>11613</v>
      </c>
      <c r="F149" t="s">
        <v>16253</v>
      </c>
      <c r="G149" s="17" t="str">
        <f>Config!$B$3</f>
        <v>SCH/R_IEC.SchLib</v>
      </c>
      <c r="H149" t="s">
        <v>16254</v>
      </c>
      <c r="I149" s="18" t="s">
        <v>16255</v>
      </c>
      <c r="J149" t="s">
        <v>16471</v>
      </c>
      <c r="M149" s="3">
        <v>800</v>
      </c>
      <c r="N149" t="s">
        <v>16257</v>
      </c>
      <c r="O149" t="s">
        <v>7506</v>
      </c>
      <c r="P149" t="s">
        <v>16258</v>
      </c>
      <c r="Q149" t="s">
        <v>25</v>
      </c>
      <c r="R149" t="s">
        <v>16259</v>
      </c>
      <c r="S149" t="s">
        <v>7506</v>
      </c>
      <c r="T149" t="s">
        <v>16260</v>
      </c>
      <c r="U149" t="s">
        <v>25</v>
      </c>
      <c r="V149" t="s">
        <v>16261</v>
      </c>
    </row>
    <row r="150" spans="1:22">
      <c r="A150" t="s">
        <v>16482</v>
      </c>
      <c r="B150" t="s">
        <v>16248</v>
      </c>
      <c r="C150" t="s">
        <v>16617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16254</v>
      </c>
      <c r="I150" s="18" t="s">
        <v>16255</v>
      </c>
      <c r="J150" t="s">
        <v>16471</v>
      </c>
      <c r="M150" s="3">
        <v>1000</v>
      </c>
      <c r="N150" t="s">
        <v>16239</v>
      </c>
      <c r="O150" t="s">
        <v>7506</v>
      </c>
      <c r="P150" t="s">
        <v>16262</v>
      </c>
      <c r="Q150" t="s">
        <v>25</v>
      </c>
      <c r="R150" t="s">
        <v>16263</v>
      </c>
      <c r="S150" t="s">
        <v>7506</v>
      </c>
      <c r="T150" t="s">
        <v>16231</v>
      </c>
      <c r="U150" t="s">
        <v>25</v>
      </c>
      <c r="V150" t="s">
        <v>16232</v>
      </c>
    </row>
    <row r="151" spans="1:22">
      <c r="A151" t="s">
        <v>16483</v>
      </c>
      <c r="B151" t="s">
        <v>16249</v>
      </c>
      <c r="C151" t="s">
        <v>16618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16254</v>
      </c>
      <c r="I151" s="18" t="s">
        <v>16255</v>
      </c>
      <c r="J151" t="s">
        <v>16471</v>
      </c>
      <c r="M151" s="3">
        <v>1200</v>
      </c>
      <c r="N151" t="s">
        <v>16233</v>
      </c>
      <c r="O151" t="s">
        <v>7506</v>
      </c>
      <c r="P151" t="s">
        <v>16234</v>
      </c>
      <c r="Q151" t="s">
        <v>25</v>
      </c>
      <c r="R151" t="s">
        <v>16235</v>
      </c>
    </row>
    <row r="152" spans="1:22">
      <c r="A152" t="s">
        <v>16484</v>
      </c>
      <c r="B152" t="s">
        <v>16250</v>
      </c>
      <c r="C152" t="s">
        <v>16619</v>
      </c>
      <c r="D152" t="s">
        <v>4479</v>
      </c>
      <c r="E152" s="14" t="s">
        <v>11613</v>
      </c>
      <c r="F152" t="s">
        <v>16236</v>
      </c>
      <c r="G152" s="17" t="str">
        <f>Config!$B$3</f>
        <v>SCH/R_IEC.SchLib</v>
      </c>
      <c r="H152" t="s">
        <v>16254</v>
      </c>
      <c r="I152" s="18" t="s">
        <v>16255</v>
      </c>
      <c r="J152" t="s">
        <v>16471</v>
      </c>
      <c r="M152" s="3">
        <v>1400</v>
      </c>
      <c r="N152" t="s">
        <v>16264</v>
      </c>
      <c r="O152" t="s">
        <v>7506</v>
      </c>
      <c r="P152" t="s">
        <v>16265</v>
      </c>
      <c r="Q152" t="s">
        <v>25</v>
      </c>
      <c r="R152" t="s">
        <v>16266</v>
      </c>
      <c r="S152" t="s">
        <v>7506</v>
      </c>
      <c r="T152" t="s">
        <v>16242</v>
      </c>
      <c r="U152" t="s">
        <v>25</v>
      </c>
      <c r="V152" t="s">
        <v>16243</v>
      </c>
    </row>
    <row r="153" spans="1:22">
      <c r="A153" t="s">
        <v>16485</v>
      </c>
      <c r="B153" t="s">
        <v>16330</v>
      </c>
      <c r="C153" t="s">
        <v>16620</v>
      </c>
      <c r="D153" t="s">
        <v>4479</v>
      </c>
      <c r="E153" s="14" t="s">
        <v>11613</v>
      </c>
      <c r="F153" t="s">
        <v>16332</v>
      </c>
      <c r="G153" s="17" t="str">
        <f>Config!$B$3</f>
        <v>SCH/R_IEC.SchLib</v>
      </c>
      <c r="H153" t="s">
        <v>16254</v>
      </c>
      <c r="I153" s="18" t="s">
        <v>16255</v>
      </c>
      <c r="J153" t="s">
        <v>16471</v>
      </c>
      <c r="M153" s="3">
        <v>1600</v>
      </c>
      <c r="N153" t="s">
        <v>16333</v>
      </c>
      <c r="O153" t="s">
        <v>7506</v>
      </c>
      <c r="P153" t="s">
        <v>16334</v>
      </c>
      <c r="Q153" t="s">
        <v>25</v>
      </c>
      <c r="R153" t="s">
        <v>16335</v>
      </c>
      <c r="S153" t="s">
        <v>7506</v>
      </c>
      <c r="T153" t="s">
        <v>16336</v>
      </c>
      <c r="U153" t="s">
        <v>25</v>
      </c>
      <c r="V153" t="s">
        <v>16337</v>
      </c>
    </row>
    <row r="154" spans="1:22">
      <c r="A154" t="s">
        <v>16486</v>
      </c>
      <c r="B154" t="s">
        <v>16251</v>
      </c>
      <c r="C154" t="s">
        <v>16621</v>
      </c>
      <c r="D154" t="s">
        <v>4479</v>
      </c>
      <c r="E154" s="14" t="s">
        <v>11613</v>
      </c>
      <c r="F154" t="s">
        <v>16237</v>
      </c>
      <c r="G154" s="17" t="str">
        <f>Config!$B$3</f>
        <v>SCH/R_IEC.SchLib</v>
      </c>
      <c r="H154" t="s">
        <v>16254</v>
      </c>
      <c r="I154" s="18" t="s">
        <v>16255</v>
      </c>
      <c r="J154" t="s">
        <v>16471</v>
      </c>
      <c r="M154" s="3">
        <v>2500</v>
      </c>
      <c r="N154" t="s">
        <v>16240</v>
      </c>
      <c r="O154" t="s">
        <v>7506</v>
      </c>
      <c r="P154" t="s">
        <v>16244</v>
      </c>
      <c r="Q154" t="s">
        <v>25</v>
      </c>
      <c r="R154" t="s">
        <v>16245</v>
      </c>
    </row>
    <row r="155" spans="1:22">
      <c r="A155" t="s">
        <v>16487</v>
      </c>
      <c r="B155" t="s">
        <v>16252</v>
      </c>
      <c r="C155" t="s">
        <v>16622</v>
      </c>
      <c r="D155" t="s">
        <v>4479</v>
      </c>
      <c r="E155" s="14" t="s">
        <v>11613</v>
      </c>
      <c r="F155" t="s">
        <v>16238</v>
      </c>
      <c r="G155" s="17" t="str">
        <f>Config!$B$3</f>
        <v>SCH/R_IEC.SchLib</v>
      </c>
      <c r="H155" t="s">
        <v>16254</v>
      </c>
      <c r="I155" s="18" t="s">
        <v>16255</v>
      </c>
      <c r="J155" t="s">
        <v>16471</v>
      </c>
      <c r="M155" s="3">
        <v>3500</v>
      </c>
      <c r="N155" t="s">
        <v>16241</v>
      </c>
      <c r="O155" t="s">
        <v>7506</v>
      </c>
      <c r="P155" t="s">
        <v>16246</v>
      </c>
      <c r="Q155" t="s">
        <v>25</v>
      </c>
      <c r="R155" t="s">
        <v>16247</v>
      </c>
    </row>
    <row r="156" spans="1:22">
      <c r="A156" t="s">
        <v>16488</v>
      </c>
      <c r="B156" t="s">
        <v>16340</v>
      </c>
      <c r="C156" t="s">
        <v>16623</v>
      </c>
      <c r="D156" t="s">
        <v>4479</v>
      </c>
      <c r="E156" s="14" t="s">
        <v>11613</v>
      </c>
      <c r="F156" t="s">
        <v>16338</v>
      </c>
      <c r="G156" s="17" t="str">
        <f>Config!$B$3</f>
        <v>SCH/R_IEC.SchLib</v>
      </c>
      <c r="H156" t="s">
        <v>16254</v>
      </c>
      <c r="I156" s="18" t="s">
        <v>16255</v>
      </c>
      <c r="J156" t="s">
        <v>16471</v>
      </c>
      <c r="M156" s="3">
        <v>4500</v>
      </c>
      <c r="N156" t="s">
        <v>16346</v>
      </c>
      <c r="O156" t="s">
        <v>7506</v>
      </c>
      <c r="P156" t="s">
        <v>16347</v>
      </c>
      <c r="Q156" t="s">
        <v>25</v>
      </c>
      <c r="R156" t="s">
        <v>16348</v>
      </c>
    </row>
    <row r="157" spans="1:22">
      <c r="A157" t="s">
        <v>16489</v>
      </c>
      <c r="B157" t="s">
        <v>16343</v>
      </c>
      <c r="C157" t="s">
        <v>16624</v>
      </c>
      <c r="D157" t="s">
        <v>4479</v>
      </c>
      <c r="E157" s="14" t="s">
        <v>11613</v>
      </c>
      <c r="F157" t="s">
        <v>16345</v>
      </c>
      <c r="G157" s="17" t="str">
        <f>Config!$B$3</f>
        <v>SCH/R_IEC.SchLib</v>
      </c>
      <c r="H157" t="s">
        <v>16254</v>
      </c>
      <c r="I157" s="18" t="s">
        <v>16255</v>
      </c>
      <c r="J157" t="s">
        <v>16471</v>
      </c>
      <c r="M157" s="3">
        <v>5500</v>
      </c>
      <c r="N157" t="s">
        <v>16349</v>
      </c>
      <c r="O157" t="s">
        <v>7506</v>
      </c>
      <c r="P157" t="s">
        <v>16350</v>
      </c>
      <c r="Q157" t="s">
        <v>25</v>
      </c>
      <c r="R157" t="s">
        <v>16351</v>
      </c>
    </row>
    <row r="158" spans="1:22">
      <c r="A158" t="s">
        <v>16490</v>
      </c>
      <c r="B158" t="s">
        <v>16269</v>
      </c>
      <c r="C158" t="s">
        <v>16625</v>
      </c>
      <c r="D158" t="s">
        <v>4479</v>
      </c>
      <c r="E158" s="14" t="s">
        <v>11613</v>
      </c>
      <c r="F158" t="s">
        <v>16253</v>
      </c>
      <c r="G158" s="17" t="str">
        <f>Config!$B$3</f>
        <v>SCH/R_IEC.SchLib</v>
      </c>
      <c r="H158" t="s">
        <v>16254</v>
      </c>
      <c r="I158" s="18" t="s">
        <v>16255</v>
      </c>
      <c r="J158" t="s">
        <v>16471</v>
      </c>
      <c r="M158" s="3">
        <v>800</v>
      </c>
      <c r="N158" t="s">
        <v>16257</v>
      </c>
      <c r="O158" t="s">
        <v>7506</v>
      </c>
      <c r="P158" t="s">
        <v>16258</v>
      </c>
      <c r="Q158" t="s">
        <v>25</v>
      </c>
      <c r="R158" t="s">
        <v>16259</v>
      </c>
      <c r="S158" t="s">
        <v>7506</v>
      </c>
      <c r="T158" t="s">
        <v>16260</v>
      </c>
      <c r="U158" t="s">
        <v>25</v>
      </c>
      <c r="V158" t="s">
        <v>16261</v>
      </c>
    </row>
    <row r="159" spans="1:22">
      <c r="A159" t="s">
        <v>16491</v>
      </c>
      <c r="B159" t="s">
        <v>16248</v>
      </c>
      <c r="C159" t="s">
        <v>16626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16254</v>
      </c>
      <c r="I159" s="18" t="s">
        <v>16255</v>
      </c>
      <c r="J159" t="s">
        <v>16471</v>
      </c>
      <c r="M159" s="3">
        <v>1000</v>
      </c>
      <c r="N159" t="s">
        <v>16239</v>
      </c>
      <c r="O159" t="s">
        <v>7506</v>
      </c>
      <c r="P159" t="s">
        <v>16262</v>
      </c>
      <c r="Q159" t="s">
        <v>25</v>
      </c>
      <c r="R159" t="s">
        <v>16263</v>
      </c>
      <c r="S159" t="s">
        <v>7506</v>
      </c>
      <c r="T159" t="s">
        <v>16231</v>
      </c>
      <c r="U159" t="s">
        <v>25</v>
      </c>
      <c r="V159" t="s">
        <v>16232</v>
      </c>
    </row>
    <row r="160" spans="1:22">
      <c r="A160" t="s">
        <v>16492</v>
      </c>
      <c r="B160" t="s">
        <v>16249</v>
      </c>
      <c r="C160" t="s">
        <v>16627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16254</v>
      </c>
      <c r="I160" s="18" t="s">
        <v>16255</v>
      </c>
      <c r="J160" t="s">
        <v>16471</v>
      </c>
      <c r="M160" s="3">
        <v>1200</v>
      </c>
      <c r="N160" t="s">
        <v>16233</v>
      </c>
      <c r="O160" t="s">
        <v>7506</v>
      </c>
      <c r="P160" t="s">
        <v>16234</v>
      </c>
      <c r="Q160" t="s">
        <v>25</v>
      </c>
      <c r="R160" t="s">
        <v>16235</v>
      </c>
    </row>
    <row r="161" spans="1:22">
      <c r="A161" t="s">
        <v>16493</v>
      </c>
      <c r="B161" t="s">
        <v>16250</v>
      </c>
      <c r="C161" t="s">
        <v>16628</v>
      </c>
      <c r="D161" t="s">
        <v>4479</v>
      </c>
      <c r="E161" s="14" t="s">
        <v>11613</v>
      </c>
      <c r="F161" t="s">
        <v>16236</v>
      </c>
      <c r="G161" s="17" t="str">
        <f>Config!$B$3</f>
        <v>SCH/R_IEC.SchLib</v>
      </c>
      <c r="H161" t="s">
        <v>16254</v>
      </c>
      <c r="I161" s="18" t="s">
        <v>16255</v>
      </c>
      <c r="J161" t="s">
        <v>16471</v>
      </c>
      <c r="M161" s="3">
        <v>1400</v>
      </c>
      <c r="N161" t="s">
        <v>16264</v>
      </c>
      <c r="O161" t="s">
        <v>7506</v>
      </c>
      <c r="P161" t="s">
        <v>16265</v>
      </c>
      <c r="Q161" t="s">
        <v>25</v>
      </c>
      <c r="R161" t="s">
        <v>16266</v>
      </c>
      <c r="S161" t="s">
        <v>7506</v>
      </c>
      <c r="T161" t="s">
        <v>16242</v>
      </c>
      <c r="U161" t="s">
        <v>25</v>
      </c>
      <c r="V161" t="s">
        <v>16243</v>
      </c>
    </row>
    <row r="162" spans="1:22">
      <c r="A162" t="s">
        <v>16494</v>
      </c>
      <c r="B162" t="s">
        <v>16330</v>
      </c>
      <c r="C162" t="s">
        <v>16629</v>
      </c>
      <c r="D162" t="s">
        <v>4479</v>
      </c>
      <c r="E162" s="14" t="s">
        <v>11613</v>
      </c>
      <c r="F162" t="s">
        <v>16332</v>
      </c>
      <c r="G162" s="17" t="str">
        <f>Config!$B$3</f>
        <v>SCH/R_IEC.SchLib</v>
      </c>
      <c r="H162" t="s">
        <v>16254</v>
      </c>
      <c r="I162" s="18" t="s">
        <v>16255</v>
      </c>
      <c r="J162" t="s">
        <v>16471</v>
      </c>
      <c r="M162" s="3">
        <v>1600</v>
      </c>
      <c r="N162" t="s">
        <v>16333</v>
      </c>
      <c r="O162" t="s">
        <v>7506</v>
      </c>
      <c r="P162" t="s">
        <v>16334</v>
      </c>
      <c r="Q162" t="s">
        <v>25</v>
      </c>
      <c r="R162" t="s">
        <v>16335</v>
      </c>
      <c r="S162" t="s">
        <v>7506</v>
      </c>
      <c r="T162" t="s">
        <v>16336</v>
      </c>
      <c r="U162" t="s">
        <v>25</v>
      </c>
      <c r="V162" t="s">
        <v>16337</v>
      </c>
    </row>
    <row r="163" spans="1:22">
      <c r="A163" t="s">
        <v>16495</v>
      </c>
      <c r="B163" t="s">
        <v>16251</v>
      </c>
      <c r="C163" t="s">
        <v>16630</v>
      </c>
      <c r="D163" t="s">
        <v>4479</v>
      </c>
      <c r="E163" s="14" t="s">
        <v>11613</v>
      </c>
      <c r="F163" t="s">
        <v>16237</v>
      </c>
      <c r="G163" s="17" t="str">
        <f>Config!$B$3</f>
        <v>SCH/R_IEC.SchLib</v>
      </c>
      <c r="H163" t="s">
        <v>16254</v>
      </c>
      <c r="I163" s="18" t="s">
        <v>16255</v>
      </c>
      <c r="J163" t="s">
        <v>16471</v>
      </c>
      <c r="M163" s="3">
        <v>2500</v>
      </c>
      <c r="N163" t="s">
        <v>16240</v>
      </c>
      <c r="O163" t="s">
        <v>7506</v>
      </c>
      <c r="P163" t="s">
        <v>16244</v>
      </c>
      <c r="Q163" t="s">
        <v>25</v>
      </c>
      <c r="R163" t="s">
        <v>16245</v>
      </c>
    </row>
    <row r="164" spans="1:22">
      <c r="A164" t="s">
        <v>16496</v>
      </c>
      <c r="B164" t="s">
        <v>16252</v>
      </c>
      <c r="C164" t="s">
        <v>16631</v>
      </c>
      <c r="D164" t="s">
        <v>4479</v>
      </c>
      <c r="E164" s="14" t="s">
        <v>11613</v>
      </c>
      <c r="F164" t="s">
        <v>16238</v>
      </c>
      <c r="G164" s="17" t="str">
        <f>Config!$B$3</f>
        <v>SCH/R_IEC.SchLib</v>
      </c>
      <c r="H164" t="s">
        <v>16254</v>
      </c>
      <c r="I164" s="18" t="s">
        <v>16255</v>
      </c>
      <c r="J164" t="s">
        <v>16471</v>
      </c>
      <c r="M164" s="3">
        <v>3500</v>
      </c>
      <c r="N164" t="s">
        <v>16241</v>
      </c>
      <c r="O164" t="s">
        <v>7506</v>
      </c>
      <c r="P164" t="s">
        <v>16246</v>
      </c>
      <c r="Q164" t="s">
        <v>25</v>
      </c>
      <c r="R164" t="s">
        <v>16247</v>
      </c>
    </row>
    <row r="165" spans="1:22">
      <c r="A165" t="s">
        <v>16497</v>
      </c>
      <c r="B165" t="s">
        <v>16340</v>
      </c>
      <c r="C165" t="s">
        <v>16632</v>
      </c>
      <c r="D165" t="s">
        <v>4479</v>
      </c>
      <c r="E165" s="14" t="s">
        <v>11613</v>
      </c>
      <c r="F165" t="s">
        <v>16338</v>
      </c>
      <c r="G165" s="17" t="str">
        <f>Config!$B$3</f>
        <v>SCH/R_IEC.SchLib</v>
      </c>
      <c r="H165" t="s">
        <v>16254</v>
      </c>
      <c r="I165" s="18" t="s">
        <v>16255</v>
      </c>
      <c r="J165" t="s">
        <v>16471</v>
      </c>
      <c r="M165" s="3">
        <v>4500</v>
      </c>
      <c r="N165" t="s">
        <v>16346</v>
      </c>
      <c r="O165" t="s">
        <v>7506</v>
      </c>
      <c r="P165" t="s">
        <v>16347</v>
      </c>
      <c r="Q165" t="s">
        <v>25</v>
      </c>
      <c r="R165" t="s">
        <v>16348</v>
      </c>
    </row>
    <row r="166" spans="1:22">
      <c r="A166" t="s">
        <v>16498</v>
      </c>
      <c r="B166" t="s">
        <v>16343</v>
      </c>
      <c r="C166" t="s">
        <v>16633</v>
      </c>
      <c r="D166" t="s">
        <v>4479</v>
      </c>
      <c r="E166" s="14" t="s">
        <v>11613</v>
      </c>
      <c r="F166" t="s">
        <v>16345</v>
      </c>
      <c r="G166" s="17" t="str">
        <f>Config!$B$3</f>
        <v>SCH/R_IEC.SchLib</v>
      </c>
      <c r="H166" t="s">
        <v>16254</v>
      </c>
      <c r="I166" s="18" t="s">
        <v>16255</v>
      </c>
      <c r="J166" t="s">
        <v>16471</v>
      </c>
      <c r="M166" s="3">
        <v>5500</v>
      </c>
      <c r="N166" t="s">
        <v>16349</v>
      </c>
      <c r="O166" t="s">
        <v>7506</v>
      </c>
      <c r="P166" t="s">
        <v>16350</v>
      </c>
      <c r="Q166" t="s">
        <v>25</v>
      </c>
      <c r="R166" t="s">
        <v>16351</v>
      </c>
    </row>
    <row r="167" spans="1:22">
      <c r="A167" t="s">
        <v>16499</v>
      </c>
      <c r="B167" t="s">
        <v>16269</v>
      </c>
      <c r="C167" t="s">
        <v>16634</v>
      </c>
      <c r="D167" t="s">
        <v>4479</v>
      </c>
      <c r="E167" s="14" t="s">
        <v>11613</v>
      </c>
      <c r="F167" t="s">
        <v>16253</v>
      </c>
      <c r="G167" s="17" t="str">
        <f>Config!$B$3</f>
        <v>SCH/R_IEC.SchLib</v>
      </c>
      <c r="H167" t="s">
        <v>16254</v>
      </c>
      <c r="I167" s="18" t="s">
        <v>16255</v>
      </c>
      <c r="J167" t="s">
        <v>16471</v>
      </c>
      <c r="M167" s="3">
        <v>800</v>
      </c>
      <c r="N167" t="s">
        <v>16257</v>
      </c>
      <c r="O167" t="s">
        <v>7506</v>
      </c>
      <c r="P167" t="s">
        <v>16258</v>
      </c>
      <c r="Q167" t="s">
        <v>25</v>
      </c>
      <c r="R167" t="s">
        <v>16259</v>
      </c>
      <c r="S167" t="s">
        <v>7506</v>
      </c>
      <c r="T167" t="s">
        <v>16260</v>
      </c>
      <c r="U167" t="s">
        <v>25</v>
      </c>
      <c r="V167" t="s">
        <v>16261</v>
      </c>
    </row>
    <row r="168" spans="1:22">
      <c r="A168" t="s">
        <v>16500</v>
      </c>
      <c r="B168" t="s">
        <v>16248</v>
      </c>
      <c r="C168" t="s">
        <v>16635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16254</v>
      </c>
      <c r="I168" s="18" t="s">
        <v>16255</v>
      </c>
      <c r="J168" t="s">
        <v>16471</v>
      </c>
      <c r="M168" s="3">
        <v>1000</v>
      </c>
      <c r="N168" t="s">
        <v>16239</v>
      </c>
      <c r="O168" t="s">
        <v>7506</v>
      </c>
      <c r="P168" t="s">
        <v>16262</v>
      </c>
      <c r="Q168" t="s">
        <v>25</v>
      </c>
      <c r="R168" t="s">
        <v>16263</v>
      </c>
      <c r="S168" t="s">
        <v>7506</v>
      </c>
      <c r="T168" t="s">
        <v>16231</v>
      </c>
      <c r="U168" t="s">
        <v>25</v>
      </c>
      <c r="V168" t="s">
        <v>16232</v>
      </c>
    </row>
    <row r="169" spans="1:22">
      <c r="A169" t="s">
        <v>16501</v>
      </c>
      <c r="B169" t="s">
        <v>16249</v>
      </c>
      <c r="C169" t="s">
        <v>16636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16254</v>
      </c>
      <c r="I169" s="18" t="s">
        <v>16255</v>
      </c>
      <c r="J169" t="s">
        <v>16471</v>
      </c>
      <c r="M169" s="3">
        <v>1200</v>
      </c>
      <c r="N169" t="s">
        <v>16233</v>
      </c>
      <c r="O169" t="s">
        <v>7506</v>
      </c>
      <c r="P169" t="s">
        <v>16234</v>
      </c>
      <c r="Q169" t="s">
        <v>25</v>
      </c>
      <c r="R169" t="s">
        <v>16235</v>
      </c>
    </row>
    <row r="170" spans="1:22">
      <c r="A170" t="s">
        <v>16502</v>
      </c>
      <c r="B170" t="s">
        <v>16250</v>
      </c>
      <c r="C170" t="s">
        <v>16637</v>
      </c>
      <c r="D170" t="s">
        <v>4479</v>
      </c>
      <c r="E170" s="14" t="s">
        <v>11613</v>
      </c>
      <c r="F170" t="s">
        <v>16236</v>
      </c>
      <c r="G170" s="17" t="str">
        <f>Config!$B$3</f>
        <v>SCH/R_IEC.SchLib</v>
      </c>
      <c r="H170" t="s">
        <v>16254</v>
      </c>
      <c r="I170" s="18" t="s">
        <v>16255</v>
      </c>
      <c r="J170" t="s">
        <v>16471</v>
      </c>
      <c r="M170" s="3">
        <v>1400</v>
      </c>
      <c r="N170" t="s">
        <v>16264</v>
      </c>
      <c r="O170" t="s">
        <v>7506</v>
      </c>
      <c r="P170" t="s">
        <v>16265</v>
      </c>
      <c r="Q170" t="s">
        <v>25</v>
      </c>
      <c r="R170" t="s">
        <v>16266</v>
      </c>
      <c r="S170" t="s">
        <v>7506</v>
      </c>
      <c r="T170" t="s">
        <v>16242</v>
      </c>
      <c r="U170" t="s">
        <v>25</v>
      </c>
      <c r="V170" t="s">
        <v>16243</v>
      </c>
    </row>
    <row r="171" spans="1:22">
      <c r="A171" t="s">
        <v>16503</v>
      </c>
      <c r="B171" t="s">
        <v>16330</v>
      </c>
      <c r="C171" t="s">
        <v>16638</v>
      </c>
      <c r="D171" t="s">
        <v>4479</v>
      </c>
      <c r="E171" s="14" t="s">
        <v>11613</v>
      </c>
      <c r="F171" t="s">
        <v>16332</v>
      </c>
      <c r="G171" s="17" t="str">
        <f>Config!$B$3</f>
        <v>SCH/R_IEC.SchLib</v>
      </c>
      <c r="H171" t="s">
        <v>16254</v>
      </c>
      <c r="I171" s="18" t="s">
        <v>16255</v>
      </c>
      <c r="J171" t="s">
        <v>16471</v>
      </c>
      <c r="M171" s="3">
        <v>1600</v>
      </c>
      <c r="N171" t="s">
        <v>16333</v>
      </c>
      <c r="O171" t="s">
        <v>7506</v>
      </c>
      <c r="P171" t="s">
        <v>16334</v>
      </c>
      <c r="Q171" t="s">
        <v>25</v>
      </c>
      <c r="R171" t="s">
        <v>16335</v>
      </c>
      <c r="S171" t="s">
        <v>7506</v>
      </c>
      <c r="T171" t="s">
        <v>16336</v>
      </c>
      <c r="U171" t="s">
        <v>25</v>
      </c>
      <c r="V171" t="s">
        <v>16337</v>
      </c>
    </row>
    <row r="172" spans="1:22">
      <c r="A172" t="s">
        <v>16504</v>
      </c>
      <c r="B172" t="s">
        <v>16251</v>
      </c>
      <c r="C172" t="s">
        <v>16639</v>
      </c>
      <c r="D172" t="s">
        <v>4479</v>
      </c>
      <c r="E172" s="14" t="s">
        <v>11613</v>
      </c>
      <c r="F172" t="s">
        <v>16237</v>
      </c>
      <c r="G172" s="17" t="str">
        <f>Config!$B$3</f>
        <v>SCH/R_IEC.SchLib</v>
      </c>
      <c r="H172" t="s">
        <v>16254</v>
      </c>
      <c r="I172" s="18" t="s">
        <v>16255</v>
      </c>
      <c r="J172" t="s">
        <v>16471</v>
      </c>
      <c r="M172" s="3">
        <v>2500</v>
      </c>
      <c r="N172" t="s">
        <v>16240</v>
      </c>
      <c r="O172" t="s">
        <v>7506</v>
      </c>
      <c r="P172" t="s">
        <v>16244</v>
      </c>
      <c r="Q172" t="s">
        <v>25</v>
      </c>
      <c r="R172" t="s">
        <v>16245</v>
      </c>
    </row>
    <row r="173" spans="1:22">
      <c r="A173" t="s">
        <v>16505</v>
      </c>
      <c r="B173" t="s">
        <v>16252</v>
      </c>
      <c r="C173" t="s">
        <v>16640</v>
      </c>
      <c r="D173" t="s">
        <v>4479</v>
      </c>
      <c r="E173" s="14" t="s">
        <v>11613</v>
      </c>
      <c r="F173" t="s">
        <v>16238</v>
      </c>
      <c r="G173" s="17" t="str">
        <f>Config!$B$3</f>
        <v>SCH/R_IEC.SchLib</v>
      </c>
      <c r="H173" t="s">
        <v>16254</v>
      </c>
      <c r="I173" s="18" t="s">
        <v>16255</v>
      </c>
      <c r="J173" t="s">
        <v>16471</v>
      </c>
      <c r="M173" s="3">
        <v>3500</v>
      </c>
      <c r="N173" t="s">
        <v>16241</v>
      </c>
      <c r="O173" t="s">
        <v>7506</v>
      </c>
      <c r="P173" t="s">
        <v>16246</v>
      </c>
      <c r="Q173" t="s">
        <v>25</v>
      </c>
      <c r="R173" t="s">
        <v>16247</v>
      </c>
    </row>
    <row r="174" spans="1:22">
      <c r="A174" t="s">
        <v>16506</v>
      </c>
      <c r="B174" t="s">
        <v>16340</v>
      </c>
      <c r="C174" t="s">
        <v>16641</v>
      </c>
      <c r="D174" t="s">
        <v>4479</v>
      </c>
      <c r="E174" s="14" t="s">
        <v>11613</v>
      </c>
      <c r="F174" t="s">
        <v>16338</v>
      </c>
      <c r="G174" s="17" t="str">
        <f>Config!$B$3</f>
        <v>SCH/R_IEC.SchLib</v>
      </c>
      <c r="H174" t="s">
        <v>16254</v>
      </c>
      <c r="I174" s="18" t="s">
        <v>16255</v>
      </c>
      <c r="J174" t="s">
        <v>16471</v>
      </c>
      <c r="M174" s="3">
        <v>4500</v>
      </c>
      <c r="N174" t="s">
        <v>16346</v>
      </c>
      <c r="O174" t="s">
        <v>7506</v>
      </c>
      <c r="P174" t="s">
        <v>16347</v>
      </c>
      <c r="Q174" t="s">
        <v>25</v>
      </c>
      <c r="R174" t="s">
        <v>16348</v>
      </c>
    </row>
    <row r="175" spans="1:22">
      <c r="A175" t="s">
        <v>16507</v>
      </c>
      <c r="B175" t="s">
        <v>16343</v>
      </c>
      <c r="C175" t="s">
        <v>16642</v>
      </c>
      <c r="D175" t="s">
        <v>4479</v>
      </c>
      <c r="E175" s="14" t="s">
        <v>11613</v>
      </c>
      <c r="F175" t="s">
        <v>16345</v>
      </c>
      <c r="G175" s="17" t="str">
        <f>Config!$B$3</f>
        <v>SCH/R_IEC.SchLib</v>
      </c>
      <c r="H175" t="s">
        <v>16254</v>
      </c>
      <c r="I175" s="18" t="s">
        <v>16255</v>
      </c>
      <c r="J175" t="s">
        <v>16471</v>
      </c>
      <c r="M175" s="3">
        <v>5500</v>
      </c>
      <c r="N175" t="s">
        <v>16349</v>
      </c>
      <c r="O175" t="s">
        <v>7506</v>
      </c>
      <c r="P175" t="s">
        <v>16350</v>
      </c>
      <c r="Q175" t="s">
        <v>25</v>
      </c>
      <c r="R175" t="s">
        <v>16351</v>
      </c>
    </row>
    <row r="176" spans="1:22">
      <c r="A176" t="s">
        <v>16508</v>
      </c>
      <c r="B176" t="s">
        <v>16269</v>
      </c>
      <c r="C176" t="s">
        <v>16643</v>
      </c>
      <c r="D176" t="s">
        <v>4479</v>
      </c>
      <c r="E176" s="14" t="s">
        <v>11613</v>
      </c>
      <c r="F176" t="s">
        <v>16253</v>
      </c>
      <c r="G176" s="17" t="str">
        <f>Config!$B$3</f>
        <v>SCH/R_IEC.SchLib</v>
      </c>
      <c r="H176" t="s">
        <v>16254</v>
      </c>
      <c r="I176" s="18" t="s">
        <v>16255</v>
      </c>
      <c r="J176" t="s">
        <v>16471</v>
      </c>
      <c r="M176" s="3">
        <v>800</v>
      </c>
      <c r="N176" t="s">
        <v>16257</v>
      </c>
      <c r="O176" t="s">
        <v>7506</v>
      </c>
      <c r="P176" t="s">
        <v>16258</v>
      </c>
      <c r="Q176" t="s">
        <v>25</v>
      </c>
      <c r="R176" t="s">
        <v>16259</v>
      </c>
      <c r="S176" t="s">
        <v>7506</v>
      </c>
      <c r="T176" t="s">
        <v>16260</v>
      </c>
      <c r="U176" t="s">
        <v>25</v>
      </c>
      <c r="V176" t="s">
        <v>16261</v>
      </c>
    </row>
    <row r="177" spans="1:22">
      <c r="A177" t="s">
        <v>16509</v>
      </c>
      <c r="B177" t="s">
        <v>16248</v>
      </c>
      <c r="C177" t="s">
        <v>16644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16254</v>
      </c>
      <c r="I177" s="18" t="s">
        <v>16255</v>
      </c>
      <c r="J177" t="s">
        <v>16471</v>
      </c>
      <c r="M177" s="3">
        <v>1000</v>
      </c>
      <c r="N177" t="s">
        <v>16239</v>
      </c>
      <c r="O177" t="s">
        <v>7506</v>
      </c>
      <c r="P177" t="s">
        <v>16262</v>
      </c>
      <c r="Q177" t="s">
        <v>25</v>
      </c>
      <c r="R177" t="s">
        <v>16263</v>
      </c>
      <c r="S177" t="s">
        <v>7506</v>
      </c>
      <c r="T177" t="s">
        <v>16231</v>
      </c>
      <c r="U177" t="s">
        <v>25</v>
      </c>
      <c r="V177" t="s">
        <v>16232</v>
      </c>
    </row>
    <row r="178" spans="1:22">
      <c r="A178" t="s">
        <v>16510</v>
      </c>
      <c r="B178" t="s">
        <v>16249</v>
      </c>
      <c r="C178" t="s">
        <v>16645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16254</v>
      </c>
      <c r="I178" s="18" t="s">
        <v>16255</v>
      </c>
      <c r="J178" t="s">
        <v>16471</v>
      </c>
      <c r="M178" s="3">
        <v>1200</v>
      </c>
      <c r="N178" t="s">
        <v>16233</v>
      </c>
      <c r="O178" t="s">
        <v>7506</v>
      </c>
      <c r="P178" t="s">
        <v>16234</v>
      </c>
      <c r="Q178" t="s">
        <v>25</v>
      </c>
      <c r="R178" t="s">
        <v>16235</v>
      </c>
    </row>
    <row r="179" spans="1:22">
      <c r="A179" t="s">
        <v>16511</v>
      </c>
      <c r="B179" t="s">
        <v>16250</v>
      </c>
      <c r="C179" t="s">
        <v>16646</v>
      </c>
      <c r="D179" t="s">
        <v>4479</v>
      </c>
      <c r="E179" s="14" t="s">
        <v>11613</v>
      </c>
      <c r="F179" t="s">
        <v>16236</v>
      </c>
      <c r="G179" s="17" t="str">
        <f>Config!$B$3</f>
        <v>SCH/R_IEC.SchLib</v>
      </c>
      <c r="H179" t="s">
        <v>16254</v>
      </c>
      <c r="I179" s="18" t="s">
        <v>16255</v>
      </c>
      <c r="J179" t="s">
        <v>16471</v>
      </c>
      <c r="M179" s="3">
        <v>1400</v>
      </c>
      <c r="N179" t="s">
        <v>16264</v>
      </c>
      <c r="O179" t="s">
        <v>7506</v>
      </c>
      <c r="P179" t="s">
        <v>16265</v>
      </c>
      <c r="Q179" t="s">
        <v>25</v>
      </c>
      <c r="R179" t="s">
        <v>16266</v>
      </c>
      <c r="S179" t="s">
        <v>7506</v>
      </c>
      <c r="T179" t="s">
        <v>16242</v>
      </c>
      <c r="U179" t="s">
        <v>25</v>
      </c>
      <c r="V179" t="s">
        <v>16243</v>
      </c>
    </row>
    <row r="180" spans="1:22">
      <c r="A180" t="s">
        <v>16512</v>
      </c>
      <c r="B180" t="s">
        <v>16330</v>
      </c>
      <c r="C180" t="s">
        <v>16647</v>
      </c>
      <c r="D180" t="s">
        <v>4479</v>
      </c>
      <c r="E180" s="14" t="s">
        <v>11613</v>
      </c>
      <c r="F180" t="s">
        <v>16332</v>
      </c>
      <c r="G180" s="17" t="str">
        <f>Config!$B$3</f>
        <v>SCH/R_IEC.SchLib</v>
      </c>
      <c r="H180" t="s">
        <v>16254</v>
      </c>
      <c r="I180" s="18" t="s">
        <v>16255</v>
      </c>
      <c r="J180" t="s">
        <v>16471</v>
      </c>
      <c r="M180" s="3">
        <v>1600</v>
      </c>
      <c r="N180" t="s">
        <v>16333</v>
      </c>
      <c r="O180" t="s">
        <v>7506</v>
      </c>
      <c r="P180" t="s">
        <v>16334</v>
      </c>
      <c r="Q180" t="s">
        <v>25</v>
      </c>
      <c r="R180" t="s">
        <v>16335</v>
      </c>
      <c r="S180" t="s">
        <v>7506</v>
      </c>
      <c r="T180" t="s">
        <v>16336</v>
      </c>
      <c r="U180" t="s">
        <v>25</v>
      </c>
      <c r="V180" t="s">
        <v>16337</v>
      </c>
    </row>
    <row r="181" spans="1:22">
      <c r="A181" t="s">
        <v>16513</v>
      </c>
      <c r="B181" t="s">
        <v>16251</v>
      </c>
      <c r="C181" t="s">
        <v>16648</v>
      </c>
      <c r="D181" t="s">
        <v>4479</v>
      </c>
      <c r="E181" s="14" t="s">
        <v>11613</v>
      </c>
      <c r="F181" t="s">
        <v>16237</v>
      </c>
      <c r="G181" s="17" t="str">
        <f>Config!$B$3</f>
        <v>SCH/R_IEC.SchLib</v>
      </c>
      <c r="H181" t="s">
        <v>16254</v>
      </c>
      <c r="I181" s="18" t="s">
        <v>16255</v>
      </c>
      <c r="J181" t="s">
        <v>16471</v>
      </c>
      <c r="M181" s="3">
        <v>2500</v>
      </c>
      <c r="N181" t="s">
        <v>16240</v>
      </c>
      <c r="O181" t="s">
        <v>7506</v>
      </c>
      <c r="P181" t="s">
        <v>16244</v>
      </c>
      <c r="Q181" t="s">
        <v>25</v>
      </c>
      <c r="R181" t="s">
        <v>16245</v>
      </c>
    </row>
    <row r="182" spans="1:22">
      <c r="A182" t="s">
        <v>16514</v>
      </c>
      <c r="B182" t="s">
        <v>16252</v>
      </c>
      <c r="C182" t="s">
        <v>16649</v>
      </c>
      <c r="D182" t="s">
        <v>4479</v>
      </c>
      <c r="E182" s="14" t="s">
        <v>11613</v>
      </c>
      <c r="F182" t="s">
        <v>16238</v>
      </c>
      <c r="G182" s="17" t="str">
        <f>Config!$B$3</f>
        <v>SCH/R_IEC.SchLib</v>
      </c>
      <c r="H182" t="s">
        <v>16254</v>
      </c>
      <c r="I182" s="18" t="s">
        <v>16255</v>
      </c>
      <c r="J182" t="s">
        <v>16471</v>
      </c>
      <c r="M182" s="3">
        <v>3500</v>
      </c>
      <c r="N182" t="s">
        <v>16241</v>
      </c>
      <c r="O182" t="s">
        <v>7506</v>
      </c>
      <c r="P182" t="s">
        <v>16246</v>
      </c>
      <c r="Q182" t="s">
        <v>25</v>
      </c>
      <c r="R182" t="s">
        <v>16247</v>
      </c>
    </row>
    <row r="183" spans="1:22">
      <c r="A183" t="s">
        <v>16515</v>
      </c>
      <c r="B183" t="s">
        <v>16340</v>
      </c>
      <c r="C183" t="s">
        <v>16650</v>
      </c>
      <c r="D183" t="s">
        <v>4479</v>
      </c>
      <c r="E183" s="14" t="s">
        <v>11613</v>
      </c>
      <c r="F183" t="s">
        <v>16338</v>
      </c>
      <c r="G183" s="17" t="str">
        <f>Config!$B$3</f>
        <v>SCH/R_IEC.SchLib</v>
      </c>
      <c r="H183" t="s">
        <v>16254</v>
      </c>
      <c r="I183" s="18" t="s">
        <v>16255</v>
      </c>
      <c r="J183" t="s">
        <v>16471</v>
      </c>
      <c r="M183" s="3">
        <v>4500</v>
      </c>
      <c r="N183" t="s">
        <v>16346</v>
      </c>
      <c r="O183" t="s">
        <v>7506</v>
      </c>
      <c r="P183" t="s">
        <v>16347</v>
      </c>
      <c r="Q183" t="s">
        <v>25</v>
      </c>
      <c r="R183" t="s">
        <v>16348</v>
      </c>
    </row>
    <row r="184" spans="1:22">
      <c r="A184" t="s">
        <v>16516</v>
      </c>
      <c r="B184" t="s">
        <v>16343</v>
      </c>
      <c r="C184" t="s">
        <v>16651</v>
      </c>
      <c r="D184" t="s">
        <v>4479</v>
      </c>
      <c r="E184" s="14" t="s">
        <v>11613</v>
      </c>
      <c r="F184" t="s">
        <v>16345</v>
      </c>
      <c r="G184" s="17" t="str">
        <f>Config!$B$3</f>
        <v>SCH/R_IEC.SchLib</v>
      </c>
      <c r="H184" t="s">
        <v>16254</v>
      </c>
      <c r="I184" s="18" t="s">
        <v>16255</v>
      </c>
      <c r="J184" t="s">
        <v>16471</v>
      </c>
      <c r="M184" s="3">
        <v>5500</v>
      </c>
      <c r="N184" t="s">
        <v>16349</v>
      </c>
      <c r="O184" t="s">
        <v>7506</v>
      </c>
      <c r="P184" t="s">
        <v>16350</v>
      </c>
      <c r="Q184" t="s">
        <v>25</v>
      </c>
      <c r="R184" t="s">
        <v>16351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16195</v>
      </c>
      <c r="L1" s="1" t="s">
        <v>16196</v>
      </c>
      <c r="M1" s="1" t="s">
        <v>16197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15025</v>
      </c>
      <c r="B2" t="s">
        <v>15025</v>
      </c>
      <c r="C2" t="s">
        <v>14965</v>
      </c>
      <c r="D2" t="s">
        <v>4310</v>
      </c>
      <c r="F2" t="str">
        <f>Config!$B$7</f>
        <v>SCH/Connector.SchLib</v>
      </c>
      <c r="G2" t="s">
        <v>14932</v>
      </c>
      <c r="H2" t="s">
        <v>15024</v>
      </c>
      <c r="I2" t="s">
        <v>14962</v>
      </c>
      <c r="J2" s="47"/>
      <c r="K2" s="47" t="s">
        <v>16198</v>
      </c>
      <c r="L2" t="s">
        <v>16198</v>
      </c>
      <c r="M2" t="s">
        <v>16219</v>
      </c>
    </row>
    <row r="3" spans="1:23">
      <c r="A3" t="s">
        <v>14933</v>
      </c>
      <c r="B3" t="s">
        <v>14933</v>
      </c>
      <c r="C3" t="s">
        <v>14964</v>
      </c>
      <c r="D3" t="s">
        <v>4310</v>
      </c>
      <c r="F3" t="str">
        <f>Config!$B$7</f>
        <v>SCH/Connector.SchLib</v>
      </c>
      <c r="G3" t="s">
        <v>14932</v>
      </c>
      <c r="H3" t="s">
        <v>15024</v>
      </c>
      <c r="I3" t="s">
        <v>14963</v>
      </c>
      <c r="J3" s="47"/>
      <c r="K3" s="47" t="s">
        <v>16198</v>
      </c>
      <c r="L3" t="s">
        <v>16199</v>
      </c>
      <c r="M3" t="s">
        <v>16219</v>
      </c>
    </row>
    <row r="4" spans="1:23">
      <c r="A4" t="s">
        <v>15026</v>
      </c>
      <c r="B4" t="s">
        <v>15026</v>
      </c>
      <c r="C4" t="s">
        <v>14966</v>
      </c>
      <c r="D4" t="s">
        <v>4310</v>
      </c>
      <c r="F4" t="str">
        <f>Config!$B$7</f>
        <v>SCH/Connector.SchLib</v>
      </c>
      <c r="G4" t="s">
        <v>14932</v>
      </c>
      <c r="H4" t="s">
        <v>15024</v>
      </c>
      <c r="I4" t="s">
        <v>14934</v>
      </c>
      <c r="J4" s="47"/>
      <c r="K4" s="47" t="s">
        <v>16199</v>
      </c>
      <c r="L4" t="s">
        <v>16198</v>
      </c>
      <c r="M4" t="s">
        <v>16219</v>
      </c>
    </row>
    <row r="5" spans="1:23">
      <c r="A5" t="s">
        <v>15027</v>
      </c>
      <c r="B5" t="s">
        <v>15027</v>
      </c>
      <c r="C5" t="s">
        <v>14967</v>
      </c>
      <c r="D5" t="s">
        <v>4310</v>
      </c>
      <c r="F5" t="str">
        <f>Config!$B$7</f>
        <v>SCH/Connector.SchLib</v>
      </c>
      <c r="G5" t="s">
        <v>14932</v>
      </c>
      <c r="H5" t="s">
        <v>15024</v>
      </c>
      <c r="I5" t="s">
        <v>14935</v>
      </c>
      <c r="J5" s="47"/>
      <c r="K5" s="47" t="s">
        <v>16199</v>
      </c>
      <c r="L5" t="s">
        <v>16199</v>
      </c>
      <c r="M5" t="s">
        <v>16219</v>
      </c>
    </row>
    <row r="6" spans="1:23">
      <c r="A6" t="s">
        <v>15028</v>
      </c>
      <c r="B6" t="s">
        <v>15028</v>
      </c>
      <c r="C6" t="s">
        <v>14969</v>
      </c>
      <c r="D6" t="s">
        <v>4310</v>
      </c>
      <c r="F6" t="str">
        <f>Config!$B$7</f>
        <v>SCH/Connector.SchLib</v>
      </c>
      <c r="G6" t="s">
        <v>14932</v>
      </c>
      <c r="H6" t="s">
        <v>15024</v>
      </c>
      <c r="I6" t="s">
        <v>14936</v>
      </c>
      <c r="J6" s="47"/>
      <c r="K6" s="47" t="s">
        <v>16199</v>
      </c>
      <c r="L6" t="s">
        <v>16200</v>
      </c>
      <c r="M6" t="s">
        <v>16219</v>
      </c>
    </row>
    <row r="7" spans="1:23">
      <c r="A7" t="s">
        <v>15029</v>
      </c>
      <c r="B7" t="s">
        <v>15029</v>
      </c>
      <c r="C7" t="s">
        <v>14970</v>
      </c>
      <c r="D7" t="s">
        <v>4310</v>
      </c>
      <c r="F7" t="str">
        <f>Config!$B$7</f>
        <v>SCH/Connector.SchLib</v>
      </c>
      <c r="G7" t="s">
        <v>14932</v>
      </c>
      <c r="H7" t="s">
        <v>15024</v>
      </c>
      <c r="I7" t="s">
        <v>14937</v>
      </c>
      <c r="J7" s="47"/>
      <c r="K7" s="47" t="s">
        <v>16200</v>
      </c>
      <c r="L7" t="s">
        <v>16198</v>
      </c>
      <c r="M7" t="s">
        <v>16219</v>
      </c>
    </row>
    <row r="8" spans="1:23">
      <c r="A8" t="s">
        <v>15030</v>
      </c>
      <c r="B8" t="s">
        <v>15030</v>
      </c>
      <c r="C8" t="s">
        <v>14971</v>
      </c>
      <c r="D8" t="s">
        <v>4310</v>
      </c>
      <c r="F8" t="str">
        <f>Config!$B$7</f>
        <v>SCH/Connector.SchLib</v>
      </c>
      <c r="G8" t="s">
        <v>14932</v>
      </c>
      <c r="H8" t="s">
        <v>15024</v>
      </c>
      <c r="I8" t="s">
        <v>14938</v>
      </c>
      <c r="J8" s="47"/>
      <c r="K8" s="47" t="s">
        <v>16200</v>
      </c>
      <c r="L8" t="s">
        <v>16199</v>
      </c>
      <c r="M8" t="s">
        <v>16219</v>
      </c>
    </row>
    <row r="9" spans="1:23">
      <c r="A9" t="s">
        <v>15031</v>
      </c>
      <c r="B9" t="s">
        <v>15031</v>
      </c>
      <c r="C9" t="s">
        <v>14972</v>
      </c>
      <c r="D9" t="s">
        <v>4310</v>
      </c>
      <c r="F9" t="str">
        <f>Config!$B$7</f>
        <v>SCH/Connector.SchLib</v>
      </c>
      <c r="G9" t="s">
        <v>14932</v>
      </c>
      <c r="H9" t="s">
        <v>15024</v>
      </c>
      <c r="I9" t="s">
        <v>14939</v>
      </c>
      <c r="J9" s="47"/>
      <c r="K9" s="47" t="s">
        <v>16200</v>
      </c>
      <c r="L9" t="s">
        <v>16200</v>
      </c>
      <c r="M9" t="s">
        <v>16219</v>
      </c>
    </row>
    <row r="10" spans="1:23">
      <c r="A10" t="s">
        <v>15032</v>
      </c>
      <c r="B10" t="s">
        <v>15032</v>
      </c>
      <c r="C10" t="s">
        <v>14973</v>
      </c>
      <c r="D10" t="s">
        <v>4310</v>
      </c>
      <c r="F10" t="str">
        <f>Config!$B$7</f>
        <v>SCH/Connector.SchLib</v>
      </c>
      <c r="G10" t="s">
        <v>14932</v>
      </c>
      <c r="H10" t="s">
        <v>15024</v>
      </c>
      <c r="I10" t="s">
        <v>14940</v>
      </c>
      <c r="J10" s="47"/>
      <c r="K10" s="47" t="s">
        <v>16200</v>
      </c>
      <c r="L10" t="s">
        <v>16202</v>
      </c>
      <c r="M10" t="s">
        <v>16219</v>
      </c>
    </row>
    <row r="11" spans="1:23">
      <c r="A11" t="s">
        <v>15033</v>
      </c>
      <c r="B11" t="s">
        <v>15033</v>
      </c>
      <c r="C11" t="s">
        <v>14974</v>
      </c>
      <c r="D11" t="s">
        <v>4310</v>
      </c>
      <c r="F11" t="str">
        <f>Config!$B$7</f>
        <v>SCH/Connector.SchLib</v>
      </c>
      <c r="G11" t="s">
        <v>14932</v>
      </c>
      <c r="H11" t="s">
        <v>15024</v>
      </c>
      <c r="I11" t="s">
        <v>14941</v>
      </c>
      <c r="J11" s="47"/>
      <c r="K11" s="47" t="s">
        <v>16201</v>
      </c>
      <c r="L11" t="s">
        <v>16209</v>
      </c>
      <c r="M11" t="s">
        <v>16219</v>
      </c>
    </row>
    <row r="12" spans="1:23">
      <c r="A12" t="s">
        <v>15034</v>
      </c>
      <c r="B12" t="s">
        <v>15034</v>
      </c>
      <c r="C12" t="s">
        <v>14968</v>
      </c>
      <c r="D12" t="s">
        <v>4310</v>
      </c>
      <c r="F12" t="str">
        <f>Config!$B$7</f>
        <v>SCH/Connector.SchLib</v>
      </c>
      <c r="G12" t="s">
        <v>14932</v>
      </c>
      <c r="H12" t="s">
        <v>15024</v>
      </c>
      <c r="I12" t="s">
        <v>14942</v>
      </c>
      <c r="J12" s="47"/>
      <c r="K12" s="47" t="s">
        <v>16201</v>
      </c>
      <c r="L12" t="s">
        <v>16201</v>
      </c>
      <c r="M12" t="s">
        <v>16219</v>
      </c>
    </row>
    <row r="13" spans="1:23">
      <c r="A13" t="s">
        <v>15035</v>
      </c>
      <c r="B13" t="s">
        <v>15035</v>
      </c>
      <c r="C13" t="s">
        <v>14975</v>
      </c>
      <c r="D13" t="s">
        <v>4310</v>
      </c>
      <c r="F13" t="str">
        <f>Config!$B$7</f>
        <v>SCH/Connector.SchLib</v>
      </c>
      <c r="G13" t="s">
        <v>14932</v>
      </c>
      <c r="H13" t="s">
        <v>15024</v>
      </c>
      <c r="I13" t="s">
        <v>14943</v>
      </c>
      <c r="J13" s="47"/>
      <c r="K13" s="47" t="s">
        <v>16201</v>
      </c>
      <c r="L13" t="s">
        <v>16203</v>
      </c>
      <c r="M13" t="s">
        <v>16219</v>
      </c>
    </row>
    <row r="14" spans="1:23">
      <c r="A14" t="s">
        <v>15036</v>
      </c>
      <c r="B14" t="s">
        <v>15036</v>
      </c>
      <c r="C14" t="s">
        <v>14976</v>
      </c>
      <c r="D14" t="s">
        <v>4310</v>
      </c>
      <c r="F14" t="str">
        <f>Config!$B$7</f>
        <v>SCH/Connector.SchLib</v>
      </c>
      <c r="G14" t="s">
        <v>14932</v>
      </c>
      <c r="H14" t="s">
        <v>15024</v>
      </c>
      <c r="I14" t="s">
        <v>14944</v>
      </c>
      <c r="J14" s="47"/>
      <c r="K14" s="47" t="s">
        <v>16202</v>
      </c>
      <c r="L14" t="s">
        <v>16199</v>
      </c>
      <c r="M14" t="s">
        <v>16219</v>
      </c>
    </row>
    <row r="15" spans="1:23">
      <c r="A15" t="s">
        <v>15037</v>
      </c>
      <c r="B15" t="s">
        <v>15037</v>
      </c>
      <c r="C15" t="s">
        <v>14977</v>
      </c>
      <c r="D15" t="s">
        <v>4310</v>
      </c>
      <c r="F15" t="str">
        <f>Config!$B$7</f>
        <v>SCH/Connector.SchLib</v>
      </c>
      <c r="G15" t="s">
        <v>14932</v>
      </c>
      <c r="H15" t="s">
        <v>15024</v>
      </c>
      <c r="I15" t="s">
        <v>14945</v>
      </c>
      <c r="J15" s="47"/>
      <c r="K15" s="47" t="s">
        <v>16202</v>
      </c>
      <c r="L15" t="s">
        <v>16200</v>
      </c>
      <c r="M15" t="s">
        <v>16219</v>
      </c>
    </row>
    <row r="16" spans="1:23">
      <c r="A16" t="s">
        <v>15038</v>
      </c>
      <c r="B16" t="s">
        <v>15038</v>
      </c>
      <c r="C16" t="s">
        <v>14978</v>
      </c>
      <c r="D16" t="s">
        <v>4310</v>
      </c>
      <c r="F16" t="str">
        <f>Config!$B$7</f>
        <v>SCH/Connector.SchLib</v>
      </c>
      <c r="G16" t="s">
        <v>14932</v>
      </c>
      <c r="H16" t="s">
        <v>15024</v>
      </c>
      <c r="I16" t="s">
        <v>14946</v>
      </c>
      <c r="J16" s="47"/>
      <c r="K16" s="47" t="s">
        <v>16202</v>
      </c>
      <c r="L16" t="s">
        <v>16202</v>
      </c>
      <c r="M16" t="s">
        <v>16219</v>
      </c>
    </row>
    <row r="17" spans="1:13">
      <c r="A17" t="s">
        <v>15039</v>
      </c>
      <c r="B17" t="s">
        <v>15039</v>
      </c>
      <c r="C17" t="s">
        <v>14979</v>
      </c>
      <c r="D17" t="s">
        <v>4310</v>
      </c>
      <c r="F17" t="str">
        <f>Config!$B$7</f>
        <v>SCH/Connector.SchLib</v>
      </c>
      <c r="G17" t="s">
        <v>14932</v>
      </c>
      <c r="H17" t="s">
        <v>15024</v>
      </c>
      <c r="I17" t="s">
        <v>14947</v>
      </c>
      <c r="J17" s="47"/>
      <c r="K17" s="47" t="s">
        <v>16202</v>
      </c>
      <c r="L17" t="s">
        <v>16204</v>
      </c>
      <c r="M17" t="s">
        <v>16219</v>
      </c>
    </row>
    <row r="18" spans="1:13">
      <c r="A18" t="s">
        <v>15040</v>
      </c>
      <c r="B18" t="s">
        <v>15040</v>
      </c>
      <c r="C18" t="s">
        <v>14980</v>
      </c>
      <c r="D18" t="s">
        <v>4310</v>
      </c>
      <c r="F18" t="str">
        <f>Config!$B$7</f>
        <v>SCH/Connector.SchLib</v>
      </c>
      <c r="G18" t="s">
        <v>14932</v>
      </c>
      <c r="H18" t="s">
        <v>15024</v>
      </c>
      <c r="I18" t="s">
        <v>14948</v>
      </c>
      <c r="J18" s="47"/>
      <c r="K18" s="47" t="s">
        <v>16203</v>
      </c>
      <c r="L18" t="s">
        <v>16209</v>
      </c>
      <c r="M18" t="s">
        <v>16219</v>
      </c>
    </row>
    <row r="19" spans="1:13">
      <c r="A19" t="s">
        <v>15041</v>
      </c>
      <c r="B19" t="s">
        <v>15041</v>
      </c>
      <c r="C19" t="s">
        <v>14981</v>
      </c>
      <c r="D19" t="s">
        <v>4310</v>
      </c>
      <c r="F19" t="str">
        <f>Config!$B$7</f>
        <v>SCH/Connector.SchLib</v>
      </c>
      <c r="G19" t="s">
        <v>14932</v>
      </c>
      <c r="H19" t="s">
        <v>15024</v>
      </c>
      <c r="I19" t="s">
        <v>14949</v>
      </c>
      <c r="J19" s="47"/>
      <c r="K19" s="47" t="s">
        <v>16203</v>
      </c>
      <c r="L19" t="s">
        <v>16201</v>
      </c>
      <c r="M19" t="s">
        <v>16219</v>
      </c>
    </row>
    <row r="20" spans="1:13">
      <c r="A20" t="s">
        <v>15042</v>
      </c>
      <c r="B20" t="s">
        <v>15042</v>
      </c>
      <c r="C20" t="s">
        <v>14982</v>
      </c>
      <c r="D20" t="s">
        <v>4310</v>
      </c>
      <c r="F20" t="str">
        <f>Config!$B$7</f>
        <v>SCH/Connector.SchLib</v>
      </c>
      <c r="G20" t="s">
        <v>14932</v>
      </c>
      <c r="H20" t="s">
        <v>15024</v>
      </c>
      <c r="I20" t="s">
        <v>14950</v>
      </c>
      <c r="J20" s="47"/>
      <c r="K20" s="47" t="s">
        <v>16203</v>
      </c>
      <c r="L20" t="s">
        <v>16203</v>
      </c>
      <c r="M20" t="s">
        <v>16219</v>
      </c>
    </row>
    <row r="21" spans="1:13">
      <c r="A21" t="s">
        <v>15043</v>
      </c>
      <c r="B21" t="s">
        <v>15043</v>
      </c>
      <c r="C21" t="s">
        <v>14983</v>
      </c>
      <c r="D21" t="s">
        <v>4310</v>
      </c>
      <c r="F21" t="str">
        <f>Config!$B$7</f>
        <v>SCH/Connector.SchLib</v>
      </c>
      <c r="G21" t="s">
        <v>14932</v>
      </c>
      <c r="H21" t="s">
        <v>15024</v>
      </c>
      <c r="I21" t="s">
        <v>14951</v>
      </c>
      <c r="J21" s="47"/>
      <c r="K21" s="47" t="s">
        <v>16203</v>
      </c>
      <c r="L21" t="s">
        <v>16206</v>
      </c>
      <c r="M21" t="s">
        <v>16219</v>
      </c>
    </row>
    <row r="22" spans="1:13">
      <c r="A22" t="s">
        <v>15044</v>
      </c>
      <c r="B22" t="s">
        <v>15044</v>
      </c>
      <c r="C22" t="s">
        <v>14984</v>
      </c>
      <c r="D22" t="s">
        <v>4310</v>
      </c>
      <c r="F22" t="str">
        <f>Config!$B$7</f>
        <v>SCH/Connector.SchLib</v>
      </c>
      <c r="G22" t="s">
        <v>14932</v>
      </c>
      <c r="H22" t="s">
        <v>15024</v>
      </c>
      <c r="I22" t="s">
        <v>14952</v>
      </c>
      <c r="J22" s="47"/>
      <c r="K22" s="47" t="s">
        <v>16204</v>
      </c>
      <c r="L22" t="s">
        <v>16210</v>
      </c>
      <c r="M22" t="s">
        <v>16219</v>
      </c>
    </row>
    <row r="23" spans="1:13">
      <c r="A23" t="s">
        <v>15045</v>
      </c>
      <c r="B23" t="s">
        <v>15045</v>
      </c>
      <c r="C23" t="s">
        <v>14985</v>
      </c>
      <c r="D23" t="s">
        <v>4310</v>
      </c>
      <c r="F23" t="str">
        <f>Config!$B$7</f>
        <v>SCH/Connector.SchLib</v>
      </c>
      <c r="G23" t="s">
        <v>14932</v>
      </c>
      <c r="H23" t="s">
        <v>15024</v>
      </c>
      <c r="I23" t="s">
        <v>14953</v>
      </c>
      <c r="J23" s="47"/>
      <c r="K23" s="47" t="s">
        <v>16204</v>
      </c>
      <c r="L23" t="s">
        <v>16200</v>
      </c>
      <c r="M23" t="s">
        <v>16219</v>
      </c>
    </row>
    <row r="24" spans="1:13">
      <c r="A24" t="s">
        <v>15046</v>
      </c>
      <c r="B24" t="s">
        <v>15046</v>
      </c>
      <c r="C24" t="s">
        <v>14986</v>
      </c>
      <c r="D24" t="s">
        <v>4310</v>
      </c>
      <c r="F24" t="str">
        <f>Config!$B$7</f>
        <v>SCH/Connector.SchLib</v>
      </c>
      <c r="G24" t="s">
        <v>14932</v>
      </c>
      <c r="H24" t="s">
        <v>15024</v>
      </c>
      <c r="I24" t="s">
        <v>14954</v>
      </c>
      <c r="J24" s="47"/>
      <c r="K24" s="47" t="s">
        <v>16204</v>
      </c>
      <c r="L24" t="s">
        <v>16202</v>
      </c>
      <c r="M24" t="s">
        <v>16219</v>
      </c>
    </row>
    <row r="25" spans="1:13">
      <c r="A25" t="s">
        <v>15047</v>
      </c>
      <c r="B25" t="s">
        <v>15047</v>
      </c>
      <c r="C25" t="s">
        <v>14987</v>
      </c>
      <c r="D25" t="s">
        <v>4310</v>
      </c>
      <c r="F25" t="str">
        <f>Config!$B$7</f>
        <v>SCH/Connector.SchLib</v>
      </c>
      <c r="G25" t="s">
        <v>14932</v>
      </c>
      <c r="H25" t="s">
        <v>15024</v>
      </c>
      <c r="I25" t="s">
        <v>14955</v>
      </c>
      <c r="J25" s="47"/>
      <c r="K25" s="47" t="s">
        <v>16204</v>
      </c>
      <c r="L25" t="s">
        <v>16204</v>
      </c>
      <c r="M25" t="s">
        <v>16219</v>
      </c>
    </row>
    <row r="26" spans="1:13">
      <c r="A26" t="s">
        <v>15048</v>
      </c>
      <c r="B26" t="s">
        <v>15048</v>
      </c>
      <c r="C26" t="s">
        <v>14988</v>
      </c>
      <c r="D26" t="s">
        <v>4310</v>
      </c>
      <c r="F26" t="str">
        <f>Config!$B$7</f>
        <v>SCH/Connector.SchLib</v>
      </c>
      <c r="G26" t="s">
        <v>14932</v>
      </c>
      <c r="H26" t="s">
        <v>15024</v>
      </c>
      <c r="I26" t="s">
        <v>14956</v>
      </c>
      <c r="J26" s="47"/>
      <c r="K26" s="47" t="s">
        <v>16204</v>
      </c>
      <c r="L26" t="s">
        <v>16207</v>
      </c>
      <c r="M26" t="s">
        <v>16219</v>
      </c>
    </row>
    <row r="27" spans="1:13">
      <c r="A27" t="s">
        <v>15049</v>
      </c>
      <c r="B27" t="s">
        <v>15049</v>
      </c>
      <c r="C27" t="s">
        <v>14989</v>
      </c>
      <c r="D27" t="s">
        <v>4310</v>
      </c>
      <c r="F27" t="str">
        <f>Config!$B$7</f>
        <v>SCH/Connector.SchLib</v>
      </c>
      <c r="G27" t="s">
        <v>14932</v>
      </c>
      <c r="H27" t="s">
        <v>15024</v>
      </c>
      <c r="I27" t="s">
        <v>14957</v>
      </c>
      <c r="J27" s="47"/>
      <c r="K27" s="47" t="s">
        <v>16205</v>
      </c>
      <c r="L27" t="s">
        <v>16199</v>
      </c>
      <c r="M27" t="s">
        <v>16219</v>
      </c>
    </row>
    <row r="28" spans="1:13">
      <c r="A28" t="s">
        <v>15697</v>
      </c>
      <c r="B28" t="s">
        <v>15697</v>
      </c>
      <c r="C28" t="s">
        <v>15696</v>
      </c>
      <c r="D28" t="s">
        <v>4310</v>
      </c>
      <c r="F28" t="str">
        <f>Config!$B$7</f>
        <v>SCH/Connector.SchLib</v>
      </c>
      <c r="G28" t="s">
        <v>14932</v>
      </c>
      <c r="H28" t="s">
        <v>15024</v>
      </c>
      <c r="I28" t="s">
        <v>15695</v>
      </c>
      <c r="J28" s="47"/>
      <c r="K28" s="47" t="s">
        <v>16205</v>
      </c>
      <c r="L28" t="s">
        <v>16200</v>
      </c>
      <c r="M28" t="s">
        <v>16219</v>
      </c>
    </row>
    <row r="29" spans="1:13">
      <c r="A29" t="s">
        <v>15050</v>
      </c>
      <c r="B29" t="s">
        <v>15050</v>
      </c>
      <c r="C29" t="s">
        <v>14990</v>
      </c>
      <c r="D29" t="s">
        <v>4310</v>
      </c>
      <c r="F29" t="str">
        <f>Config!$B$7</f>
        <v>SCH/Connector.SchLib</v>
      </c>
      <c r="G29" t="s">
        <v>14932</v>
      </c>
      <c r="H29" t="s">
        <v>15024</v>
      </c>
      <c r="I29" t="s">
        <v>14958</v>
      </c>
      <c r="J29" s="47"/>
      <c r="K29" s="47" t="s">
        <v>16205</v>
      </c>
      <c r="L29" t="s">
        <v>16211</v>
      </c>
      <c r="M29" t="s">
        <v>16219</v>
      </c>
    </row>
    <row r="30" spans="1:13">
      <c r="A30" t="s">
        <v>15051</v>
      </c>
      <c r="B30" t="s">
        <v>15051</v>
      </c>
      <c r="C30" t="s">
        <v>14991</v>
      </c>
      <c r="D30" t="s">
        <v>4310</v>
      </c>
      <c r="F30" t="str">
        <f>Config!$B$7</f>
        <v>SCH/Connector.SchLib</v>
      </c>
      <c r="G30" t="s">
        <v>14932</v>
      </c>
      <c r="H30" t="s">
        <v>15024</v>
      </c>
      <c r="I30" t="s">
        <v>14959</v>
      </c>
      <c r="J30" s="47"/>
      <c r="K30" s="47" t="s">
        <v>16205</v>
      </c>
      <c r="L30" t="s">
        <v>16212</v>
      </c>
      <c r="M30" t="s">
        <v>16219</v>
      </c>
    </row>
    <row r="31" spans="1:13">
      <c r="A31" t="s">
        <v>15052</v>
      </c>
      <c r="B31" t="s">
        <v>15052</v>
      </c>
      <c r="C31" t="s">
        <v>14992</v>
      </c>
      <c r="D31" t="s">
        <v>4310</v>
      </c>
      <c r="F31" t="str">
        <f>Config!$B$7</f>
        <v>SCH/Connector.SchLib</v>
      </c>
      <c r="G31" t="s">
        <v>14932</v>
      </c>
      <c r="H31" t="s">
        <v>15024</v>
      </c>
      <c r="I31" t="s">
        <v>14960</v>
      </c>
      <c r="J31" s="47"/>
      <c r="K31" s="47" t="s">
        <v>16205</v>
      </c>
      <c r="L31" t="s">
        <v>16205</v>
      </c>
      <c r="M31" t="s">
        <v>16219</v>
      </c>
    </row>
    <row r="32" spans="1:13">
      <c r="A32" t="s">
        <v>15053</v>
      </c>
      <c r="B32" t="s">
        <v>15053</v>
      </c>
      <c r="C32" t="s">
        <v>14993</v>
      </c>
      <c r="D32" t="s">
        <v>4310</v>
      </c>
      <c r="F32" t="str">
        <f>Config!$B$7</f>
        <v>SCH/Connector.SchLib</v>
      </c>
      <c r="G32" t="s">
        <v>14932</v>
      </c>
      <c r="H32" t="s">
        <v>15024</v>
      </c>
      <c r="I32" t="s">
        <v>14961</v>
      </c>
      <c r="J32" s="47"/>
      <c r="K32" s="47" t="s">
        <v>16205</v>
      </c>
      <c r="L32" t="s">
        <v>16213</v>
      </c>
      <c r="M32" t="s">
        <v>16219</v>
      </c>
    </row>
    <row r="33" spans="1:13">
      <c r="A33" t="s">
        <v>15720</v>
      </c>
      <c r="B33" t="s">
        <v>15720</v>
      </c>
      <c r="C33" t="s">
        <v>15736</v>
      </c>
      <c r="D33" t="s">
        <v>4310</v>
      </c>
      <c r="F33" t="str">
        <f>Config!$B$7</f>
        <v>SCH/Connector.SchLib</v>
      </c>
      <c r="G33" t="s">
        <v>14932</v>
      </c>
      <c r="H33" t="s">
        <v>15024</v>
      </c>
      <c r="I33" t="s">
        <v>15698</v>
      </c>
      <c r="J33" s="47"/>
      <c r="K33" s="47" t="s">
        <v>16206</v>
      </c>
      <c r="L33" t="s">
        <v>16214</v>
      </c>
      <c r="M33" t="s">
        <v>16219</v>
      </c>
    </row>
    <row r="34" spans="1:13">
      <c r="A34" t="s">
        <v>15717</v>
      </c>
      <c r="B34" t="s">
        <v>15717</v>
      </c>
      <c r="C34" t="s">
        <v>15737</v>
      </c>
      <c r="D34" t="s">
        <v>4310</v>
      </c>
      <c r="F34" t="str">
        <f>Config!$B$7</f>
        <v>SCH/Connector.SchLib</v>
      </c>
      <c r="G34" t="s">
        <v>14932</v>
      </c>
      <c r="H34" t="s">
        <v>15024</v>
      </c>
      <c r="I34" t="s">
        <v>15699</v>
      </c>
      <c r="J34" s="47"/>
      <c r="K34" s="47" t="s">
        <v>16206</v>
      </c>
      <c r="L34" t="s">
        <v>16200</v>
      </c>
      <c r="M34" t="s">
        <v>16219</v>
      </c>
    </row>
    <row r="35" spans="1:13">
      <c r="A35" t="s">
        <v>15721</v>
      </c>
      <c r="B35" t="s">
        <v>15721</v>
      </c>
      <c r="C35" t="s">
        <v>15738</v>
      </c>
      <c r="D35" t="s">
        <v>4310</v>
      </c>
      <c r="F35" t="str">
        <f>Config!$B$7</f>
        <v>SCH/Connector.SchLib</v>
      </c>
      <c r="G35" t="s">
        <v>14932</v>
      </c>
      <c r="H35" t="s">
        <v>15024</v>
      </c>
      <c r="I35" t="s">
        <v>15700</v>
      </c>
      <c r="J35" s="47"/>
      <c r="K35" s="47" t="s">
        <v>16206</v>
      </c>
      <c r="L35" t="s">
        <v>16201</v>
      </c>
      <c r="M35" t="s">
        <v>16219</v>
      </c>
    </row>
    <row r="36" spans="1:13">
      <c r="A36" t="s">
        <v>15722</v>
      </c>
      <c r="B36" t="s">
        <v>15722</v>
      </c>
      <c r="C36" t="s">
        <v>15739</v>
      </c>
      <c r="D36" t="s">
        <v>4310</v>
      </c>
      <c r="F36" t="str">
        <f>Config!$B$7</f>
        <v>SCH/Connector.SchLib</v>
      </c>
      <c r="G36" t="s">
        <v>14932</v>
      </c>
      <c r="H36" t="s">
        <v>15024</v>
      </c>
      <c r="I36" t="s">
        <v>15701</v>
      </c>
      <c r="J36" s="47"/>
      <c r="K36" s="47" t="s">
        <v>16206</v>
      </c>
      <c r="L36" t="s">
        <v>16203</v>
      </c>
      <c r="M36" t="s">
        <v>16219</v>
      </c>
    </row>
    <row r="37" spans="1:13">
      <c r="A37" t="s">
        <v>15723</v>
      </c>
      <c r="B37" t="s">
        <v>15723</v>
      </c>
      <c r="C37" t="s">
        <v>15740</v>
      </c>
      <c r="D37" t="s">
        <v>4310</v>
      </c>
      <c r="F37" t="str">
        <f>Config!$B$7</f>
        <v>SCH/Connector.SchLib</v>
      </c>
      <c r="G37" t="s">
        <v>14932</v>
      </c>
      <c r="H37" t="s">
        <v>15024</v>
      </c>
      <c r="I37" t="s">
        <v>15702</v>
      </c>
      <c r="J37" s="47"/>
      <c r="K37" s="47" t="s">
        <v>16206</v>
      </c>
      <c r="L37" t="s">
        <v>16206</v>
      </c>
      <c r="M37" t="s">
        <v>16219</v>
      </c>
    </row>
    <row r="38" spans="1:13">
      <c r="A38" t="s">
        <v>15724</v>
      </c>
      <c r="B38" t="s">
        <v>15724</v>
      </c>
      <c r="C38" t="s">
        <v>15741</v>
      </c>
      <c r="D38" t="s">
        <v>4310</v>
      </c>
      <c r="F38" t="str">
        <f>Config!$B$7</f>
        <v>SCH/Connector.SchLib</v>
      </c>
      <c r="G38" t="s">
        <v>14932</v>
      </c>
      <c r="H38" t="s">
        <v>15024</v>
      </c>
      <c r="I38" t="s">
        <v>15703</v>
      </c>
      <c r="J38" s="47"/>
      <c r="K38" s="47" t="s">
        <v>16206</v>
      </c>
      <c r="L38" t="s">
        <v>16215</v>
      </c>
      <c r="M38" t="s">
        <v>16219</v>
      </c>
    </row>
    <row r="39" spans="1:13">
      <c r="A39" t="s">
        <v>15725</v>
      </c>
      <c r="B39" t="s">
        <v>15725</v>
      </c>
      <c r="C39" t="s">
        <v>15742</v>
      </c>
      <c r="D39" t="s">
        <v>4310</v>
      </c>
      <c r="F39" t="str">
        <f>Config!$B$7</f>
        <v>SCH/Connector.SchLib</v>
      </c>
      <c r="G39" t="s">
        <v>14932</v>
      </c>
      <c r="H39" t="s">
        <v>15024</v>
      </c>
      <c r="I39" t="s">
        <v>15704</v>
      </c>
      <c r="J39" s="47"/>
      <c r="K39" s="47" t="s">
        <v>16207</v>
      </c>
      <c r="L39" t="s">
        <v>16199</v>
      </c>
      <c r="M39" t="s">
        <v>16219</v>
      </c>
    </row>
    <row r="40" spans="1:13">
      <c r="A40" t="s">
        <v>15726</v>
      </c>
      <c r="B40" t="s">
        <v>15726</v>
      </c>
      <c r="C40" t="s">
        <v>15743</v>
      </c>
      <c r="D40" t="s">
        <v>4310</v>
      </c>
      <c r="F40" t="str">
        <f>Config!$B$7</f>
        <v>SCH/Connector.SchLib</v>
      </c>
      <c r="G40" t="s">
        <v>14932</v>
      </c>
      <c r="H40" t="s">
        <v>15024</v>
      </c>
      <c r="I40" t="s">
        <v>15705</v>
      </c>
      <c r="J40" s="47"/>
      <c r="K40" s="47" t="s">
        <v>16207</v>
      </c>
      <c r="L40" t="s">
        <v>16216</v>
      </c>
      <c r="M40" t="s">
        <v>16219</v>
      </c>
    </row>
    <row r="41" spans="1:13">
      <c r="A41" t="s">
        <v>15718</v>
      </c>
      <c r="B41" t="s">
        <v>15718</v>
      </c>
      <c r="C41" t="s">
        <v>15744</v>
      </c>
      <c r="D41" t="s">
        <v>4310</v>
      </c>
      <c r="F41" t="str">
        <f>Config!$B$7</f>
        <v>SCH/Connector.SchLib</v>
      </c>
      <c r="G41" t="s">
        <v>14932</v>
      </c>
      <c r="H41" t="s">
        <v>15024</v>
      </c>
      <c r="I41" t="s">
        <v>15706</v>
      </c>
      <c r="J41" s="47"/>
      <c r="K41" s="47" t="s">
        <v>16207</v>
      </c>
      <c r="L41" t="s">
        <v>16200</v>
      </c>
      <c r="M41" t="s">
        <v>16219</v>
      </c>
    </row>
    <row r="42" spans="1:13">
      <c r="A42" t="s">
        <v>15727</v>
      </c>
      <c r="B42" t="s">
        <v>15727</v>
      </c>
      <c r="C42" t="s">
        <v>15745</v>
      </c>
      <c r="D42" t="s">
        <v>4310</v>
      </c>
      <c r="F42" t="str">
        <f>Config!$B$7</f>
        <v>SCH/Connector.SchLib</v>
      </c>
      <c r="G42" t="s">
        <v>14932</v>
      </c>
      <c r="H42" t="s">
        <v>15024</v>
      </c>
      <c r="I42" t="s">
        <v>15707</v>
      </c>
      <c r="J42" s="47"/>
      <c r="K42" s="47" t="s">
        <v>16207</v>
      </c>
      <c r="L42" t="s">
        <v>16202</v>
      </c>
      <c r="M42" t="s">
        <v>16219</v>
      </c>
    </row>
    <row r="43" spans="1:13">
      <c r="A43" t="s">
        <v>15728</v>
      </c>
      <c r="B43" t="s">
        <v>15728</v>
      </c>
      <c r="C43" t="s">
        <v>15746</v>
      </c>
      <c r="D43" t="s">
        <v>4310</v>
      </c>
      <c r="F43" t="str">
        <f>Config!$B$7</f>
        <v>SCH/Connector.SchLib</v>
      </c>
      <c r="G43" t="s">
        <v>14932</v>
      </c>
      <c r="H43" t="s">
        <v>15024</v>
      </c>
      <c r="I43" t="s">
        <v>15708</v>
      </c>
      <c r="J43" s="47"/>
      <c r="K43" s="47" t="s">
        <v>16207</v>
      </c>
      <c r="L43" t="s">
        <v>16204</v>
      </c>
      <c r="M43" t="s">
        <v>16219</v>
      </c>
    </row>
    <row r="44" spans="1:13">
      <c r="A44" t="s">
        <v>15729</v>
      </c>
      <c r="B44" t="s">
        <v>15729</v>
      </c>
      <c r="C44" t="s">
        <v>15747</v>
      </c>
      <c r="D44" t="s">
        <v>4310</v>
      </c>
      <c r="F44" t="str">
        <f>Config!$B$7</f>
        <v>SCH/Connector.SchLib</v>
      </c>
      <c r="G44" t="s">
        <v>14932</v>
      </c>
      <c r="H44" t="s">
        <v>15024</v>
      </c>
      <c r="I44" t="s">
        <v>15709</v>
      </c>
      <c r="J44" s="47"/>
      <c r="K44" s="47" t="s">
        <v>16207</v>
      </c>
      <c r="L44" t="s">
        <v>16207</v>
      </c>
      <c r="M44" t="s">
        <v>16219</v>
      </c>
    </row>
    <row r="45" spans="1:13">
      <c r="A45" t="s">
        <v>15730</v>
      </c>
      <c r="B45" t="s">
        <v>15730</v>
      </c>
      <c r="C45" t="s">
        <v>15748</v>
      </c>
      <c r="D45" t="s">
        <v>4310</v>
      </c>
      <c r="F45" t="str">
        <f>Config!$B$7</f>
        <v>SCH/Connector.SchLib</v>
      </c>
      <c r="G45" t="s">
        <v>14932</v>
      </c>
      <c r="H45" t="s">
        <v>15024</v>
      </c>
      <c r="I45" t="s">
        <v>15710</v>
      </c>
      <c r="J45" s="47"/>
      <c r="K45" s="47" t="s">
        <v>16207</v>
      </c>
      <c r="L45" t="s">
        <v>16217</v>
      </c>
      <c r="M45" t="s">
        <v>16219</v>
      </c>
    </row>
    <row r="46" spans="1:13">
      <c r="A46" t="s">
        <v>15731</v>
      </c>
      <c r="B46" t="s">
        <v>15731</v>
      </c>
      <c r="C46" t="s">
        <v>15749</v>
      </c>
      <c r="D46" t="s">
        <v>4310</v>
      </c>
      <c r="F46" t="str">
        <f>Config!$B$7</f>
        <v>SCH/Connector.SchLib</v>
      </c>
      <c r="G46" t="s">
        <v>14932</v>
      </c>
      <c r="H46" t="s">
        <v>15024</v>
      </c>
      <c r="I46" t="s">
        <v>15711</v>
      </c>
      <c r="J46" s="47"/>
      <c r="K46" s="47" t="s">
        <v>16208</v>
      </c>
      <c r="L46" t="s">
        <v>16199</v>
      </c>
      <c r="M46" t="s">
        <v>16219</v>
      </c>
    </row>
    <row r="47" spans="1:13">
      <c r="A47" t="s">
        <v>15719</v>
      </c>
      <c r="B47" t="s">
        <v>15719</v>
      </c>
      <c r="C47" t="s">
        <v>15750</v>
      </c>
      <c r="D47" t="s">
        <v>4310</v>
      </c>
      <c r="F47" t="str">
        <f>Config!$B$7</f>
        <v>SCH/Connector.SchLib</v>
      </c>
      <c r="G47" t="s">
        <v>14932</v>
      </c>
      <c r="H47" t="s">
        <v>15024</v>
      </c>
      <c r="I47" t="s">
        <v>15712</v>
      </c>
      <c r="J47" s="47"/>
      <c r="K47" s="47" t="s">
        <v>16208</v>
      </c>
      <c r="L47" t="s">
        <v>16200</v>
      </c>
      <c r="M47" t="s">
        <v>16219</v>
      </c>
    </row>
    <row r="48" spans="1:13">
      <c r="A48" t="s">
        <v>15732</v>
      </c>
      <c r="B48" t="s">
        <v>15732</v>
      </c>
      <c r="C48" t="s">
        <v>15751</v>
      </c>
      <c r="D48" t="s">
        <v>4310</v>
      </c>
      <c r="F48" t="str">
        <f>Config!$B$7</f>
        <v>SCH/Connector.SchLib</v>
      </c>
      <c r="G48" t="s">
        <v>14932</v>
      </c>
      <c r="H48" t="s">
        <v>15024</v>
      </c>
      <c r="I48" t="s">
        <v>15713</v>
      </c>
      <c r="J48" s="47"/>
      <c r="K48" s="47" t="s">
        <v>16208</v>
      </c>
      <c r="L48" t="s">
        <v>16212</v>
      </c>
      <c r="M48" t="s">
        <v>16219</v>
      </c>
    </row>
    <row r="49" spans="1:13">
      <c r="A49" t="s">
        <v>15733</v>
      </c>
      <c r="B49" t="s">
        <v>15733</v>
      </c>
      <c r="C49" t="s">
        <v>15752</v>
      </c>
      <c r="D49" t="s">
        <v>4310</v>
      </c>
      <c r="F49" t="str">
        <f>Config!$B$7</f>
        <v>SCH/Connector.SchLib</v>
      </c>
      <c r="G49" t="s">
        <v>14932</v>
      </c>
      <c r="H49" t="s">
        <v>15024</v>
      </c>
      <c r="I49" t="s">
        <v>15714</v>
      </c>
      <c r="J49" s="47"/>
      <c r="K49" s="47" t="s">
        <v>16208</v>
      </c>
      <c r="L49" t="s">
        <v>16205</v>
      </c>
      <c r="M49" t="s">
        <v>16219</v>
      </c>
    </row>
    <row r="50" spans="1:13">
      <c r="A50" t="s">
        <v>15734</v>
      </c>
      <c r="B50" t="s">
        <v>15734</v>
      </c>
      <c r="C50" t="s">
        <v>15753</v>
      </c>
      <c r="D50" t="s">
        <v>4310</v>
      </c>
      <c r="F50" t="str">
        <f>Config!$B$7</f>
        <v>SCH/Connector.SchLib</v>
      </c>
      <c r="G50" t="s">
        <v>14932</v>
      </c>
      <c r="H50" t="s">
        <v>15024</v>
      </c>
      <c r="I50" t="s">
        <v>15715</v>
      </c>
      <c r="J50" s="47"/>
      <c r="K50" s="47" t="s">
        <v>16208</v>
      </c>
      <c r="L50" t="s">
        <v>16213</v>
      </c>
      <c r="M50" t="s">
        <v>16219</v>
      </c>
    </row>
    <row r="51" spans="1:13">
      <c r="A51" t="s">
        <v>15735</v>
      </c>
      <c r="B51" t="s">
        <v>15735</v>
      </c>
      <c r="C51" t="s">
        <v>15754</v>
      </c>
      <c r="D51" t="s">
        <v>4310</v>
      </c>
      <c r="F51" t="str">
        <f>Config!$B$7</f>
        <v>SCH/Connector.SchLib</v>
      </c>
      <c r="G51" t="s">
        <v>14932</v>
      </c>
      <c r="H51" t="s">
        <v>15024</v>
      </c>
      <c r="I51" t="s">
        <v>15716</v>
      </c>
      <c r="J51" s="47"/>
      <c r="K51" s="47" t="s">
        <v>16208</v>
      </c>
      <c r="L51" t="s">
        <v>16218</v>
      </c>
      <c r="M51" t="s">
        <v>16219</v>
      </c>
    </row>
    <row r="52" spans="1:13">
      <c r="J52" s="47"/>
      <c r="K52" s="47"/>
    </row>
    <row r="53" spans="1:13">
      <c r="A53" t="s">
        <v>15634</v>
      </c>
      <c r="B53" t="s">
        <v>15634</v>
      </c>
      <c r="C53" t="s">
        <v>15635</v>
      </c>
      <c r="D53" t="s">
        <v>4310</v>
      </c>
      <c r="F53" t="str">
        <f>Config!$B$7</f>
        <v>SCH/Connector.SchLib</v>
      </c>
      <c r="G53" t="s">
        <v>14932</v>
      </c>
      <c r="H53" t="s">
        <v>15636</v>
      </c>
      <c r="I53" t="s">
        <v>14962</v>
      </c>
      <c r="J53" s="47"/>
      <c r="K53" s="47" t="s">
        <v>16198</v>
      </c>
      <c r="L53" t="s">
        <v>16198</v>
      </c>
      <c r="M53" t="s">
        <v>16223</v>
      </c>
    </row>
    <row r="54" spans="1:13">
      <c r="A54" t="s">
        <v>15637</v>
      </c>
      <c r="B54" t="s">
        <v>15637</v>
      </c>
      <c r="C54" t="s">
        <v>15638</v>
      </c>
      <c r="D54" t="s">
        <v>4310</v>
      </c>
      <c r="F54" t="str">
        <f>Config!$B$7</f>
        <v>SCH/Connector.SchLib</v>
      </c>
      <c r="G54" t="s">
        <v>14932</v>
      </c>
      <c r="H54" t="s">
        <v>15636</v>
      </c>
      <c r="I54" t="s">
        <v>14963</v>
      </c>
      <c r="J54" s="47"/>
      <c r="K54" s="47" t="s">
        <v>16198</v>
      </c>
      <c r="L54" t="s">
        <v>16199</v>
      </c>
      <c r="M54" t="s">
        <v>16223</v>
      </c>
    </row>
    <row r="55" spans="1:13">
      <c r="A55" t="s">
        <v>15639</v>
      </c>
      <c r="B55" t="s">
        <v>15639</v>
      </c>
      <c r="C55" t="s">
        <v>15640</v>
      </c>
      <c r="D55" t="s">
        <v>4310</v>
      </c>
      <c r="F55" t="str">
        <f>Config!$B$7</f>
        <v>SCH/Connector.SchLib</v>
      </c>
      <c r="G55" t="s">
        <v>14932</v>
      </c>
      <c r="H55" t="s">
        <v>15636</v>
      </c>
      <c r="I55" t="s">
        <v>14934</v>
      </c>
      <c r="J55" s="47"/>
      <c r="K55" s="47" t="s">
        <v>16199</v>
      </c>
      <c r="L55" t="s">
        <v>16198</v>
      </c>
      <c r="M55" t="s">
        <v>16223</v>
      </c>
    </row>
    <row r="56" spans="1:13">
      <c r="A56" t="s">
        <v>15641</v>
      </c>
      <c r="B56" t="s">
        <v>15641</v>
      </c>
      <c r="C56" t="s">
        <v>15642</v>
      </c>
      <c r="D56" t="s">
        <v>4310</v>
      </c>
      <c r="F56" t="str">
        <f>Config!$B$7</f>
        <v>SCH/Connector.SchLib</v>
      </c>
      <c r="G56" t="s">
        <v>14932</v>
      </c>
      <c r="H56" t="s">
        <v>15636</v>
      </c>
      <c r="I56" t="s">
        <v>14935</v>
      </c>
      <c r="K56" s="47" t="s">
        <v>16199</v>
      </c>
      <c r="L56" t="s">
        <v>16199</v>
      </c>
      <c r="M56" t="s">
        <v>16223</v>
      </c>
    </row>
    <row r="57" spans="1:13">
      <c r="A57" t="s">
        <v>15643</v>
      </c>
      <c r="B57" t="s">
        <v>15643</v>
      </c>
      <c r="C57" t="s">
        <v>15644</v>
      </c>
      <c r="D57" t="s">
        <v>4310</v>
      </c>
      <c r="F57" t="str">
        <f>Config!$B$7</f>
        <v>SCH/Connector.SchLib</v>
      </c>
      <c r="G57" t="s">
        <v>14932</v>
      </c>
      <c r="H57" t="s">
        <v>15636</v>
      </c>
      <c r="I57" t="s">
        <v>14936</v>
      </c>
      <c r="J57" s="47"/>
      <c r="K57" s="47" t="s">
        <v>16199</v>
      </c>
      <c r="L57" t="s">
        <v>16200</v>
      </c>
      <c r="M57" t="s">
        <v>16223</v>
      </c>
    </row>
    <row r="58" spans="1:13">
      <c r="A58" t="s">
        <v>15645</v>
      </c>
      <c r="B58" t="s">
        <v>15645</v>
      </c>
      <c r="C58" t="s">
        <v>15646</v>
      </c>
      <c r="D58" t="s">
        <v>4310</v>
      </c>
      <c r="F58" t="str">
        <f>Config!$B$7</f>
        <v>SCH/Connector.SchLib</v>
      </c>
      <c r="G58" t="s">
        <v>14932</v>
      </c>
      <c r="H58" t="s">
        <v>15636</v>
      </c>
      <c r="I58" t="s">
        <v>14937</v>
      </c>
      <c r="J58" s="47"/>
      <c r="K58" s="47" t="s">
        <v>16200</v>
      </c>
      <c r="L58" t="s">
        <v>16198</v>
      </c>
      <c r="M58" t="s">
        <v>16223</v>
      </c>
    </row>
    <row r="59" spans="1:13">
      <c r="A59" t="s">
        <v>15647</v>
      </c>
      <c r="B59" t="s">
        <v>15647</v>
      </c>
      <c r="C59" t="s">
        <v>15648</v>
      </c>
      <c r="D59" t="s">
        <v>4310</v>
      </c>
      <c r="F59" t="str">
        <f>Config!$B$7</f>
        <v>SCH/Connector.SchLib</v>
      </c>
      <c r="G59" t="s">
        <v>14932</v>
      </c>
      <c r="H59" t="s">
        <v>15636</v>
      </c>
      <c r="I59" t="s">
        <v>14938</v>
      </c>
      <c r="J59" s="47"/>
      <c r="K59" s="47" t="s">
        <v>16200</v>
      </c>
      <c r="L59" t="s">
        <v>16199</v>
      </c>
      <c r="M59" t="s">
        <v>16223</v>
      </c>
    </row>
    <row r="60" spans="1:13">
      <c r="A60" t="s">
        <v>15649</v>
      </c>
      <c r="B60" t="s">
        <v>15649</v>
      </c>
      <c r="C60" t="s">
        <v>15650</v>
      </c>
      <c r="D60" t="s">
        <v>4310</v>
      </c>
      <c r="F60" t="str">
        <f>Config!$B$7</f>
        <v>SCH/Connector.SchLib</v>
      </c>
      <c r="G60" t="s">
        <v>14932</v>
      </c>
      <c r="H60" t="s">
        <v>15636</v>
      </c>
      <c r="I60" t="s">
        <v>14939</v>
      </c>
      <c r="J60" s="47"/>
      <c r="K60" s="47" t="s">
        <v>16200</v>
      </c>
      <c r="L60" t="s">
        <v>16200</v>
      </c>
      <c r="M60" t="s">
        <v>16223</v>
      </c>
    </row>
    <row r="61" spans="1:13">
      <c r="A61" t="s">
        <v>15651</v>
      </c>
      <c r="B61" t="s">
        <v>15651</v>
      </c>
      <c r="C61" t="s">
        <v>15652</v>
      </c>
      <c r="D61" t="s">
        <v>4310</v>
      </c>
      <c r="F61" t="str">
        <f>Config!$B$7</f>
        <v>SCH/Connector.SchLib</v>
      </c>
      <c r="G61" t="s">
        <v>14932</v>
      </c>
      <c r="H61" t="s">
        <v>15636</v>
      </c>
      <c r="I61" t="s">
        <v>14940</v>
      </c>
      <c r="J61" s="47"/>
      <c r="K61" s="47" t="s">
        <v>16200</v>
      </c>
      <c r="L61" t="s">
        <v>16202</v>
      </c>
      <c r="M61" t="s">
        <v>16223</v>
      </c>
    </row>
    <row r="62" spans="1:13">
      <c r="A62" t="s">
        <v>15653</v>
      </c>
      <c r="B62" t="s">
        <v>15653</v>
      </c>
      <c r="C62" t="s">
        <v>15654</v>
      </c>
      <c r="D62" t="s">
        <v>4310</v>
      </c>
      <c r="F62" t="str">
        <f>Config!$B$7</f>
        <v>SCH/Connector.SchLib</v>
      </c>
      <c r="G62" t="s">
        <v>14932</v>
      </c>
      <c r="H62" t="s">
        <v>15636</v>
      </c>
      <c r="I62" t="s">
        <v>14941</v>
      </c>
      <c r="J62" s="47"/>
      <c r="K62" s="47" t="s">
        <v>16201</v>
      </c>
      <c r="L62" t="s">
        <v>16209</v>
      </c>
      <c r="M62" t="s">
        <v>16223</v>
      </c>
    </row>
    <row r="63" spans="1:13">
      <c r="A63" t="s">
        <v>15655</v>
      </c>
      <c r="B63" t="s">
        <v>15655</v>
      </c>
      <c r="C63" t="s">
        <v>15656</v>
      </c>
      <c r="D63" t="s">
        <v>4310</v>
      </c>
      <c r="F63" t="str">
        <f>Config!$B$7</f>
        <v>SCH/Connector.SchLib</v>
      </c>
      <c r="G63" t="s">
        <v>14932</v>
      </c>
      <c r="H63" t="s">
        <v>15636</v>
      </c>
      <c r="I63" t="s">
        <v>14942</v>
      </c>
      <c r="J63" s="47"/>
      <c r="K63" s="47" t="s">
        <v>16201</v>
      </c>
      <c r="L63" t="s">
        <v>16201</v>
      </c>
      <c r="M63" t="s">
        <v>16223</v>
      </c>
    </row>
    <row r="64" spans="1:13">
      <c r="A64" t="s">
        <v>15657</v>
      </c>
      <c r="B64" t="s">
        <v>15657</v>
      </c>
      <c r="C64" t="s">
        <v>15658</v>
      </c>
      <c r="D64" t="s">
        <v>4310</v>
      </c>
      <c r="F64" t="str">
        <f>Config!$B$7</f>
        <v>SCH/Connector.SchLib</v>
      </c>
      <c r="G64" t="s">
        <v>14932</v>
      </c>
      <c r="H64" t="s">
        <v>15636</v>
      </c>
      <c r="I64" t="s">
        <v>14943</v>
      </c>
      <c r="J64" s="47"/>
      <c r="K64" s="47" t="s">
        <v>16201</v>
      </c>
      <c r="L64" t="s">
        <v>16203</v>
      </c>
      <c r="M64" t="s">
        <v>16223</v>
      </c>
    </row>
    <row r="65" spans="1:13">
      <c r="A65" t="s">
        <v>15659</v>
      </c>
      <c r="B65" t="s">
        <v>15659</v>
      </c>
      <c r="C65" t="s">
        <v>15660</v>
      </c>
      <c r="D65" t="s">
        <v>4310</v>
      </c>
      <c r="F65" t="str">
        <f>Config!$B$7</f>
        <v>SCH/Connector.SchLib</v>
      </c>
      <c r="G65" t="s">
        <v>14932</v>
      </c>
      <c r="H65" t="s">
        <v>15636</v>
      </c>
      <c r="I65" t="s">
        <v>14944</v>
      </c>
      <c r="J65" s="47"/>
      <c r="K65" s="47" t="s">
        <v>16202</v>
      </c>
      <c r="L65" t="s">
        <v>16199</v>
      </c>
      <c r="M65" t="s">
        <v>16223</v>
      </c>
    </row>
    <row r="66" spans="1:13">
      <c r="A66" t="s">
        <v>15661</v>
      </c>
      <c r="B66" t="s">
        <v>15661</v>
      </c>
      <c r="C66" t="s">
        <v>15662</v>
      </c>
      <c r="D66" t="s">
        <v>4310</v>
      </c>
      <c r="F66" t="str">
        <f>Config!$B$7</f>
        <v>SCH/Connector.SchLib</v>
      </c>
      <c r="G66" t="s">
        <v>14932</v>
      </c>
      <c r="H66" t="s">
        <v>15636</v>
      </c>
      <c r="I66" t="s">
        <v>14945</v>
      </c>
      <c r="J66" s="47"/>
      <c r="K66" s="47" t="s">
        <v>16202</v>
      </c>
      <c r="L66" t="s">
        <v>16200</v>
      </c>
      <c r="M66" t="s">
        <v>16223</v>
      </c>
    </row>
    <row r="67" spans="1:13">
      <c r="A67" t="s">
        <v>15663</v>
      </c>
      <c r="B67" t="s">
        <v>15663</v>
      </c>
      <c r="C67" t="s">
        <v>15664</v>
      </c>
      <c r="D67" t="s">
        <v>4310</v>
      </c>
      <c r="F67" t="str">
        <f>Config!$B$7</f>
        <v>SCH/Connector.SchLib</v>
      </c>
      <c r="G67" t="s">
        <v>14932</v>
      </c>
      <c r="H67" t="s">
        <v>15636</v>
      </c>
      <c r="I67" t="s">
        <v>14946</v>
      </c>
      <c r="J67" s="47"/>
      <c r="K67" s="47" t="s">
        <v>16202</v>
      </c>
      <c r="L67" t="s">
        <v>16202</v>
      </c>
      <c r="M67" t="s">
        <v>16223</v>
      </c>
    </row>
    <row r="68" spans="1:13">
      <c r="A68" t="s">
        <v>15665</v>
      </c>
      <c r="B68" t="s">
        <v>15665</v>
      </c>
      <c r="C68" t="s">
        <v>15666</v>
      </c>
      <c r="D68" t="s">
        <v>4310</v>
      </c>
      <c r="F68" t="str">
        <f>Config!$B$7</f>
        <v>SCH/Connector.SchLib</v>
      </c>
      <c r="G68" t="s">
        <v>14932</v>
      </c>
      <c r="H68" t="s">
        <v>15636</v>
      </c>
      <c r="I68" t="s">
        <v>14947</v>
      </c>
      <c r="J68" s="47"/>
      <c r="K68" s="47" t="s">
        <v>16202</v>
      </c>
      <c r="L68" t="s">
        <v>16204</v>
      </c>
      <c r="M68" t="s">
        <v>16223</v>
      </c>
    </row>
    <row r="69" spans="1:13">
      <c r="A69" t="s">
        <v>15667</v>
      </c>
      <c r="B69" t="s">
        <v>15667</v>
      </c>
      <c r="C69" t="s">
        <v>15668</v>
      </c>
      <c r="D69" t="s">
        <v>4310</v>
      </c>
      <c r="F69" t="str">
        <f>Config!$B$7</f>
        <v>SCH/Connector.SchLib</v>
      </c>
      <c r="G69" t="s">
        <v>14932</v>
      </c>
      <c r="H69" t="s">
        <v>15636</v>
      </c>
      <c r="I69" t="s">
        <v>14948</v>
      </c>
      <c r="J69" s="47"/>
      <c r="K69" s="47" t="s">
        <v>16203</v>
      </c>
      <c r="L69" t="s">
        <v>16209</v>
      </c>
      <c r="M69" t="s">
        <v>16223</v>
      </c>
    </row>
    <row r="70" spans="1:13">
      <c r="A70" t="s">
        <v>15669</v>
      </c>
      <c r="B70" t="s">
        <v>15669</v>
      </c>
      <c r="C70" t="s">
        <v>15670</v>
      </c>
      <c r="D70" t="s">
        <v>4310</v>
      </c>
      <c r="F70" t="str">
        <f>Config!$B$7</f>
        <v>SCH/Connector.SchLib</v>
      </c>
      <c r="G70" t="s">
        <v>14932</v>
      </c>
      <c r="H70" t="s">
        <v>15636</v>
      </c>
      <c r="I70" t="s">
        <v>14949</v>
      </c>
      <c r="J70" s="47"/>
      <c r="K70" s="47" t="s">
        <v>16203</v>
      </c>
      <c r="L70" t="s">
        <v>16201</v>
      </c>
      <c r="M70" t="s">
        <v>16223</v>
      </c>
    </row>
    <row r="71" spans="1:13">
      <c r="A71" t="s">
        <v>15671</v>
      </c>
      <c r="B71" t="s">
        <v>15671</v>
      </c>
      <c r="C71" t="s">
        <v>15672</v>
      </c>
      <c r="D71" t="s">
        <v>4310</v>
      </c>
      <c r="F71" t="str">
        <f>Config!$B$7</f>
        <v>SCH/Connector.SchLib</v>
      </c>
      <c r="G71" t="s">
        <v>14932</v>
      </c>
      <c r="H71" t="s">
        <v>15636</v>
      </c>
      <c r="I71" t="s">
        <v>14950</v>
      </c>
      <c r="J71" s="47"/>
      <c r="K71" s="47" t="s">
        <v>16203</v>
      </c>
      <c r="L71" t="s">
        <v>16203</v>
      </c>
      <c r="M71" t="s">
        <v>16223</v>
      </c>
    </row>
    <row r="72" spans="1:13">
      <c r="A72" t="s">
        <v>15673</v>
      </c>
      <c r="B72" t="s">
        <v>15673</v>
      </c>
      <c r="C72" t="s">
        <v>15674</v>
      </c>
      <c r="D72" t="s">
        <v>4310</v>
      </c>
      <c r="F72" t="str">
        <f>Config!$B$7</f>
        <v>SCH/Connector.SchLib</v>
      </c>
      <c r="G72" t="s">
        <v>14932</v>
      </c>
      <c r="H72" t="s">
        <v>15636</v>
      </c>
      <c r="I72" t="s">
        <v>14951</v>
      </c>
      <c r="J72" s="47"/>
      <c r="K72" s="47" t="s">
        <v>16203</v>
      </c>
      <c r="L72" t="s">
        <v>16206</v>
      </c>
      <c r="M72" t="s">
        <v>16223</v>
      </c>
    </row>
    <row r="73" spans="1:13">
      <c r="A73" t="s">
        <v>15675</v>
      </c>
      <c r="B73" t="s">
        <v>15675</v>
      </c>
      <c r="C73" t="s">
        <v>15676</v>
      </c>
      <c r="D73" t="s">
        <v>4310</v>
      </c>
      <c r="F73" t="str">
        <f>Config!$B$7</f>
        <v>SCH/Connector.SchLib</v>
      </c>
      <c r="G73" t="s">
        <v>14932</v>
      </c>
      <c r="H73" t="s">
        <v>15636</v>
      </c>
      <c r="I73" t="s">
        <v>14952</v>
      </c>
      <c r="J73" s="47"/>
      <c r="K73" s="47" t="s">
        <v>16204</v>
      </c>
      <c r="L73" t="s">
        <v>16210</v>
      </c>
      <c r="M73" t="s">
        <v>16223</v>
      </c>
    </row>
    <row r="74" spans="1:13">
      <c r="A74" t="s">
        <v>15677</v>
      </c>
      <c r="B74" t="s">
        <v>15677</v>
      </c>
      <c r="C74" t="s">
        <v>15678</v>
      </c>
      <c r="D74" t="s">
        <v>4310</v>
      </c>
      <c r="F74" t="str">
        <f>Config!$B$7</f>
        <v>SCH/Connector.SchLib</v>
      </c>
      <c r="G74" t="s">
        <v>14932</v>
      </c>
      <c r="H74" t="s">
        <v>15636</v>
      </c>
      <c r="I74" t="s">
        <v>14953</v>
      </c>
      <c r="J74" s="47"/>
      <c r="K74" s="47" t="s">
        <v>16204</v>
      </c>
      <c r="L74" t="s">
        <v>16200</v>
      </c>
      <c r="M74" t="s">
        <v>16223</v>
      </c>
    </row>
    <row r="75" spans="1:13">
      <c r="A75" t="s">
        <v>15679</v>
      </c>
      <c r="B75" t="s">
        <v>15679</v>
      </c>
      <c r="C75" t="s">
        <v>15680</v>
      </c>
      <c r="D75" t="s">
        <v>4310</v>
      </c>
      <c r="F75" t="str">
        <f>Config!$B$7</f>
        <v>SCH/Connector.SchLib</v>
      </c>
      <c r="G75" t="s">
        <v>14932</v>
      </c>
      <c r="H75" t="s">
        <v>15636</v>
      </c>
      <c r="I75" t="s">
        <v>14954</v>
      </c>
      <c r="J75" s="47"/>
      <c r="K75" s="47" t="s">
        <v>16204</v>
      </c>
      <c r="L75" t="s">
        <v>16202</v>
      </c>
      <c r="M75" t="s">
        <v>16223</v>
      </c>
    </row>
    <row r="76" spans="1:13">
      <c r="A76" t="s">
        <v>15681</v>
      </c>
      <c r="B76" t="s">
        <v>15681</v>
      </c>
      <c r="C76" t="s">
        <v>15682</v>
      </c>
      <c r="D76" t="s">
        <v>4310</v>
      </c>
      <c r="F76" t="str">
        <f>Config!$B$7</f>
        <v>SCH/Connector.SchLib</v>
      </c>
      <c r="G76" t="s">
        <v>14932</v>
      </c>
      <c r="H76" t="s">
        <v>15636</v>
      </c>
      <c r="I76" t="s">
        <v>14955</v>
      </c>
      <c r="J76" s="47"/>
      <c r="K76" s="47" t="s">
        <v>16204</v>
      </c>
      <c r="L76" t="s">
        <v>16204</v>
      </c>
      <c r="M76" t="s">
        <v>16223</v>
      </c>
    </row>
    <row r="77" spans="1:13">
      <c r="A77" t="s">
        <v>15683</v>
      </c>
      <c r="B77" t="s">
        <v>15683</v>
      </c>
      <c r="C77" t="s">
        <v>15684</v>
      </c>
      <c r="D77" t="s">
        <v>4310</v>
      </c>
      <c r="F77" t="str">
        <f>Config!$B$7</f>
        <v>SCH/Connector.SchLib</v>
      </c>
      <c r="G77" t="s">
        <v>14932</v>
      </c>
      <c r="H77" t="s">
        <v>15636</v>
      </c>
      <c r="I77" t="s">
        <v>14956</v>
      </c>
      <c r="J77" s="47"/>
      <c r="K77" s="47" t="s">
        <v>16204</v>
      </c>
      <c r="L77" t="s">
        <v>16207</v>
      </c>
      <c r="M77" t="s">
        <v>16223</v>
      </c>
    </row>
    <row r="78" spans="1:13">
      <c r="A78" t="s">
        <v>15685</v>
      </c>
      <c r="B78" t="s">
        <v>15685</v>
      </c>
      <c r="C78" t="s">
        <v>15686</v>
      </c>
      <c r="D78" t="s">
        <v>4310</v>
      </c>
      <c r="F78" t="str">
        <f>Config!$B$7</f>
        <v>SCH/Connector.SchLib</v>
      </c>
      <c r="G78" t="s">
        <v>14932</v>
      </c>
      <c r="H78" t="s">
        <v>15636</v>
      </c>
      <c r="I78" t="s">
        <v>14957</v>
      </c>
      <c r="J78" s="47"/>
      <c r="K78" s="47" t="s">
        <v>16205</v>
      </c>
      <c r="L78" t="s">
        <v>16199</v>
      </c>
      <c r="M78" t="s">
        <v>16223</v>
      </c>
    </row>
    <row r="79" spans="1:13">
      <c r="A79" t="s">
        <v>16155</v>
      </c>
      <c r="B79" t="s">
        <v>16155</v>
      </c>
      <c r="C79" t="s">
        <v>16156</v>
      </c>
      <c r="D79" t="s">
        <v>4310</v>
      </c>
      <c r="F79" t="str">
        <f>Config!$B$7</f>
        <v>SCH/Connector.SchLib</v>
      </c>
      <c r="G79" t="s">
        <v>14932</v>
      </c>
      <c r="H79" t="s">
        <v>15636</v>
      </c>
      <c r="I79" t="s">
        <v>15695</v>
      </c>
      <c r="J79" s="47"/>
      <c r="K79" s="47" t="s">
        <v>16205</v>
      </c>
      <c r="L79" t="s">
        <v>16200</v>
      </c>
      <c r="M79" t="s">
        <v>16223</v>
      </c>
    </row>
    <row r="80" spans="1:13">
      <c r="A80" t="s">
        <v>15687</v>
      </c>
      <c r="B80" t="s">
        <v>15687</v>
      </c>
      <c r="C80" t="s">
        <v>15688</v>
      </c>
      <c r="D80" t="s">
        <v>4310</v>
      </c>
      <c r="F80" t="str">
        <f>Config!$B$7</f>
        <v>SCH/Connector.SchLib</v>
      </c>
      <c r="G80" t="s">
        <v>14932</v>
      </c>
      <c r="H80" t="s">
        <v>15636</v>
      </c>
      <c r="I80" t="s">
        <v>14958</v>
      </c>
      <c r="J80" s="47"/>
      <c r="K80" s="47" t="s">
        <v>16205</v>
      </c>
      <c r="L80" t="s">
        <v>16211</v>
      </c>
      <c r="M80" t="s">
        <v>16223</v>
      </c>
    </row>
    <row r="81" spans="1:13">
      <c r="A81" t="s">
        <v>15689</v>
      </c>
      <c r="B81" t="s">
        <v>15689</v>
      </c>
      <c r="C81" t="s">
        <v>15690</v>
      </c>
      <c r="D81" t="s">
        <v>4310</v>
      </c>
      <c r="F81" t="str">
        <f>Config!$B$7</f>
        <v>SCH/Connector.SchLib</v>
      </c>
      <c r="G81" t="s">
        <v>14932</v>
      </c>
      <c r="H81" t="s">
        <v>15636</v>
      </c>
      <c r="I81" t="s">
        <v>14959</v>
      </c>
      <c r="J81" s="47"/>
      <c r="K81" s="47" t="s">
        <v>16205</v>
      </c>
      <c r="L81" t="s">
        <v>16212</v>
      </c>
      <c r="M81" t="s">
        <v>16223</v>
      </c>
    </row>
    <row r="82" spans="1:13">
      <c r="A82" t="s">
        <v>15691</v>
      </c>
      <c r="B82" t="s">
        <v>15691</v>
      </c>
      <c r="C82" t="s">
        <v>15692</v>
      </c>
      <c r="D82" t="s">
        <v>4310</v>
      </c>
      <c r="F82" t="str">
        <f>Config!$B$7</f>
        <v>SCH/Connector.SchLib</v>
      </c>
      <c r="G82" t="s">
        <v>14932</v>
      </c>
      <c r="H82" t="s">
        <v>15636</v>
      </c>
      <c r="I82" t="s">
        <v>14960</v>
      </c>
      <c r="J82" s="47"/>
      <c r="K82" s="47" t="s">
        <v>16205</v>
      </c>
      <c r="L82" t="s">
        <v>16205</v>
      </c>
      <c r="M82" t="s">
        <v>16223</v>
      </c>
    </row>
    <row r="83" spans="1:13">
      <c r="A83" t="s">
        <v>15693</v>
      </c>
      <c r="B83" t="s">
        <v>15693</v>
      </c>
      <c r="C83" t="s">
        <v>15694</v>
      </c>
      <c r="D83" t="s">
        <v>4310</v>
      </c>
      <c r="F83" t="str">
        <f>Config!$B$7</f>
        <v>SCH/Connector.SchLib</v>
      </c>
      <c r="G83" t="s">
        <v>14932</v>
      </c>
      <c r="H83" t="s">
        <v>15636</v>
      </c>
      <c r="I83" t="s">
        <v>14961</v>
      </c>
      <c r="J83" s="47"/>
      <c r="K83" s="47" t="s">
        <v>16205</v>
      </c>
      <c r="L83" t="s">
        <v>16213</v>
      </c>
      <c r="M83" t="s">
        <v>16223</v>
      </c>
    </row>
    <row r="84" spans="1:13">
      <c r="A84" t="s">
        <v>16157</v>
      </c>
      <c r="B84" t="s">
        <v>16157</v>
      </c>
      <c r="C84" t="s">
        <v>16158</v>
      </c>
      <c r="D84" t="s">
        <v>4310</v>
      </c>
      <c r="F84" t="str">
        <f>Config!$B$7</f>
        <v>SCH/Connector.SchLib</v>
      </c>
      <c r="G84" t="s">
        <v>14932</v>
      </c>
      <c r="H84" t="s">
        <v>15636</v>
      </c>
      <c r="I84" t="s">
        <v>15698</v>
      </c>
      <c r="J84" s="47"/>
      <c r="K84" s="47" t="s">
        <v>16206</v>
      </c>
      <c r="L84" t="s">
        <v>16214</v>
      </c>
      <c r="M84" t="s">
        <v>16223</v>
      </c>
    </row>
    <row r="85" spans="1:13">
      <c r="A85" t="s">
        <v>16159</v>
      </c>
      <c r="B85" t="s">
        <v>16159</v>
      </c>
      <c r="C85" t="s">
        <v>16160</v>
      </c>
      <c r="D85" t="s">
        <v>4310</v>
      </c>
      <c r="F85" t="str">
        <f>Config!$B$7</f>
        <v>SCH/Connector.SchLib</v>
      </c>
      <c r="G85" t="s">
        <v>14932</v>
      </c>
      <c r="H85" t="s">
        <v>15636</v>
      </c>
      <c r="I85" t="s">
        <v>15699</v>
      </c>
      <c r="J85" s="47"/>
      <c r="K85" s="47" t="s">
        <v>16206</v>
      </c>
      <c r="L85" t="s">
        <v>16200</v>
      </c>
      <c r="M85" t="s">
        <v>16223</v>
      </c>
    </row>
    <row r="86" spans="1:13">
      <c r="A86" t="s">
        <v>16161</v>
      </c>
      <c r="B86" t="s">
        <v>16161</v>
      </c>
      <c r="C86" t="s">
        <v>16162</v>
      </c>
      <c r="D86" t="s">
        <v>4310</v>
      </c>
      <c r="F86" t="str">
        <f>Config!$B$7</f>
        <v>SCH/Connector.SchLib</v>
      </c>
      <c r="G86" t="s">
        <v>14932</v>
      </c>
      <c r="H86" t="s">
        <v>15636</v>
      </c>
      <c r="I86" t="s">
        <v>15700</v>
      </c>
      <c r="J86" s="47"/>
      <c r="K86" s="47" t="s">
        <v>16206</v>
      </c>
      <c r="L86" t="s">
        <v>16201</v>
      </c>
      <c r="M86" t="s">
        <v>16223</v>
      </c>
    </row>
    <row r="87" spans="1:13">
      <c r="A87" t="s">
        <v>16163</v>
      </c>
      <c r="B87" t="s">
        <v>16163</v>
      </c>
      <c r="C87" t="s">
        <v>16164</v>
      </c>
      <c r="D87" t="s">
        <v>4310</v>
      </c>
      <c r="F87" t="str">
        <f>Config!$B$7</f>
        <v>SCH/Connector.SchLib</v>
      </c>
      <c r="G87" t="s">
        <v>14932</v>
      </c>
      <c r="H87" t="s">
        <v>15636</v>
      </c>
      <c r="I87" t="s">
        <v>15701</v>
      </c>
      <c r="K87" s="47" t="s">
        <v>16206</v>
      </c>
      <c r="L87" t="s">
        <v>16203</v>
      </c>
      <c r="M87" t="s">
        <v>16223</v>
      </c>
    </row>
    <row r="88" spans="1:13">
      <c r="A88" t="s">
        <v>16165</v>
      </c>
      <c r="B88" t="s">
        <v>16165</v>
      </c>
      <c r="C88" t="s">
        <v>16166</v>
      </c>
      <c r="D88" t="s">
        <v>4310</v>
      </c>
      <c r="F88" t="str">
        <f>Config!$B$7</f>
        <v>SCH/Connector.SchLib</v>
      </c>
      <c r="G88" t="s">
        <v>14932</v>
      </c>
      <c r="H88" t="s">
        <v>15636</v>
      </c>
      <c r="I88" t="s">
        <v>15702</v>
      </c>
      <c r="J88" s="47"/>
      <c r="K88" s="47" t="s">
        <v>16206</v>
      </c>
      <c r="L88" t="s">
        <v>16206</v>
      </c>
      <c r="M88" t="s">
        <v>16223</v>
      </c>
    </row>
    <row r="89" spans="1:13">
      <c r="A89" t="s">
        <v>16167</v>
      </c>
      <c r="B89" t="s">
        <v>16167</v>
      </c>
      <c r="C89" t="s">
        <v>16168</v>
      </c>
      <c r="D89" t="s">
        <v>4310</v>
      </c>
      <c r="F89" t="str">
        <f>Config!$B$7</f>
        <v>SCH/Connector.SchLib</v>
      </c>
      <c r="G89" t="s">
        <v>14932</v>
      </c>
      <c r="H89" t="s">
        <v>15636</v>
      </c>
      <c r="I89" t="s">
        <v>15703</v>
      </c>
      <c r="J89" s="47"/>
      <c r="K89" s="47" t="s">
        <v>16206</v>
      </c>
      <c r="L89" t="s">
        <v>16215</v>
      </c>
      <c r="M89" t="s">
        <v>16223</v>
      </c>
    </row>
    <row r="90" spans="1:13">
      <c r="A90" t="s">
        <v>16169</v>
      </c>
      <c r="B90" t="s">
        <v>16169</v>
      </c>
      <c r="C90" t="s">
        <v>16170</v>
      </c>
      <c r="D90" t="s">
        <v>4310</v>
      </c>
      <c r="F90" t="str">
        <f>Config!$B$7</f>
        <v>SCH/Connector.SchLib</v>
      </c>
      <c r="G90" t="s">
        <v>14932</v>
      </c>
      <c r="H90" t="s">
        <v>15636</v>
      </c>
      <c r="I90" t="s">
        <v>15704</v>
      </c>
      <c r="J90" s="47"/>
      <c r="K90" s="47" t="s">
        <v>16207</v>
      </c>
      <c r="L90" t="s">
        <v>16199</v>
      </c>
      <c r="M90" t="s">
        <v>16223</v>
      </c>
    </row>
    <row r="91" spans="1:13">
      <c r="A91" t="s">
        <v>16171</v>
      </c>
      <c r="B91" t="s">
        <v>16171</v>
      </c>
      <c r="C91" t="s">
        <v>16172</v>
      </c>
      <c r="D91" t="s">
        <v>4310</v>
      </c>
      <c r="F91" t="str">
        <f>Config!$B$7</f>
        <v>SCH/Connector.SchLib</v>
      </c>
      <c r="G91" t="s">
        <v>14932</v>
      </c>
      <c r="H91" t="s">
        <v>15636</v>
      </c>
      <c r="I91" t="s">
        <v>15705</v>
      </c>
      <c r="J91" s="47"/>
      <c r="K91" s="47" t="s">
        <v>16207</v>
      </c>
      <c r="L91" t="s">
        <v>16216</v>
      </c>
      <c r="M91" t="s">
        <v>16223</v>
      </c>
    </row>
    <row r="92" spans="1:13">
      <c r="A92" t="s">
        <v>16173</v>
      </c>
      <c r="B92" t="s">
        <v>16173</v>
      </c>
      <c r="C92" t="s">
        <v>16174</v>
      </c>
      <c r="D92" t="s">
        <v>4310</v>
      </c>
      <c r="F92" t="str">
        <f>Config!$B$7</f>
        <v>SCH/Connector.SchLib</v>
      </c>
      <c r="G92" t="s">
        <v>14932</v>
      </c>
      <c r="H92" t="s">
        <v>15636</v>
      </c>
      <c r="I92" t="s">
        <v>15706</v>
      </c>
      <c r="J92" s="47"/>
      <c r="K92" s="47" t="s">
        <v>16207</v>
      </c>
      <c r="L92" t="s">
        <v>16200</v>
      </c>
      <c r="M92" t="s">
        <v>16223</v>
      </c>
    </row>
    <row r="93" spans="1:13">
      <c r="A93" t="s">
        <v>16175</v>
      </c>
      <c r="B93" t="s">
        <v>16175</v>
      </c>
      <c r="C93" t="s">
        <v>16176</v>
      </c>
      <c r="D93" t="s">
        <v>4310</v>
      </c>
      <c r="F93" t="str">
        <f>Config!$B$7</f>
        <v>SCH/Connector.SchLib</v>
      </c>
      <c r="G93" t="s">
        <v>14932</v>
      </c>
      <c r="H93" t="s">
        <v>15636</v>
      </c>
      <c r="I93" t="s">
        <v>15707</v>
      </c>
      <c r="J93" s="47"/>
      <c r="K93" s="47" t="s">
        <v>16207</v>
      </c>
      <c r="L93" t="s">
        <v>16202</v>
      </c>
      <c r="M93" t="s">
        <v>16223</v>
      </c>
    </row>
    <row r="94" spans="1:13">
      <c r="A94" t="s">
        <v>16177</v>
      </c>
      <c r="B94" t="s">
        <v>16177</v>
      </c>
      <c r="C94" t="s">
        <v>16178</v>
      </c>
      <c r="D94" t="s">
        <v>4310</v>
      </c>
      <c r="F94" t="str">
        <f>Config!$B$7</f>
        <v>SCH/Connector.SchLib</v>
      </c>
      <c r="G94" t="s">
        <v>14932</v>
      </c>
      <c r="H94" t="s">
        <v>15636</v>
      </c>
      <c r="I94" t="s">
        <v>15708</v>
      </c>
      <c r="J94" s="47"/>
      <c r="K94" s="47" t="s">
        <v>16207</v>
      </c>
      <c r="L94" t="s">
        <v>16204</v>
      </c>
      <c r="M94" t="s">
        <v>16223</v>
      </c>
    </row>
    <row r="95" spans="1:13">
      <c r="A95" t="s">
        <v>16179</v>
      </c>
      <c r="B95" t="s">
        <v>16179</v>
      </c>
      <c r="C95" t="s">
        <v>16180</v>
      </c>
      <c r="D95" t="s">
        <v>4310</v>
      </c>
      <c r="F95" t="str">
        <f>Config!$B$7</f>
        <v>SCH/Connector.SchLib</v>
      </c>
      <c r="G95" t="s">
        <v>14932</v>
      </c>
      <c r="H95" t="s">
        <v>15636</v>
      </c>
      <c r="I95" t="s">
        <v>15709</v>
      </c>
      <c r="J95" s="47"/>
      <c r="K95" s="47" t="s">
        <v>16207</v>
      </c>
      <c r="L95" t="s">
        <v>16207</v>
      </c>
      <c r="M95" t="s">
        <v>16223</v>
      </c>
    </row>
    <row r="96" spans="1:13">
      <c r="A96" t="s">
        <v>16181</v>
      </c>
      <c r="B96" t="s">
        <v>16181</v>
      </c>
      <c r="C96" t="s">
        <v>16182</v>
      </c>
      <c r="D96" t="s">
        <v>4310</v>
      </c>
      <c r="F96" t="str">
        <f>Config!$B$7</f>
        <v>SCH/Connector.SchLib</v>
      </c>
      <c r="G96" t="s">
        <v>14932</v>
      </c>
      <c r="H96" t="s">
        <v>15636</v>
      </c>
      <c r="I96" t="s">
        <v>15710</v>
      </c>
      <c r="J96" s="47"/>
      <c r="K96" s="47" t="s">
        <v>16207</v>
      </c>
      <c r="L96" t="s">
        <v>16217</v>
      </c>
      <c r="M96" t="s">
        <v>16223</v>
      </c>
    </row>
    <row r="97" spans="1:13">
      <c r="A97" t="s">
        <v>16183</v>
      </c>
      <c r="B97" t="s">
        <v>16183</v>
      </c>
      <c r="C97" t="s">
        <v>16184</v>
      </c>
      <c r="D97" t="s">
        <v>4310</v>
      </c>
      <c r="F97" t="str">
        <f>Config!$B$7</f>
        <v>SCH/Connector.SchLib</v>
      </c>
      <c r="G97" t="s">
        <v>14932</v>
      </c>
      <c r="H97" t="s">
        <v>15636</v>
      </c>
      <c r="I97" t="s">
        <v>15711</v>
      </c>
      <c r="J97" s="47"/>
      <c r="K97" s="47" t="s">
        <v>16208</v>
      </c>
      <c r="L97" t="s">
        <v>16199</v>
      </c>
      <c r="M97" t="s">
        <v>16223</v>
      </c>
    </row>
    <row r="98" spans="1:13">
      <c r="A98" t="s">
        <v>16185</v>
      </c>
      <c r="B98" t="s">
        <v>16185</v>
      </c>
      <c r="C98" t="s">
        <v>16186</v>
      </c>
      <c r="D98" t="s">
        <v>4310</v>
      </c>
      <c r="F98" t="str">
        <f>Config!$B$7</f>
        <v>SCH/Connector.SchLib</v>
      </c>
      <c r="G98" t="s">
        <v>14932</v>
      </c>
      <c r="H98" t="s">
        <v>15636</v>
      </c>
      <c r="I98" t="s">
        <v>15712</v>
      </c>
      <c r="J98" s="47"/>
      <c r="K98" s="47" t="s">
        <v>16208</v>
      </c>
      <c r="L98" t="s">
        <v>16200</v>
      </c>
      <c r="M98" t="s">
        <v>16223</v>
      </c>
    </row>
    <row r="99" spans="1:13">
      <c r="A99" t="s">
        <v>16187</v>
      </c>
      <c r="B99" t="s">
        <v>16187</v>
      </c>
      <c r="C99" t="s">
        <v>16188</v>
      </c>
      <c r="D99" t="s">
        <v>4310</v>
      </c>
      <c r="F99" t="str">
        <f>Config!$B$7</f>
        <v>SCH/Connector.SchLib</v>
      </c>
      <c r="G99" t="s">
        <v>14932</v>
      </c>
      <c r="H99" t="s">
        <v>15636</v>
      </c>
      <c r="I99" t="s">
        <v>15713</v>
      </c>
      <c r="J99" s="47"/>
      <c r="K99" s="47" t="s">
        <v>16208</v>
      </c>
      <c r="L99" t="s">
        <v>16212</v>
      </c>
      <c r="M99" t="s">
        <v>16223</v>
      </c>
    </row>
    <row r="100" spans="1:13">
      <c r="A100" t="s">
        <v>16189</v>
      </c>
      <c r="B100" t="s">
        <v>16189</v>
      </c>
      <c r="C100" t="s">
        <v>16190</v>
      </c>
      <c r="D100" t="s">
        <v>4310</v>
      </c>
      <c r="F100" t="str">
        <f>Config!$B$7</f>
        <v>SCH/Connector.SchLib</v>
      </c>
      <c r="G100" t="s">
        <v>14932</v>
      </c>
      <c r="H100" t="s">
        <v>15636</v>
      </c>
      <c r="I100" t="s">
        <v>15714</v>
      </c>
      <c r="J100" s="47"/>
      <c r="K100" s="47" t="s">
        <v>16208</v>
      </c>
      <c r="L100" t="s">
        <v>16205</v>
      </c>
      <c r="M100" t="s">
        <v>16223</v>
      </c>
    </row>
    <row r="101" spans="1:13">
      <c r="A101" t="s">
        <v>16191</v>
      </c>
      <c r="B101" t="s">
        <v>16191</v>
      </c>
      <c r="C101" t="s">
        <v>16192</v>
      </c>
      <c r="D101" t="s">
        <v>4310</v>
      </c>
      <c r="F101" t="str">
        <f>Config!$B$7</f>
        <v>SCH/Connector.SchLib</v>
      </c>
      <c r="G101" t="s">
        <v>14932</v>
      </c>
      <c r="H101" t="s">
        <v>15636</v>
      </c>
      <c r="I101" t="s">
        <v>15715</v>
      </c>
      <c r="J101" s="47"/>
      <c r="K101" s="47" t="s">
        <v>16208</v>
      </c>
      <c r="L101" t="s">
        <v>16213</v>
      </c>
      <c r="M101" t="s">
        <v>16223</v>
      </c>
    </row>
    <row r="102" spans="1:13">
      <c r="A102" t="s">
        <v>16193</v>
      </c>
      <c r="B102" t="s">
        <v>16193</v>
      </c>
      <c r="C102" t="s">
        <v>16194</v>
      </c>
      <c r="D102" t="s">
        <v>4310</v>
      </c>
      <c r="F102" t="str">
        <f>Config!$B$7</f>
        <v>SCH/Connector.SchLib</v>
      </c>
      <c r="G102" t="s">
        <v>14932</v>
      </c>
      <c r="H102" t="s">
        <v>15636</v>
      </c>
      <c r="I102" t="s">
        <v>15716</v>
      </c>
      <c r="J102" s="47"/>
      <c r="K102" s="47" t="s">
        <v>16208</v>
      </c>
      <c r="L102" t="s">
        <v>16218</v>
      </c>
      <c r="M102" t="s">
        <v>16223</v>
      </c>
    </row>
    <row r="103" spans="1:13">
      <c r="J103" s="47"/>
      <c r="K103" s="47"/>
    </row>
    <row r="104" spans="1:13">
      <c r="A104" t="s">
        <v>15573</v>
      </c>
      <c r="B104" t="s">
        <v>15573</v>
      </c>
      <c r="C104" t="s">
        <v>15574</v>
      </c>
      <c r="D104" t="s">
        <v>4310</v>
      </c>
      <c r="F104" t="str">
        <f>Config!$B$7</f>
        <v>SCH/Connector.SchLib</v>
      </c>
      <c r="G104" t="s">
        <v>14932</v>
      </c>
      <c r="H104" t="s">
        <v>15575</v>
      </c>
      <c r="I104" t="s">
        <v>14962</v>
      </c>
      <c r="J104" s="47"/>
      <c r="K104" s="47" t="s">
        <v>16198</v>
      </c>
      <c r="L104" t="s">
        <v>16198</v>
      </c>
      <c r="M104" t="s">
        <v>16224</v>
      </c>
    </row>
    <row r="105" spans="1:13">
      <c r="A105" t="s">
        <v>15576</v>
      </c>
      <c r="B105" t="s">
        <v>15576</v>
      </c>
      <c r="C105" t="s">
        <v>15577</v>
      </c>
      <c r="D105" t="s">
        <v>4310</v>
      </c>
      <c r="F105" t="str">
        <f>Config!$B$7</f>
        <v>SCH/Connector.SchLib</v>
      </c>
      <c r="G105" t="s">
        <v>14932</v>
      </c>
      <c r="H105" t="s">
        <v>15575</v>
      </c>
      <c r="I105" t="s">
        <v>14963</v>
      </c>
      <c r="J105" s="47"/>
      <c r="K105" s="47" t="s">
        <v>16198</v>
      </c>
      <c r="L105" t="s">
        <v>16199</v>
      </c>
      <c r="M105" t="s">
        <v>16224</v>
      </c>
    </row>
    <row r="106" spans="1:13">
      <c r="A106" t="s">
        <v>15578</v>
      </c>
      <c r="B106" t="s">
        <v>15578</v>
      </c>
      <c r="C106" t="s">
        <v>15579</v>
      </c>
      <c r="D106" t="s">
        <v>4310</v>
      </c>
      <c r="F106" t="str">
        <f>Config!$B$7</f>
        <v>SCH/Connector.SchLib</v>
      </c>
      <c r="G106" t="s">
        <v>14932</v>
      </c>
      <c r="H106" t="s">
        <v>15575</v>
      </c>
      <c r="I106" t="s">
        <v>14934</v>
      </c>
      <c r="J106" s="47"/>
      <c r="K106" s="47" t="s">
        <v>16199</v>
      </c>
      <c r="L106" t="s">
        <v>16198</v>
      </c>
      <c r="M106" t="s">
        <v>16224</v>
      </c>
    </row>
    <row r="107" spans="1:13">
      <c r="A107" t="s">
        <v>15580</v>
      </c>
      <c r="B107" t="s">
        <v>15580</v>
      </c>
      <c r="C107" t="s">
        <v>15581</v>
      </c>
      <c r="D107" t="s">
        <v>4310</v>
      </c>
      <c r="F107" t="str">
        <f>Config!$B$7</f>
        <v>SCH/Connector.SchLib</v>
      </c>
      <c r="G107" t="s">
        <v>14932</v>
      </c>
      <c r="H107" t="s">
        <v>15575</v>
      </c>
      <c r="I107" t="s">
        <v>14935</v>
      </c>
      <c r="J107" s="47"/>
      <c r="K107" s="47" t="s">
        <v>16199</v>
      </c>
      <c r="L107" t="s">
        <v>16199</v>
      </c>
      <c r="M107" t="s">
        <v>16224</v>
      </c>
    </row>
    <row r="108" spans="1:13">
      <c r="A108" t="s">
        <v>15582</v>
      </c>
      <c r="B108" t="s">
        <v>15582</v>
      </c>
      <c r="C108" t="s">
        <v>15583</v>
      </c>
      <c r="D108" t="s">
        <v>4310</v>
      </c>
      <c r="F108" t="str">
        <f>Config!$B$7</f>
        <v>SCH/Connector.SchLib</v>
      </c>
      <c r="G108" t="s">
        <v>14932</v>
      </c>
      <c r="H108" t="s">
        <v>15575</v>
      </c>
      <c r="I108" t="s">
        <v>14936</v>
      </c>
      <c r="J108" s="47"/>
      <c r="K108" s="47" t="s">
        <v>16199</v>
      </c>
      <c r="L108" t="s">
        <v>16200</v>
      </c>
      <c r="M108" t="s">
        <v>16224</v>
      </c>
    </row>
    <row r="109" spans="1:13">
      <c r="A109" t="s">
        <v>15584</v>
      </c>
      <c r="B109" t="s">
        <v>15584</v>
      </c>
      <c r="C109" t="s">
        <v>15585</v>
      </c>
      <c r="D109" t="s">
        <v>4310</v>
      </c>
      <c r="F109" t="str">
        <f>Config!$B$7</f>
        <v>SCH/Connector.SchLib</v>
      </c>
      <c r="G109" t="s">
        <v>14932</v>
      </c>
      <c r="H109" t="s">
        <v>15575</v>
      </c>
      <c r="I109" t="s">
        <v>14937</v>
      </c>
      <c r="J109" s="47"/>
      <c r="K109" s="47" t="s">
        <v>16200</v>
      </c>
      <c r="L109" t="s">
        <v>16198</v>
      </c>
      <c r="M109" t="s">
        <v>16224</v>
      </c>
    </row>
    <row r="110" spans="1:13">
      <c r="A110" t="s">
        <v>15586</v>
      </c>
      <c r="B110" t="s">
        <v>15586</v>
      </c>
      <c r="C110" t="s">
        <v>15587</v>
      </c>
      <c r="D110" t="s">
        <v>4310</v>
      </c>
      <c r="F110" t="str">
        <f>Config!$B$7</f>
        <v>SCH/Connector.SchLib</v>
      </c>
      <c r="G110" t="s">
        <v>14932</v>
      </c>
      <c r="H110" t="s">
        <v>15575</v>
      </c>
      <c r="I110" t="s">
        <v>14938</v>
      </c>
      <c r="J110" s="47"/>
      <c r="K110" s="47" t="s">
        <v>16200</v>
      </c>
      <c r="L110" t="s">
        <v>16199</v>
      </c>
      <c r="M110" t="s">
        <v>16224</v>
      </c>
    </row>
    <row r="111" spans="1:13">
      <c r="A111" t="s">
        <v>15588</v>
      </c>
      <c r="B111" t="s">
        <v>15588</v>
      </c>
      <c r="C111" t="s">
        <v>15589</v>
      </c>
      <c r="D111" t="s">
        <v>4310</v>
      </c>
      <c r="F111" t="str">
        <f>Config!$B$7</f>
        <v>SCH/Connector.SchLib</v>
      </c>
      <c r="G111" t="s">
        <v>14932</v>
      </c>
      <c r="H111" t="s">
        <v>15575</v>
      </c>
      <c r="I111" t="s">
        <v>14939</v>
      </c>
      <c r="J111" s="47"/>
      <c r="K111" s="47" t="s">
        <v>16200</v>
      </c>
      <c r="L111" t="s">
        <v>16200</v>
      </c>
      <c r="M111" t="s">
        <v>16224</v>
      </c>
    </row>
    <row r="112" spans="1:13">
      <c r="A112" t="s">
        <v>15590</v>
      </c>
      <c r="B112" t="s">
        <v>15590</v>
      </c>
      <c r="C112" t="s">
        <v>15591</v>
      </c>
      <c r="D112" t="s">
        <v>4310</v>
      </c>
      <c r="F112" t="str">
        <f>Config!$B$7</f>
        <v>SCH/Connector.SchLib</v>
      </c>
      <c r="G112" t="s">
        <v>14932</v>
      </c>
      <c r="H112" t="s">
        <v>15575</v>
      </c>
      <c r="I112" t="s">
        <v>14940</v>
      </c>
      <c r="J112" s="47"/>
      <c r="K112" s="47" t="s">
        <v>16200</v>
      </c>
      <c r="L112" t="s">
        <v>16202</v>
      </c>
      <c r="M112" t="s">
        <v>16224</v>
      </c>
    </row>
    <row r="113" spans="1:13">
      <c r="A113" t="s">
        <v>15592</v>
      </c>
      <c r="B113" t="s">
        <v>15592</v>
      </c>
      <c r="C113" t="s">
        <v>15593</v>
      </c>
      <c r="D113" t="s">
        <v>4310</v>
      </c>
      <c r="F113" t="str">
        <f>Config!$B$7</f>
        <v>SCH/Connector.SchLib</v>
      </c>
      <c r="G113" t="s">
        <v>14932</v>
      </c>
      <c r="H113" t="s">
        <v>15575</v>
      </c>
      <c r="I113" t="s">
        <v>14941</v>
      </c>
      <c r="J113" s="47"/>
      <c r="K113" s="47" t="s">
        <v>16201</v>
      </c>
      <c r="L113" t="s">
        <v>16209</v>
      </c>
      <c r="M113" t="s">
        <v>16224</v>
      </c>
    </row>
    <row r="114" spans="1:13">
      <c r="A114" t="s">
        <v>15594</v>
      </c>
      <c r="B114" t="s">
        <v>15594</v>
      </c>
      <c r="C114" t="s">
        <v>15595</v>
      </c>
      <c r="D114" t="s">
        <v>4310</v>
      </c>
      <c r="F114" t="str">
        <f>Config!$B$7</f>
        <v>SCH/Connector.SchLib</v>
      </c>
      <c r="G114" t="s">
        <v>14932</v>
      </c>
      <c r="H114" t="s">
        <v>15575</v>
      </c>
      <c r="I114" t="s">
        <v>14942</v>
      </c>
      <c r="J114" s="47"/>
      <c r="K114" s="47" t="s">
        <v>16201</v>
      </c>
      <c r="L114" t="s">
        <v>16201</v>
      </c>
      <c r="M114" t="s">
        <v>16224</v>
      </c>
    </row>
    <row r="115" spans="1:13">
      <c r="A115" t="s">
        <v>15596</v>
      </c>
      <c r="B115" t="s">
        <v>15596</v>
      </c>
      <c r="C115" t="s">
        <v>15597</v>
      </c>
      <c r="D115" t="s">
        <v>4310</v>
      </c>
      <c r="F115" t="str">
        <f>Config!$B$7</f>
        <v>SCH/Connector.SchLib</v>
      </c>
      <c r="G115" t="s">
        <v>14932</v>
      </c>
      <c r="H115" t="s">
        <v>15575</v>
      </c>
      <c r="I115" t="s">
        <v>14943</v>
      </c>
      <c r="J115" s="47"/>
      <c r="K115" s="47" t="s">
        <v>16201</v>
      </c>
      <c r="L115" t="s">
        <v>16203</v>
      </c>
      <c r="M115" t="s">
        <v>16224</v>
      </c>
    </row>
    <row r="116" spans="1:13">
      <c r="A116" t="s">
        <v>15598</v>
      </c>
      <c r="B116" t="s">
        <v>15598</v>
      </c>
      <c r="C116" t="s">
        <v>15599</v>
      </c>
      <c r="D116" t="s">
        <v>4310</v>
      </c>
      <c r="F116" t="str">
        <f>Config!$B$7</f>
        <v>SCH/Connector.SchLib</v>
      </c>
      <c r="G116" t="s">
        <v>14932</v>
      </c>
      <c r="H116" t="s">
        <v>15575</v>
      </c>
      <c r="I116" t="s">
        <v>14944</v>
      </c>
      <c r="J116" s="47"/>
      <c r="K116" s="47" t="s">
        <v>16202</v>
      </c>
      <c r="L116" t="s">
        <v>16199</v>
      </c>
      <c r="M116" t="s">
        <v>16224</v>
      </c>
    </row>
    <row r="117" spans="1:13">
      <c r="A117" t="s">
        <v>15600</v>
      </c>
      <c r="B117" t="s">
        <v>15600</v>
      </c>
      <c r="C117" t="s">
        <v>15601</v>
      </c>
      <c r="D117" t="s">
        <v>4310</v>
      </c>
      <c r="F117" t="str">
        <f>Config!$B$7</f>
        <v>SCH/Connector.SchLib</v>
      </c>
      <c r="G117" t="s">
        <v>14932</v>
      </c>
      <c r="H117" t="s">
        <v>15575</v>
      </c>
      <c r="I117" t="s">
        <v>14945</v>
      </c>
      <c r="J117" s="47"/>
      <c r="K117" s="47" t="s">
        <v>16202</v>
      </c>
      <c r="L117" t="s">
        <v>16200</v>
      </c>
      <c r="M117" t="s">
        <v>16224</v>
      </c>
    </row>
    <row r="118" spans="1:13">
      <c r="A118" t="s">
        <v>15602</v>
      </c>
      <c r="B118" t="s">
        <v>15602</v>
      </c>
      <c r="C118" t="s">
        <v>15603</v>
      </c>
      <c r="D118" t="s">
        <v>4310</v>
      </c>
      <c r="F118" t="str">
        <f>Config!$B$7</f>
        <v>SCH/Connector.SchLib</v>
      </c>
      <c r="G118" t="s">
        <v>14932</v>
      </c>
      <c r="H118" t="s">
        <v>15575</v>
      </c>
      <c r="I118" t="s">
        <v>14946</v>
      </c>
      <c r="K118" s="47" t="s">
        <v>16202</v>
      </c>
      <c r="L118" t="s">
        <v>16202</v>
      </c>
      <c r="M118" t="s">
        <v>16224</v>
      </c>
    </row>
    <row r="119" spans="1:13">
      <c r="A119" t="s">
        <v>15604</v>
      </c>
      <c r="B119" t="s">
        <v>15604</v>
      </c>
      <c r="C119" t="s">
        <v>15605</v>
      </c>
      <c r="D119" t="s">
        <v>4310</v>
      </c>
      <c r="F119" t="str">
        <f>Config!$B$7</f>
        <v>SCH/Connector.SchLib</v>
      </c>
      <c r="G119" t="s">
        <v>14932</v>
      </c>
      <c r="H119" t="s">
        <v>15575</v>
      </c>
      <c r="I119" t="s">
        <v>14947</v>
      </c>
      <c r="K119" s="47" t="s">
        <v>16202</v>
      </c>
      <c r="L119" t="s">
        <v>16204</v>
      </c>
      <c r="M119" t="s">
        <v>16224</v>
      </c>
    </row>
    <row r="120" spans="1:13">
      <c r="A120" t="s">
        <v>15606</v>
      </c>
      <c r="B120" t="s">
        <v>15606</v>
      </c>
      <c r="C120" t="s">
        <v>15607</v>
      </c>
      <c r="D120" t="s">
        <v>4310</v>
      </c>
      <c r="F120" t="str">
        <f>Config!$B$7</f>
        <v>SCH/Connector.SchLib</v>
      </c>
      <c r="G120" t="s">
        <v>14932</v>
      </c>
      <c r="H120" t="s">
        <v>15575</v>
      </c>
      <c r="I120" t="s">
        <v>14948</v>
      </c>
      <c r="K120" s="47" t="s">
        <v>16203</v>
      </c>
      <c r="L120" t="s">
        <v>16209</v>
      </c>
      <c r="M120" t="s">
        <v>16224</v>
      </c>
    </row>
    <row r="121" spans="1:13">
      <c r="A121" t="s">
        <v>15608</v>
      </c>
      <c r="B121" t="s">
        <v>15608</v>
      </c>
      <c r="C121" t="s">
        <v>15609</v>
      </c>
      <c r="D121" t="s">
        <v>4310</v>
      </c>
      <c r="F121" t="str">
        <f>Config!$B$7</f>
        <v>SCH/Connector.SchLib</v>
      </c>
      <c r="G121" t="s">
        <v>14932</v>
      </c>
      <c r="H121" t="s">
        <v>15575</v>
      </c>
      <c r="I121" t="s">
        <v>14949</v>
      </c>
      <c r="K121" s="47" t="s">
        <v>16203</v>
      </c>
      <c r="L121" t="s">
        <v>16201</v>
      </c>
      <c r="M121" t="s">
        <v>16224</v>
      </c>
    </row>
    <row r="122" spans="1:13">
      <c r="A122" t="s">
        <v>15610</v>
      </c>
      <c r="B122" t="s">
        <v>15610</v>
      </c>
      <c r="C122" t="s">
        <v>15611</v>
      </c>
      <c r="D122" t="s">
        <v>4310</v>
      </c>
      <c r="F122" t="str">
        <f>Config!$B$7</f>
        <v>SCH/Connector.SchLib</v>
      </c>
      <c r="G122" t="s">
        <v>14932</v>
      </c>
      <c r="H122" t="s">
        <v>15575</v>
      </c>
      <c r="I122" t="s">
        <v>14950</v>
      </c>
      <c r="K122" s="47" t="s">
        <v>16203</v>
      </c>
      <c r="L122" t="s">
        <v>16203</v>
      </c>
      <c r="M122" t="s">
        <v>16224</v>
      </c>
    </row>
    <row r="123" spans="1:13">
      <c r="A123" t="s">
        <v>15612</v>
      </c>
      <c r="B123" t="s">
        <v>15612</v>
      </c>
      <c r="C123" t="s">
        <v>15613</v>
      </c>
      <c r="D123" t="s">
        <v>4310</v>
      </c>
      <c r="F123" t="str">
        <f>Config!$B$7</f>
        <v>SCH/Connector.SchLib</v>
      </c>
      <c r="G123" t="s">
        <v>14932</v>
      </c>
      <c r="H123" t="s">
        <v>15575</v>
      </c>
      <c r="I123" t="s">
        <v>14951</v>
      </c>
      <c r="K123" s="47" t="s">
        <v>16203</v>
      </c>
      <c r="L123" t="s">
        <v>16206</v>
      </c>
      <c r="M123" t="s">
        <v>16224</v>
      </c>
    </row>
    <row r="124" spans="1:13">
      <c r="A124" t="s">
        <v>15614</v>
      </c>
      <c r="B124" t="s">
        <v>15614</v>
      </c>
      <c r="C124" t="s">
        <v>15615</v>
      </c>
      <c r="D124" t="s">
        <v>4310</v>
      </c>
      <c r="F124" t="str">
        <f>Config!$B$7</f>
        <v>SCH/Connector.SchLib</v>
      </c>
      <c r="G124" t="s">
        <v>14932</v>
      </c>
      <c r="H124" t="s">
        <v>15575</v>
      </c>
      <c r="I124" t="s">
        <v>14952</v>
      </c>
      <c r="K124" s="47" t="s">
        <v>16204</v>
      </c>
      <c r="L124" t="s">
        <v>16210</v>
      </c>
      <c r="M124" t="s">
        <v>16224</v>
      </c>
    </row>
    <row r="125" spans="1:13">
      <c r="A125" t="s">
        <v>15616</v>
      </c>
      <c r="B125" t="s">
        <v>15616</v>
      </c>
      <c r="C125" t="s">
        <v>15617</v>
      </c>
      <c r="D125" t="s">
        <v>4310</v>
      </c>
      <c r="F125" t="str">
        <f>Config!$B$7</f>
        <v>SCH/Connector.SchLib</v>
      </c>
      <c r="G125" t="s">
        <v>14932</v>
      </c>
      <c r="H125" t="s">
        <v>15575</v>
      </c>
      <c r="I125" t="s">
        <v>14953</v>
      </c>
      <c r="K125" s="47" t="s">
        <v>16204</v>
      </c>
      <c r="L125" t="s">
        <v>16200</v>
      </c>
      <c r="M125" t="s">
        <v>16224</v>
      </c>
    </row>
    <row r="126" spans="1:13">
      <c r="A126" t="s">
        <v>15618</v>
      </c>
      <c r="B126" t="s">
        <v>15618</v>
      </c>
      <c r="C126" t="s">
        <v>15619</v>
      </c>
      <c r="D126" t="s">
        <v>4310</v>
      </c>
      <c r="F126" t="str">
        <f>Config!$B$7</f>
        <v>SCH/Connector.SchLib</v>
      </c>
      <c r="G126" t="s">
        <v>14932</v>
      </c>
      <c r="H126" t="s">
        <v>15575</v>
      </c>
      <c r="I126" t="s">
        <v>14954</v>
      </c>
      <c r="K126" s="47" t="s">
        <v>16204</v>
      </c>
      <c r="L126" t="s">
        <v>16202</v>
      </c>
      <c r="M126" t="s">
        <v>16224</v>
      </c>
    </row>
    <row r="127" spans="1:13">
      <c r="A127" t="s">
        <v>15620</v>
      </c>
      <c r="B127" t="s">
        <v>15620</v>
      </c>
      <c r="C127" t="s">
        <v>15621</v>
      </c>
      <c r="D127" t="s">
        <v>4310</v>
      </c>
      <c r="F127" t="str">
        <f>Config!$B$7</f>
        <v>SCH/Connector.SchLib</v>
      </c>
      <c r="G127" t="s">
        <v>14932</v>
      </c>
      <c r="H127" t="s">
        <v>15575</v>
      </c>
      <c r="I127" t="s">
        <v>14955</v>
      </c>
      <c r="K127" s="47" t="s">
        <v>16204</v>
      </c>
      <c r="L127" t="s">
        <v>16204</v>
      </c>
      <c r="M127" t="s">
        <v>16224</v>
      </c>
    </row>
    <row r="128" spans="1:13">
      <c r="A128" t="s">
        <v>15622</v>
      </c>
      <c r="B128" t="s">
        <v>15622</v>
      </c>
      <c r="C128" t="s">
        <v>15623</v>
      </c>
      <c r="D128" t="s">
        <v>4310</v>
      </c>
      <c r="F128" t="str">
        <f>Config!$B$7</f>
        <v>SCH/Connector.SchLib</v>
      </c>
      <c r="G128" t="s">
        <v>14932</v>
      </c>
      <c r="H128" t="s">
        <v>15575</v>
      </c>
      <c r="I128" t="s">
        <v>14956</v>
      </c>
      <c r="K128" s="47" t="s">
        <v>16204</v>
      </c>
      <c r="L128" t="s">
        <v>16207</v>
      </c>
      <c r="M128" t="s">
        <v>16224</v>
      </c>
    </row>
    <row r="129" spans="1:13">
      <c r="A129" t="s">
        <v>15624</v>
      </c>
      <c r="B129" t="s">
        <v>15624</v>
      </c>
      <c r="C129" t="s">
        <v>15625</v>
      </c>
      <c r="D129" t="s">
        <v>4310</v>
      </c>
      <c r="F129" t="str">
        <f>Config!$B$7</f>
        <v>SCH/Connector.SchLib</v>
      </c>
      <c r="G129" t="s">
        <v>14932</v>
      </c>
      <c r="H129" t="s">
        <v>15575</v>
      </c>
      <c r="I129" t="s">
        <v>14957</v>
      </c>
      <c r="K129" s="47" t="s">
        <v>16205</v>
      </c>
      <c r="L129" t="s">
        <v>16199</v>
      </c>
      <c r="M129" t="s">
        <v>16224</v>
      </c>
    </row>
    <row r="130" spans="1:13">
      <c r="A130" t="s">
        <v>16115</v>
      </c>
      <c r="B130" t="s">
        <v>16115</v>
      </c>
      <c r="C130" t="s">
        <v>16116</v>
      </c>
      <c r="D130" t="s">
        <v>4310</v>
      </c>
      <c r="F130" t="str">
        <f>Config!$B$7</f>
        <v>SCH/Connector.SchLib</v>
      </c>
      <c r="G130" t="s">
        <v>14932</v>
      </c>
      <c r="H130" t="s">
        <v>15575</v>
      </c>
      <c r="I130" t="s">
        <v>15695</v>
      </c>
      <c r="K130" s="47" t="s">
        <v>16205</v>
      </c>
      <c r="L130" t="s">
        <v>16200</v>
      </c>
      <c r="M130" t="s">
        <v>16224</v>
      </c>
    </row>
    <row r="131" spans="1:13">
      <c r="A131" t="s">
        <v>15626</v>
      </c>
      <c r="B131" t="s">
        <v>15626</v>
      </c>
      <c r="C131" t="s">
        <v>15627</v>
      </c>
      <c r="D131" t="s">
        <v>4310</v>
      </c>
      <c r="F131" t="str">
        <f>Config!$B$7</f>
        <v>SCH/Connector.SchLib</v>
      </c>
      <c r="G131" t="s">
        <v>14932</v>
      </c>
      <c r="H131" t="s">
        <v>15575</v>
      </c>
      <c r="I131" t="s">
        <v>14958</v>
      </c>
      <c r="K131" s="47" t="s">
        <v>16205</v>
      </c>
      <c r="L131" t="s">
        <v>16211</v>
      </c>
      <c r="M131" t="s">
        <v>16224</v>
      </c>
    </row>
    <row r="132" spans="1:13">
      <c r="A132" t="s">
        <v>15628</v>
      </c>
      <c r="B132" t="s">
        <v>15628</v>
      </c>
      <c r="C132" t="s">
        <v>15629</v>
      </c>
      <c r="D132" t="s">
        <v>4310</v>
      </c>
      <c r="F132" t="str">
        <f>Config!$B$7</f>
        <v>SCH/Connector.SchLib</v>
      </c>
      <c r="G132" t="s">
        <v>14932</v>
      </c>
      <c r="H132" t="s">
        <v>15575</v>
      </c>
      <c r="I132" t="s">
        <v>14959</v>
      </c>
      <c r="K132" s="47" t="s">
        <v>16205</v>
      </c>
      <c r="L132" t="s">
        <v>16212</v>
      </c>
      <c r="M132" t="s">
        <v>16224</v>
      </c>
    </row>
    <row r="133" spans="1:13">
      <c r="A133" t="s">
        <v>15630</v>
      </c>
      <c r="B133" t="s">
        <v>15630</v>
      </c>
      <c r="C133" t="s">
        <v>15631</v>
      </c>
      <c r="D133" t="s">
        <v>4310</v>
      </c>
      <c r="F133" t="str">
        <f>Config!$B$7</f>
        <v>SCH/Connector.SchLib</v>
      </c>
      <c r="G133" t="s">
        <v>14932</v>
      </c>
      <c r="H133" t="s">
        <v>15575</v>
      </c>
      <c r="I133" t="s">
        <v>14960</v>
      </c>
      <c r="K133" s="47" t="s">
        <v>16205</v>
      </c>
      <c r="L133" t="s">
        <v>16205</v>
      </c>
      <c r="M133" t="s">
        <v>16224</v>
      </c>
    </row>
    <row r="134" spans="1:13">
      <c r="A134" t="s">
        <v>15632</v>
      </c>
      <c r="B134" t="s">
        <v>15632</v>
      </c>
      <c r="C134" t="s">
        <v>15633</v>
      </c>
      <c r="D134" t="s">
        <v>4310</v>
      </c>
      <c r="F134" t="str">
        <f>Config!$B$7</f>
        <v>SCH/Connector.SchLib</v>
      </c>
      <c r="G134" t="s">
        <v>14932</v>
      </c>
      <c r="H134" t="s">
        <v>15575</v>
      </c>
      <c r="I134" t="s">
        <v>14961</v>
      </c>
      <c r="K134" s="47" t="s">
        <v>16205</v>
      </c>
      <c r="L134" t="s">
        <v>16213</v>
      </c>
      <c r="M134" t="s">
        <v>16224</v>
      </c>
    </row>
    <row r="135" spans="1:13">
      <c r="A135" t="s">
        <v>16117</v>
      </c>
      <c r="B135" t="s">
        <v>16117</v>
      </c>
      <c r="C135" t="s">
        <v>16118</v>
      </c>
      <c r="D135" t="s">
        <v>4310</v>
      </c>
      <c r="F135" t="str">
        <f>Config!$B$7</f>
        <v>SCH/Connector.SchLib</v>
      </c>
      <c r="G135" t="s">
        <v>14932</v>
      </c>
      <c r="H135" t="s">
        <v>15575</v>
      </c>
      <c r="I135" t="s">
        <v>15698</v>
      </c>
      <c r="K135" s="47" t="s">
        <v>16206</v>
      </c>
      <c r="L135" t="s">
        <v>16214</v>
      </c>
      <c r="M135" t="s">
        <v>16224</v>
      </c>
    </row>
    <row r="136" spans="1:13">
      <c r="A136" t="s">
        <v>16119</v>
      </c>
      <c r="B136" t="s">
        <v>16119</v>
      </c>
      <c r="C136" t="s">
        <v>16120</v>
      </c>
      <c r="D136" t="s">
        <v>4310</v>
      </c>
      <c r="F136" t="str">
        <f>Config!$B$7</f>
        <v>SCH/Connector.SchLib</v>
      </c>
      <c r="G136" t="s">
        <v>14932</v>
      </c>
      <c r="H136" t="s">
        <v>15575</v>
      </c>
      <c r="I136" t="s">
        <v>15699</v>
      </c>
      <c r="K136" s="47" t="s">
        <v>16206</v>
      </c>
      <c r="L136" t="s">
        <v>16200</v>
      </c>
      <c r="M136" t="s">
        <v>16224</v>
      </c>
    </row>
    <row r="137" spans="1:13">
      <c r="A137" t="s">
        <v>16121</v>
      </c>
      <c r="B137" t="s">
        <v>16121</v>
      </c>
      <c r="C137" t="s">
        <v>16122</v>
      </c>
      <c r="D137" t="s">
        <v>4310</v>
      </c>
      <c r="F137" t="str">
        <f>Config!$B$7</f>
        <v>SCH/Connector.SchLib</v>
      </c>
      <c r="G137" t="s">
        <v>14932</v>
      </c>
      <c r="H137" t="s">
        <v>15575</v>
      </c>
      <c r="I137" t="s">
        <v>15700</v>
      </c>
      <c r="K137" s="47" t="s">
        <v>16206</v>
      </c>
      <c r="L137" t="s">
        <v>16201</v>
      </c>
      <c r="M137" t="s">
        <v>16224</v>
      </c>
    </row>
    <row r="138" spans="1:13">
      <c r="A138" t="s">
        <v>16123</v>
      </c>
      <c r="B138" t="s">
        <v>16123</v>
      </c>
      <c r="C138" t="s">
        <v>16124</v>
      </c>
      <c r="D138" t="s">
        <v>4310</v>
      </c>
      <c r="F138" t="str">
        <f>Config!$B$7</f>
        <v>SCH/Connector.SchLib</v>
      </c>
      <c r="G138" t="s">
        <v>14932</v>
      </c>
      <c r="H138" t="s">
        <v>15575</v>
      </c>
      <c r="I138" t="s">
        <v>15701</v>
      </c>
      <c r="K138" s="47" t="s">
        <v>16206</v>
      </c>
      <c r="L138" t="s">
        <v>16203</v>
      </c>
      <c r="M138" t="s">
        <v>16224</v>
      </c>
    </row>
    <row r="139" spans="1:13">
      <c r="A139" t="s">
        <v>16125</v>
      </c>
      <c r="B139" t="s">
        <v>16125</v>
      </c>
      <c r="C139" t="s">
        <v>16126</v>
      </c>
      <c r="D139" t="s">
        <v>4310</v>
      </c>
      <c r="F139" t="str">
        <f>Config!$B$7</f>
        <v>SCH/Connector.SchLib</v>
      </c>
      <c r="G139" t="s">
        <v>14932</v>
      </c>
      <c r="H139" t="s">
        <v>15575</v>
      </c>
      <c r="I139" t="s">
        <v>15702</v>
      </c>
      <c r="K139" s="47" t="s">
        <v>16206</v>
      </c>
      <c r="L139" t="s">
        <v>16206</v>
      </c>
      <c r="M139" t="s">
        <v>16224</v>
      </c>
    </row>
    <row r="140" spans="1:13">
      <c r="A140" t="s">
        <v>16127</v>
      </c>
      <c r="B140" t="s">
        <v>16127</v>
      </c>
      <c r="C140" t="s">
        <v>16128</v>
      </c>
      <c r="D140" t="s">
        <v>4310</v>
      </c>
      <c r="F140" t="str">
        <f>Config!$B$7</f>
        <v>SCH/Connector.SchLib</v>
      </c>
      <c r="G140" t="s">
        <v>14932</v>
      </c>
      <c r="H140" t="s">
        <v>15575</v>
      </c>
      <c r="I140" t="s">
        <v>15703</v>
      </c>
      <c r="K140" s="47" t="s">
        <v>16206</v>
      </c>
      <c r="L140" t="s">
        <v>16215</v>
      </c>
      <c r="M140" t="s">
        <v>16224</v>
      </c>
    </row>
    <row r="141" spans="1:13">
      <c r="A141" t="s">
        <v>16129</v>
      </c>
      <c r="B141" t="s">
        <v>16129</v>
      </c>
      <c r="C141" t="s">
        <v>16130</v>
      </c>
      <c r="D141" t="s">
        <v>4310</v>
      </c>
      <c r="F141" t="str">
        <f>Config!$B$7</f>
        <v>SCH/Connector.SchLib</v>
      </c>
      <c r="G141" t="s">
        <v>14932</v>
      </c>
      <c r="H141" t="s">
        <v>15575</v>
      </c>
      <c r="I141" t="s">
        <v>15704</v>
      </c>
      <c r="K141" s="47" t="s">
        <v>16207</v>
      </c>
      <c r="L141" t="s">
        <v>16199</v>
      </c>
      <c r="M141" t="s">
        <v>16224</v>
      </c>
    </row>
    <row r="142" spans="1:13">
      <c r="A142" t="s">
        <v>16131</v>
      </c>
      <c r="B142" t="s">
        <v>16131</v>
      </c>
      <c r="C142" t="s">
        <v>16132</v>
      </c>
      <c r="D142" t="s">
        <v>4310</v>
      </c>
      <c r="F142" t="str">
        <f>Config!$B$7</f>
        <v>SCH/Connector.SchLib</v>
      </c>
      <c r="G142" t="s">
        <v>14932</v>
      </c>
      <c r="H142" t="s">
        <v>15575</v>
      </c>
      <c r="I142" t="s">
        <v>15705</v>
      </c>
      <c r="K142" s="47" t="s">
        <v>16207</v>
      </c>
      <c r="L142" t="s">
        <v>16216</v>
      </c>
      <c r="M142" t="s">
        <v>16224</v>
      </c>
    </row>
    <row r="143" spans="1:13">
      <c r="A143" t="s">
        <v>16133</v>
      </c>
      <c r="B143" t="s">
        <v>16133</v>
      </c>
      <c r="C143" t="s">
        <v>16134</v>
      </c>
      <c r="D143" t="s">
        <v>4310</v>
      </c>
      <c r="F143" t="str">
        <f>Config!$B$7</f>
        <v>SCH/Connector.SchLib</v>
      </c>
      <c r="G143" t="s">
        <v>14932</v>
      </c>
      <c r="H143" t="s">
        <v>15575</v>
      </c>
      <c r="I143" t="s">
        <v>15706</v>
      </c>
      <c r="K143" s="47" t="s">
        <v>16207</v>
      </c>
      <c r="L143" t="s">
        <v>16200</v>
      </c>
      <c r="M143" t="s">
        <v>16224</v>
      </c>
    </row>
    <row r="144" spans="1:13">
      <c r="A144" t="s">
        <v>16135</v>
      </c>
      <c r="B144" t="s">
        <v>16135</v>
      </c>
      <c r="C144" t="s">
        <v>16136</v>
      </c>
      <c r="D144" t="s">
        <v>4310</v>
      </c>
      <c r="F144" t="str">
        <f>Config!$B$7</f>
        <v>SCH/Connector.SchLib</v>
      </c>
      <c r="G144" t="s">
        <v>14932</v>
      </c>
      <c r="H144" t="s">
        <v>15575</v>
      </c>
      <c r="I144" t="s">
        <v>15707</v>
      </c>
      <c r="K144" s="47" t="s">
        <v>16207</v>
      </c>
      <c r="L144" t="s">
        <v>16202</v>
      </c>
      <c r="M144" t="s">
        <v>16224</v>
      </c>
    </row>
    <row r="145" spans="1:13">
      <c r="A145" t="s">
        <v>16137</v>
      </c>
      <c r="B145" t="s">
        <v>16137</v>
      </c>
      <c r="C145" t="s">
        <v>16138</v>
      </c>
      <c r="D145" t="s">
        <v>4310</v>
      </c>
      <c r="F145" t="str">
        <f>Config!$B$7</f>
        <v>SCH/Connector.SchLib</v>
      </c>
      <c r="G145" t="s">
        <v>14932</v>
      </c>
      <c r="H145" t="s">
        <v>15575</v>
      </c>
      <c r="I145" t="s">
        <v>15708</v>
      </c>
      <c r="K145" s="47" t="s">
        <v>16207</v>
      </c>
      <c r="L145" t="s">
        <v>16204</v>
      </c>
      <c r="M145" t="s">
        <v>16224</v>
      </c>
    </row>
    <row r="146" spans="1:13">
      <c r="A146" t="s">
        <v>16139</v>
      </c>
      <c r="B146" t="s">
        <v>16139</v>
      </c>
      <c r="C146" t="s">
        <v>16140</v>
      </c>
      <c r="D146" t="s">
        <v>4310</v>
      </c>
      <c r="F146" t="str">
        <f>Config!$B$7</f>
        <v>SCH/Connector.SchLib</v>
      </c>
      <c r="G146" t="s">
        <v>14932</v>
      </c>
      <c r="H146" t="s">
        <v>15575</v>
      </c>
      <c r="I146" t="s">
        <v>15709</v>
      </c>
      <c r="K146" s="47" t="s">
        <v>16207</v>
      </c>
      <c r="L146" t="s">
        <v>16207</v>
      </c>
      <c r="M146" t="s">
        <v>16224</v>
      </c>
    </row>
    <row r="147" spans="1:13">
      <c r="A147" t="s">
        <v>16141</v>
      </c>
      <c r="B147" t="s">
        <v>16141</v>
      </c>
      <c r="C147" t="s">
        <v>16142</v>
      </c>
      <c r="D147" t="s">
        <v>4310</v>
      </c>
      <c r="F147" t="str">
        <f>Config!$B$7</f>
        <v>SCH/Connector.SchLib</v>
      </c>
      <c r="G147" t="s">
        <v>14932</v>
      </c>
      <c r="H147" t="s">
        <v>15575</v>
      </c>
      <c r="I147" t="s">
        <v>15710</v>
      </c>
      <c r="K147" s="47" t="s">
        <v>16207</v>
      </c>
      <c r="L147" t="s">
        <v>16217</v>
      </c>
      <c r="M147" t="s">
        <v>16224</v>
      </c>
    </row>
    <row r="148" spans="1:13">
      <c r="A148" t="s">
        <v>16143</v>
      </c>
      <c r="B148" t="s">
        <v>16143</v>
      </c>
      <c r="C148" t="s">
        <v>16144</v>
      </c>
      <c r="D148" t="s">
        <v>4310</v>
      </c>
      <c r="F148" t="str">
        <f>Config!$B$7</f>
        <v>SCH/Connector.SchLib</v>
      </c>
      <c r="G148" t="s">
        <v>14932</v>
      </c>
      <c r="H148" t="s">
        <v>15575</v>
      </c>
      <c r="I148" t="s">
        <v>15711</v>
      </c>
      <c r="K148" s="47" t="s">
        <v>16208</v>
      </c>
      <c r="L148" t="s">
        <v>16199</v>
      </c>
      <c r="M148" t="s">
        <v>16224</v>
      </c>
    </row>
    <row r="149" spans="1:13">
      <c r="A149" t="s">
        <v>16145</v>
      </c>
      <c r="B149" t="s">
        <v>16145</v>
      </c>
      <c r="C149" t="s">
        <v>16146</v>
      </c>
      <c r="D149" t="s">
        <v>4310</v>
      </c>
      <c r="F149" t="str">
        <f>Config!$B$7</f>
        <v>SCH/Connector.SchLib</v>
      </c>
      <c r="G149" t="s">
        <v>14932</v>
      </c>
      <c r="H149" t="s">
        <v>15575</v>
      </c>
      <c r="I149" t="s">
        <v>15712</v>
      </c>
      <c r="K149" s="47" t="s">
        <v>16208</v>
      </c>
      <c r="L149" t="s">
        <v>16200</v>
      </c>
      <c r="M149" t="s">
        <v>16224</v>
      </c>
    </row>
    <row r="150" spans="1:13">
      <c r="A150" t="s">
        <v>16147</v>
      </c>
      <c r="B150" t="s">
        <v>16147</v>
      </c>
      <c r="C150" t="s">
        <v>16148</v>
      </c>
      <c r="D150" t="s">
        <v>4310</v>
      </c>
      <c r="F150" t="str">
        <f>Config!$B$7</f>
        <v>SCH/Connector.SchLib</v>
      </c>
      <c r="G150" t="s">
        <v>14932</v>
      </c>
      <c r="H150" t="s">
        <v>15575</v>
      </c>
      <c r="I150" t="s">
        <v>15713</v>
      </c>
      <c r="K150" s="47" t="s">
        <v>16208</v>
      </c>
      <c r="L150" t="s">
        <v>16212</v>
      </c>
      <c r="M150" t="s">
        <v>16224</v>
      </c>
    </row>
    <row r="151" spans="1:13">
      <c r="A151" t="s">
        <v>16149</v>
      </c>
      <c r="B151" t="s">
        <v>16149</v>
      </c>
      <c r="C151" t="s">
        <v>16150</v>
      </c>
      <c r="D151" t="s">
        <v>4310</v>
      </c>
      <c r="F151" t="str">
        <f>Config!$B$7</f>
        <v>SCH/Connector.SchLib</v>
      </c>
      <c r="G151" t="s">
        <v>14932</v>
      </c>
      <c r="H151" t="s">
        <v>15575</v>
      </c>
      <c r="I151" t="s">
        <v>15714</v>
      </c>
      <c r="K151" s="47" t="s">
        <v>16208</v>
      </c>
      <c r="L151" t="s">
        <v>16205</v>
      </c>
      <c r="M151" t="s">
        <v>16224</v>
      </c>
    </row>
    <row r="152" spans="1:13">
      <c r="A152" t="s">
        <v>16151</v>
      </c>
      <c r="B152" t="s">
        <v>16151</v>
      </c>
      <c r="C152" t="s">
        <v>16152</v>
      </c>
      <c r="D152" t="s">
        <v>4310</v>
      </c>
      <c r="F152" t="str">
        <f>Config!$B$7</f>
        <v>SCH/Connector.SchLib</v>
      </c>
      <c r="G152" t="s">
        <v>14932</v>
      </c>
      <c r="H152" t="s">
        <v>15575</v>
      </c>
      <c r="I152" t="s">
        <v>15715</v>
      </c>
      <c r="K152" s="47" t="s">
        <v>16208</v>
      </c>
      <c r="L152" t="s">
        <v>16213</v>
      </c>
      <c r="M152" t="s">
        <v>16224</v>
      </c>
    </row>
    <row r="153" spans="1:13">
      <c r="A153" t="s">
        <v>16153</v>
      </c>
      <c r="B153" t="s">
        <v>16153</v>
      </c>
      <c r="C153" t="s">
        <v>16154</v>
      </c>
      <c r="D153" t="s">
        <v>4310</v>
      </c>
      <c r="F153" t="str">
        <f>Config!$B$7</f>
        <v>SCH/Connector.SchLib</v>
      </c>
      <c r="G153" t="s">
        <v>14932</v>
      </c>
      <c r="H153" t="s">
        <v>15575</v>
      </c>
      <c r="I153" t="s">
        <v>15716</v>
      </c>
      <c r="K153" s="47" t="s">
        <v>16208</v>
      </c>
      <c r="L153" t="s">
        <v>16218</v>
      </c>
      <c r="M153" t="s">
        <v>16224</v>
      </c>
    </row>
    <row r="155" spans="1:13">
      <c r="A155" t="s">
        <v>15512</v>
      </c>
      <c r="B155" t="s">
        <v>15512</v>
      </c>
      <c r="C155" t="s">
        <v>15513</v>
      </c>
      <c r="D155" t="s">
        <v>4310</v>
      </c>
      <c r="F155" t="str">
        <f>Config!$B$7</f>
        <v>SCH/Connector.SchLib</v>
      </c>
      <c r="G155" t="s">
        <v>14932</v>
      </c>
      <c r="H155" t="s">
        <v>15514</v>
      </c>
      <c r="I155" t="s">
        <v>14962</v>
      </c>
      <c r="K155" s="47" t="s">
        <v>16198</v>
      </c>
      <c r="L155" t="s">
        <v>16198</v>
      </c>
      <c r="M155" t="s">
        <v>16225</v>
      </c>
    </row>
    <row r="156" spans="1:13">
      <c r="A156" t="s">
        <v>15515</v>
      </c>
      <c r="B156" t="s">
        <v>15515</v>
      </c>
      <c r="C156" t="s">
        <v>15516</v>
      </c>
      <c r="D156" t="s">
        <v>4310</v>
      </c>
      <c r="F156" t="str">
        <f>Config!$B$7</f>
        <v>SCH/Connector.SchLib</v>
      </c>
      <c r="G156" t="s">
        <v>14932</v>
      </c>
      <c r="H156" t="s">
        <v>15514</v>
      </c>
      <c r="I156" t="s">
        <v>14963</v>
      </c>
      <c r="K156" s="47" t="s">
        <v>16198</v>
      </c>
      <c r="L156" t="s">
        <v>16199</v>
      </c>
      <c r="M156" t="s">
        <v>16225</v>
      </c>
    </row>
    <row r="157" spans="1:13">
      <c r="A157" t="s">
        <v>15517</v>
      </c>
      <c r="B157" t="s">
        <v>15517</v>
      </c>
      <c r="C157" t="s">
        <v>15518</v>
      </c>
      <c r="D157" t="s">
        <v>4310</v>
      </c>
      <c r="F157" t="str">
        <f>Config!$B$7</f>
        <v>SCH/Connector.SchLib</v>
      </c>
      <c r="G157" t="s">
        <v>14932</v>
      </c>
      <c r="H157" t="s">
        <v>15514</v>
      </c>
      <c r="I157" t="s">
        <v>14934</v>
      </c>
      <c r="K157" s="47" t="s">
        <v>16199</v>
      </c>
      <c r="L157" t="s">
        <v>16198</v>
      </c>
      <c r="M157" t="s">
        <v>16225</v>
      </c>
    </row>
    <row r="158" spans="1:13">
      <c r="A158" t="s">
        <v>15519</v>
      </c>
      <c r="B158" t="s">
        <v>15519</v>
      </c>
      <c r="C158" t="s">
        <v>15520</v>
      </c>
      <c r="D158" t="s">
        <v>4310</v>
      </c>
      <c r="F158" t="str">
        <f>Config!$B$7</f>
        <v>SCH/Connector.SchLib</v>
      </c>
      <c r="G158" t="s">
        <v>14932</v>
      </c>
      <c r="H158" t="s">
        <v>15514</v>
      </c>
      <c r="I158" t="s">
        <v>14935</v>
      </c>
      <c r="K158" s="47" t="s">
        <v>16199</v>
      </c>
      <c r="L158" t="s">
        <v>16199</v>
      </c>
      <c r="M158" t="s">
        <v>16225</v>
      </c>
    </row>
    <row r="159" spans="1:13">
      <c r="A159" t="s">
        <v>15521</v>
      </c>
      <c r="B159" t="s">
        <v>15521</v>
      </c>
      <c r="C159" t="s">
        <v>15522</v>
      </c>
      <c r="D159" t="s">
        <v>4310</v>
      </c>
      <c r="F159" t="str">
        <f>Config!$B$7</f>
        <v>SCH/Connector.SchLib</v>
      </c>
      <c r="G159" t="s">
        <v>14932</v>
      </c>
      <c r="H159" t="s">
        <v>15514</v>
      </c>
      <c r="I159" t="s">
        <v>14936</v>
      </c>
      <c r="K159" s="47" t="s">
        <v>16199</v>
      </c>
      <c r="L159" t="s">
        <v>16200</v>
      </c>
      <c r="M159" t="s">
        <v>16225</v>
      </c>
    </row>
    <row r="160" spans="1:13">
      <c r="A160" t="s">
        <v>15523</v>
      </c>
      <c r="B160" t="s">
        <v>15523</v>
      </c>
      <c r="C160" t="s">
        <v>15524</v>
      </c>
      <c r="D160" t="s">
        <v>4310</v>
      </c>
      <c r="F160" t="str">
        <f>Config!$B$7</f>
        <v>SCH/Connector.SchLib</v>
      </c>
      <c r="G160" t="s">
        <v>14932</v>
      </c>
      <c r="H160" t="s">
        <v>15514</v>
      </c>
      <c r="I160" t="s">
        <v>14937</v>
      </c>
      <c r="K160" s="47" t="s">
        <v>16200</v>
      </c>
      <c r="L160" t="s">
        <v>16198</v>
      </c>
      <c r="M160" t="s">
        <v>16225</v>
      </c>
    </row>
    <row r="161" spans="1:13">
      <c r="A161" t="s">
        <v>15525</v>
      </c>
      <c r="B161" t="s">
        <v>15525</v>
      </c>
      <c r="C161" t="s">
        <v>15526</v>
      </c>
      <c r="D161" t="s">
        <v>4310</v>
      </c>
      <c r="F161" t="str">
        <f>Config!$B$7</f>
        <v>SCH/Connector.SchLib</v>
      </c>
      <c r="G161" t="s">
        <v>14932</v>
      </c>
      <c r="H161" t="s">
        <v>15514</v>
      </c>
      <c r="I161" t="s">
        <v>14938</v>
      </c>
      <c r="K161" s="47" t="s">
        <v>16200</v>
      </c>
      <c r="L161" t="s">
        <v>16199</v>
      </c>
      <c r="M161" t="s">
        <v>16225</v>
      </c>
    </row>
    <row r="162" spans="1:13">
      <c r="A162" t="s">
        <v>15527</v>
      </c>
      <c r="B162" t="s">
        <v>15527</v>
      </c>
      <c r="C162" t="s">
        <v>15528</v>
      </c>
      <c r="D162" t="s">
        <v>4310</v>
      </c>
      <c r="F162" t="str">
        <f>Config!$B$7</f>
        <v>SCH/Connector.SchLib</v>
      </c>
      <c r="G162" t="s">
        <v>14932</v>
      </c>
      <c r="H162" t="s">
        <v>15514</v>
      </c>
      <c r="I162" t="s">
        <v>14939</v>
      </c>
      <c r="K162" s="47" t="s">
        <v>16200</v>
      </c>
      <c r="L162" t="s">
        <v>16200</v>
      </c>
      <c r="M162" t="s">
        <v>16225</v>
      </c>
    </row>
    <row r="163" spans="1:13">
      <c r="A163" t="s">
        <v>15529</v>
      </c>
      <c r="B163" t="s">
        <v>15529</v>
      </c>
      <c r="C163" t="s">
        <v>15530</v>
      </c>
      <c r="D163" t="s">
        <v>4310</v>
      </c>
      <c r="F163" t="str">
        <f>Config!$B$7</f>
        <v>SCH/Connector.SchLib</v>
      </c>
      <c r="G163" t="s">
        <v>14932</v>
      </c>
      <c r="H163" t="s">
        <v>15514</v>
      </c>
      <c r="I163" t="s">
        <v>14940</v>
      </c>
      <c r="K163" s="47" t="s">
        <v>16200</v>
      </c>
      <c r="L163" t="s">
        <v>16202</v>
      </c>
      <c r="M163" t="s">
        <v>16225</v>
      </c>
    </row>
    <row r="164" spans="1:13">
      <c r="A164" t="s">
        <v>15531</v>
      </c>
      <c r="B164" t="s">
        <v>15531</v>
      </c>
      <c r="C164" t="s">
        <v>15532</v>
      </c>
      <c r="D164" t="s">
        <v>4310</v>
      </c>
      <c r="F164" t="str">
        <f>Config!$B$7</f>
        <v>SCH/Connector.SchLib</v>
      </c>
      <c r="G164" t="s">
        <v>14932</v>
      </c>
      <c r="H164" t="s">
        <v>15514</v>
      </c>
      <c r="I164" t="s">
        <v>14941</v>
      </c>
      <c r="K164" s="47" t="s">
        <v>16201</v>
      </c>
      <c r="L164" t="s">
        <v>16209</v>
      </c>
      <c r="M164" t="s">
        <v>16225</v>
      </c>
    </row>
    <row r="165" spans="1:13">
      <c r="A165" t="s">
        <v>15533</v>
      </c>
      <c r="B165" t="s">
        <v>15533</v>
      </c>
      <c r="C165" t="s">
        <v>15534</v>
      </c>
      <c r="D165" t="s">
        <v>4310</v>
      </c>
      <c r="F165" t="str">
        <f>Config!$B$7</f>
        <v>SCH/Connector.SchLib</v>
      </c>
      <c r="G165" t="s">
        <v>14932</v>
      </c>
      <c r="H165" t="s">
        <v>15514</v>
      </c>
      <c r="I165" t="s">
        <v>14942</v>
      </c>
      <c r="K165" s="47" t="s">
        <v>16201</v>
      </c>
      <c r="L165" t="s">
        <v>16201</v>
      </c>
      <c r="M165" t="s">
        <v>16225</v>
      </c>
    </row>
    <row r="166" spans="1:13">
      <c r="A166" t="s">
        <v>15535</v>
      </c>
      <c r="B166" t="s">
        <v>15535</v>
      </c>
      <c r="C166" t="s">
        <v>15536</v>
      </c>
      <c r="D166" t="s">
        <v>4310</v>
      </c>
      <c r="F166" t="str">
        <f>Config!$B$7</f>
        <v>SCH/Connector.SchLib</v>
      </c>
      <c r="G166" t="s">
        <v>14932</v>
      </c>
      <c r="H166" t="s">
        <v>15514</v>
      </c>
      <c r="I166" t="s">
        <v>14943</v>
      </c>
      <c r="K166" s="47" t="s">
        <v>16201</v>
      </c>
      <c r="L166" t="s">
        <v>16203</v>
      </c>
      <c r="M166" t="s">
        <v>16225</v>
      </c>
    </row>
    <row r="167" spans="1:13">
      <c r="A167" t="s">
        <v>15537</v>
      </c>
      <c r="B167" t="s">
        <v>15537</v>
      </c>
      <c r="C167" t="s">
        <v>15538</v>
      </c>
      <c r="D167" t="s">
        <v>4310</v>
      </c>
      <c r="F167" t="str">
        <f>Config!$B$7</f>
        <v>SCH/Connector.SchLib</v>
      </c>
      <c r="G167" t="s">
        <v>14932</v>
      </c>
      <c r="H167" t="s">
        <v>15514</v>
      </c>
      <c r="I167" t="s">
        <v>14944</v>
      </c>
      <c r="K167" s="47" t="s">
        <v>16202</v>
      </c>
      <c r="L167" t="s">
        <v>16199</v>
      </c>
      <c r="M167" t="s">
        <v>16225</v>
      </c>
    </row>
    <row r="168" spans="1:13">
      <c r="A168" t="s">
        <v>15539</v>
      </c>
      <c r="B168" t="s">
        <v>15539</v>
      </c>
      <c r="C168" t="s">
        <v>15540</v>
      </c>
      <c r="D168" t="s">
        <v>4310</v>
      </c>
      <c r="F168" t="str">
        <f>Config!$B$7</f>
        <v>SCH/Connector.SchLib</v>
      </c>
      <c r="G168" t="s">
        <v>14932</v>
      </c>
      <c r="H168" t="s">
        <v>15514</v>
      </c>
      <c r="I168" t="s">
        <v>14945</v>
      </c>
      <c r="K168" s="47" t="s">
        <v>16202</v>
      </c>
      <c r="L168" t="s">
        <v>16200</v>
      </c>
      <c r="M168" t="s">
        <v>16225</v>
      </c>
    </row>
    <row r="169" spans="1:13">
      <c r="A169" t="s">
        <v>15541</v>
      </c>
      <c r="B169" t="s">
        <v>15541</v>
      </c>
      <c r="C169" t="s">
        <v>15542</v>
      </c>
      <c r="D169" t="s">
        <v>4310</v>
      </c>
      <c r="F169" t="str">
        <f>Config!$B$7</f>
        <v>SCH/Connector.SchLib</v>
      </c>
      <c r="G169" t="s">
        <v>14932</v>
      </c>
      <c r="H169" t="s">
        <v>15514</v>
      </c>
      <c r="I169" t="s">
        <v>14946</v>
      </c>
      <c r="K169" s="47" t="s">
        <v>16202</v>
      </c>
      <c r="L169" t="s">
        <v>16202</v>
      </c>
      <c r="M169" t="s">
        <v>16225</v>
      </c>
    </row>
    <row r="170" spans="1:13">
      <c r="A170" t="s">
        <v>15543</v>
      </c>
      <c r="B170" t="s">
        <v>15543</v>
      </c>
      <c r="C170" t="s">
        <v>15544</v>
      </c>
      <c r="D170" t="s">
        <v>4310</v>
      </c>
      <c r="F170" t="str">
        <f>Config!$B$7</f>
        <v>SCH/Connector.SchLib</v>
      </c>
      <c r="G170" t="s">
        <v>14932</v>
      </c>
      <c r="H170" t="s">
        <v>15514</v>
      </c>
      <c r="I170" t="s">
        <v>14947</v>
      </c>
      <c r="K170" s="47" t="s">
        <v>16202</v>
      </c>
      <c r="L170" t="s">
        <v>16204</v>
      </c>
      <c r="M170" t="s">
        <v>16225</v>
      </c>
    </row>
    <row r="171" spans="1:13">
      <c r="A171" t="s">
        <v>15545</v>
      </c>
      <c r="B171" t="s">
        <v>15545</v>
      </c>
      <c r="C171" t="s">
        <v>15546</v>
      </c>
      <c r="D171" t="s">
        <v>4310</v>
      </c>
      <c r="F171" t="str">
        <f>Config!$B$7</f>
        <v>SCH/Connector.SchLib</v>
      </c>
      <c r="G171" t="s">
        <v>14932</v>
      </c>
      <c r="H171" t="s">
        <v>15514</v>
      </c>
      <c r="I171" t="s">
        <v>14948</v>
      </c>
      <c r="K171" s="47" t="s">
        <v>16203</v>
      </c>
      <c r="L171" t="s">
        <v>16209</v>
      </c>
      <c r="M171" t="s">
        <v>16225</v>
      </c>
    </row>
    <row r="172" spans="1:13">
      <c r="A172" t="s">
        <v>15547</v>
      </c>
      <c r="B172" t="s">
        <v>15547</v>
      </c>
      <c r="C172" t="s">
        <v>15548</v>
      </c>
      <c r="D172" t="s">
        <v>4310</v>
      </c>
      <c r="F172" t="str">
        <f>Config!$B$7</f>
        <v>SCH/Connector.SchLib</v>
      </c>
      <c r="G172" t="s">
        <v>14932</v>
      </c>
      <c r="H172" t="s">
        <v>15514</v>
      </c>
      <c r="I172" t="s">
        <v>14949</v>
      </c>
      <c r="K172" s="47" t="s">
        <v>16203</v>
      </c>
      <c r="L172" t="s">
        <v>16201</v>
      </c>
      <c r="M172" t="s">
        <v>16225</v>
      </c>
    </row>
    <row r="173" spans="1:13">
      <c r="A173" t="s">
        <v>15549</v>
      </c>
      <c r="B173" t="s">
        <v>15549</v>
      </c>
      <c r="C173" t="s">
        <v>15550</v>
      </c>
      <c r="D173" t="s">
        <v>4310</v>
      </c>
      <c r="F173" t="str">
        <f>Config!$B$7</f>
        <v>SCH/Connector.SchLib</v>
      </c>
      <c r="G173" t="s">
        <v>14932</v>
      </c>
      <c r="H173" t="s">
        <v>15514</v>
      </c>
      <c r="I173" t="s">
        <v>14950</v>
      </c>
      <c r="K173" s="47" t="s">
        <v>16203</v>
      </c>
      <c r="L173" t="s">
        <v>16203</v>
      </c>
      <c r="M173" t="s">
        <v>16225</v>
      </c>
    </row>
    <row r="174" spans="1:13">
      <c r="A174" t="s">
        <v>15551</v>
      </c>
      <c r="B174" t="s">
        <v>15551</v>
      </c>
      <c r="C174" t="s">
        <v>15552</v>
      </c>
      <c r="D174" t="s">
        <v>4310</v>
      </c>
      <c r="F174" t="str">
        <f>Config!$B$7</f>
        <v>SCH/Connector.SchLib</v>
      </c>
      <c r="G174" t="s">
        <v>14932</v>
      </c>
      <c r="H174" t="s">
        <v>15514</v>
      </c>
      <c r="I174" t="s">
        <v>14951</v>
      </c>
      <c r="K174" s="47" t="s">
        <v>16203</v>
      </c>
      <c r="L174" t="s">
        <v>16206</v>
      </c>
      <c r="M174" t="s">
        <v>16225</v>
      </c>
    </row>
    <row r="175" spans="1:13">
      <c r="A175" t="s">
        <v>15553</v>
      </c>
      <c r="B175" t="s">
        <v>15553</v>
      </c>
      <c r="C175" t="s">
        <v>15554</v>
      </c>
      <c r="D175" t="s">
        <v>4310</v>
      </c>
      <c r="F175" t="str">
        <f>Config!$B$7</f>
        <v>SCH/Connector.SchLib</v>
      </c>
      <c r="G175" t="s">
        <v>14932</v>
      </c>
      <c r="H175" t="s">
        <v>15514</v>
      </c>
      <c r="I175" t="s">
        <v>14952</v>
      </c>
      <c r="K175" s="47" t="s">
        <v>16204</v>
      </c>
      <c r="L175" t="s">
        <v>16210</v>
      </c>
      <c r="M175" t="s">
        <v>16225</v>
      </c>
    </row>
    <row r="176" spans="1:13">
      <c r="A176" t="s">
        <v>15555</v>
      </c>
      <c r="B176" t="s">
        <v>15555</v>
      </c>
      <c r="C176" t="s">
        <v>15556</v>
      </c>
      <c r="D176" t="s">
        <v>4310</v>
      </c>
      <c r="F176" t="str">
        <f>Config!$B$7</f>
        <v>SCH/Connector.SchLib</v>
      </c>
      <c r="G176" t="s">
        <v>14932</v>
      </c>
      <c r="H176" t="s">
        <v>15514</v>
      </c>
      <c r="I176" t="s">
        <v>14953</v>
      </c>
      <c r="K176" s="47" t="s">
        <v>16204</v>
      </c>
      <c r="L176" t="s">
        <v>16200</v>
      </c>
      <c r="M176" t="s">
        <v>16225</v>
      </c>
    </row>
    <row r="177" spans="1:13">
      <c r="A177" t="s">
        <v>15557</v>
      </c>
      <c r="B177" t="s">
        <v>15557</v>
      </c>
      <c r="C177" t="s">
        <v>15558</v>
      </c>
      <c r="D177" t="s">
        <v>4310</v>
      </c>
      <c r="F177" t="str">
        <f>Config!$B$7</f>
        <v>SCH/Connector.SchLib</v>
      </c>
      <c r="G177" t="s">
        <v>14932</v>
      </c>
      <c r="H177" t="s">
        <v>15514</v>
      </c>
      <c r="I177" t="s">
        <v>14954</v>
      </c>
      <c r="K177" s="47" t="s">
        <v>16204</v>
      </c>
      <c r="L177" t="s">
        <v>16202</v>
      </c>
      <c r="M177" t="s">
        <v>16225</v>
      </c>
    </row>
    <row r="178" spans="1:13">
      <c r="A178" t="s">
        <v>15559</v>
      </c>
      <c r="B178" t="s">
        <v>15559</v>
      </c>
      <c r="C178" t="s">
        <v>15560</v>
      </c>
      <c r="D178" t="s">
        <v>4310</v>
      </c>
      <c r="F178" t="str">
        <f>Config!$B$7</f>
        <v>SCH/Connector.SchLib</v>
      </c>
      <c r="G178" t="s">
        <v>14932</v>
      </c>
      <c r="H178" t="s">
        <v>15514</v>
      </c>
      <c r="I178" t="s">
        <v>14955</v>
      </c>
      <c r="K178" s="47" t="s">
        <v>16204</v>
      </c>
      <c r="L178" t="s">
        <v>16204</v>
      </c>
      <c r="M178" t="s">
        <v>16225</v>
      </c>
    </row>
    <row r="179" spans="1:13">
      <c r="A179" t="s">
        <v>15561</v>
      </c>
      <c r="B179" t="s">
        <v>15561</v>
      </c>
      <c r="C179" t="s">
        <v>15562</v>
      </c>
      <c r="D179" t="s">
        <v>4310</v>
      </c>
      <c r="F179" t="str">
        <f>Config!$B$7</f>
        <v>SCH/Connector.SchLib</v>
      </c>
      <c r="G179" t="s">
        <v>14932</v>
      </c>
      <c r="H179" t="s">
        <v>15514</v>
      </c>
      <c r="I179" t="s">
        <v>14956</v>
      </c>
      <c r="K179" s="47" t="s">
        <v>16204</v>
      </c>
      <c r="L179" t="s">
        <v>16207</v>
      </c>
      <c r="M179" t="s">
        <v>16225</v>
      </c>
    </row>
    <row r="180" spans="1:13">
      <c r="A180" t="s">
        <v>15563</v>
      </c>
      <c r="B180" t="s">
        <v>15563</v>
      </c>
      <c r="C180" t="s">
        <v>15564</v>
      </c>
      <c r="D180" t="s">
        <v>4310</v>
      </c>
      <c r="F180" t="str">
        <f>Config!$B$7</f>
        <v>SCH/Connector.SchLib</v>
      </c>
      <c r="G180" t="s">
        <v>14932</v>
      </c>
      <c r="H180" t="s">
        <v>15514</v>
      </c>
      <c r="I180" t="s">
        <v>14957</v>
      </c>
      <c r="K180" s="47" t="s">
        <v>16205</v>
      </c>
      <c r="L180" t="s">
        <v>16199</v>
      </c>
      <c r="M180" t="s">
        <v>16225</v>
      </c>
    </row>
    <row r="181" spans="1:13">
      <c r="A181" t="s">
        <v>16075</v>
      </c>
      <c r="B181" t="s">
        <v>16075</v>
      </c>
      <c r="C181" t="s">
        <v>16076</v>
      </c>
      <c r="D181" t="s">
        <v>4310</v>
      </c>
      <c r="F181" t="str">
        <f>Config!$B$7</f>
        <v>SCH/Connector.SchLib</v>
      </c>
      <c r="G181" t="s">
        <v>14932</v>
      </c>
      <c r="H181" t="s">
        <v>15514</v>
      </c>
      <c r="I181" t="s">
        <v>15695</v>
      </c>
      <c r="K181" s="47" t="s">
        <v>16205</v>
      </c>
      <c r="L181" t="s">
        <v>16200</v>
      </c>
      <c r="M181" t="s">
        <v>16225</v>
      </c>
    </row>
    <row r="182" spans="1:13">
      <c r="A182" t="s">
        <v>15565</v>
      </c>
      <c r="B182" t="s">
        <v>15565</v>
      </c>
      <c r="C182" t="s">
        <v>15566</v>
      </c>
      <c r="D182" t="s">
        <v>4310</v>
      </c>
      <c r="F182" t="str">
        <f>Config!$B$7</f>
        <v>SCH/Connector.SchLib</v>
      </c>
      <c r="G182" t="s">
        <v>14932</v>
      </c>
      <c r="H182" t="s">
        <v>15514</v>
      </c>
      <c r="I182" t="s">
        <v>14958</v>
      </c>
      <c r="K182" s="47" t="s">
        <v>16205</v>
      </c>
      <c r="L182" t="s">
        <v>16211</v>
      </c>
      <c r="M182" t="s">
        <v>16225</v>
      </c>
    </row>
    <row r="183" spans="1:13">
      <c r="A183" t="s">
        <v>15567</v>
      </c>
      <c r="B183" t="s">
        <v>15567</v>
      </c>
      <c r="C183" t="s">
        <v>15568</v>
      </c>
      <c r="D183" t="s">
        <v>4310</v>
      </c>
      <c r="F183" t="str">
        <f>Config!$B$7</f>
        <v>SCH/Connector.SchLib</v>
      </c>
      <c r="G183" t="s">
        <v>14932</v>
      </c>
      <c r="H183" t="s">
        <v>15514</v>
      </c>
      <c r="I183" t="s">
        <v>14959</v>
      </c>
      <c r="K183" s="47" t="s">
        <v>16205</v>
      </c>
      <c r="L183" t="s">
        <v>16212</v>
      </c>
      <c r="M183" t="s">
        <v>16225</v>
      </c>
    </row>
    <row r="184" spans="1:13">
      <c r="A184" t="s">
        <v>15569</v>
      </c>
      <c r="B184" t="s">
        <v>15569</v>
      </c>
      <c r="C184" t="s">
        <v>15570</v>
      </c>
      <c r="D184" t="s">
        <v>4310</v>
      </c>
      <c r="F184" t="str">
        <f>Config!$B$7</f>
        <v>SCH/Connector.SchLib</v>
      </c>
      <c r="G184" t="s">
        <v>14932</v>
      </c>
      <c r="H184" t="s">
        <v>15514</v>
      </c>
      <c r="I184" t="s">
        <v>14960</v>
      </c>
      <c r="K184" s="47" t="s">
        <v>16205</v>
      </c>
      <c r="L184" t="s">
        <v>16205</v>
      </c>
      <c r="M184" t="s">
        <v>16225</v>
      </c>
    </row>
    <row r="185" spans="1:13">
      <c r="A185" t="s">
        <v>15571</v>
      </c>
      <c r="B185" t="s">
        <v>15571</v>
      </c>
      <c r="C185" t="s">
        <v>15572</v>
      </c>
      <c r="D185" t="s">
        <v>4310</v>
      </c>
      <c r="F185" t="str">
        <f>Config!$B$7</f>
        <v>SCH/Connector.SchLib</v>
      </c>
      <c r="G185" t="s">
        <v>14932</v>
      </c>
      <c r="H185" t="s">
        <v>15514</v>
      </c>
      <c r="I185" t="s">
        <v>14961</v>
      </c>
      <c r="K185" s="47" t="s">
        <v>16205</v>
      </c>
      <c r="L185" t="s">
        <v>16213</v>
      </c>
      <c r="M185" t="s">
        <v>16225</v>
      </c>
    </row>
    <row r="186" spans="1:13">
      <c r="A186" t="s">
        <v>16077</v>
      </c>
      <c r="B186" t="s">
        <v>16077</v>
      </c>
      <c r="C186" t="s">
        <v>16078</v>
      </c>
      <c r="D186" t="s">
        <v>4310</v>
      </c>
      <c r="F186" t="str">
        <f>Config!$B$7</f>
        <v>SCH/Connector.SchLib</v>
      </c>
      <c r="G186" t="s">
        <v>14932</v>
      </c>
      <c r="H186" t="s">
        <v>15514</v>
      </c>
      <c r="I186" t="s">
        <v>15698</v>
      </c>
      <c r="K186" s="47" t="s">
        <v>16206</v>
      </c>
      <c r="L186" t="s">
        <v>16214</v>
      </c>
      <c r="M186" t="s">
        <v>16225</v>
      </c>
    </row>
    <row r="187" spans="1:13">
      <c r="A187" t="s">
        <v>16079</v>
      </c>
      <c r="B187" t="s">
        <v>16079</v>
      </c>
      <c r="C187" t="s">
        <v>16080</v>
      </c>
      <c r="D187" t="s">
        <v>4310</v>
      </c>
      <c r="F187" t="str">
        <f>Config!$B$7</f>
        <v>SCH/Connector.SchLib</v>
      </c>
      <c r="G187" t="s">
        <v>14932</v>
      </c>
      <c r="H187" t="s">
        <v>15514</v>
      </c>
      <c r="I187" t="s">
        <v>15699</v>
      </c>
      <c r="K187" s="47" t="s">
        <v>16206</v>
      </c>
      <c r="L187" t="s">
        <v>16200</v>
      </c>
      <c r="M187" t="s">
        <v>16225</v>
      </c>
    </row>
    <row r="188" spans="1:13">
      <c r="A188" t="s">
        <v>16081</v>
      </c>
      <c r="B188" t="s">
        <v>16081</v>
      </c>
      <c r="C188" t="s">
        <v>16082</v>
      </c>
      <c r="D188" t="s">
        <v>4310</v>
      </c>
      <c r="F188" t="str">
        <f>Config!$B$7</f>
        <v>SCH/Connector.SchLib</v>
      </c>
      <c r="G188" t="s">
        <v>14932</v>
      </c>
      <c r="H188" t="s">
        <v>15514</v>
      </c>
      <c r="I188" t="s">
        <v>15700</v>
      </c>
      <c r="K188" s="47" t="s">
        <v>16206</v>
      </c>
      <c r="L188" t="s">
        <v>16201</v>
      </c>
      <c r="M188" t="s">
        <v>16225</v>
      </c>
    </row>
    <row r="189" spans="1:13">
      <c r="A189" t="s">
        <v>16083</v>
      </c>
      <c r="B189" t="s">
        <v>16083</v>
      </c>
      <c r="C189" t="s">
        <v>16084</v>
      </c>
      <c r="D189" t="s">
        <v>4310</v>
      </c>
      <c r="F189" t="str">
        <f>Config!$B$7</f>
        <v>SCH/Connector.SchLib</v>
      </c>
      <c r="G189" t="s">
        <v>14932</v>
      </c>
      <c r="H189" t="s">
        <v>15514</v>
      </c>
      <c r="I189" t="s">
        <v>15701</v>
      </c>
      <c r="K189" s="47" t="s">
        <v>16206</v>
      </c>
      <c r="L189" t="s">
        <v>16203</v>
      </c>
      <c r="M189" t="s">
        <v>16225</v>
      </c>
    </row>
    <row r="190" spans="1:13">
      <c r="A190" t="s">
        <v>16085</v>
      </c>
      <c r="B190" t="s">
        <v>16085</v>
      </c>
      <c r="C190" t="s">
        <v>16086</v>
      </c>
      <c r="D190" t="s">
        <v>4310</v>
      </c>
      <c r="F190" t="str">
        <f>Config!$B$7</f>
        <v>SCH/Connector.SchLib</v>
      </c>
      <c r="G190" t="s">
        <v>14932</v>
      </c>
      <c r="H190" t="s">
        <v>15514</v>
      </c>
      <c r="I190" t="s">
        <v>15702</v>
      </c>
      <c r="K190" s="47" t="s">
        <v>16206</v>
      </c>
      <c r="L190" t="s">
        <v>16206</v>
      </c>
      <c r="M190" t="s">
        <v>16225</v>
      </c>
    </row>
    <row r="191" spans="1:13">
      <c r="A191" t="s">
        <v>16087</v>
      </c>
      <c r="B191" t="s">
        <v>16087</v>
      </c>
      <c r="C191" t="s">
        <v>16088</v>
      </c>
      <c r="D191" t="s">
        <v>4310</v>
      </c>
      <c r="F191" t="str">
        <f>Config!$B$7</f>
        <v>SCH/Connector.SchLib</v>
      </c>
      <c r="G191" t="s">
        <v>14932</v>
      </c>
      <c r="H191" t="s">
        <v>15514</v>
      </c>
      <c r="I191" t="s">
        <v>15703</v>
      </c>
      <c r="K191" s="47" t="s">
        <v>16206</v>
      </c>
      <c r="L191" t="s">
        <v>16215</v>
      </c>
      <c r="M191" t="s">
        <v>16225</v>
      </c>
    </row>
    <row r="192" spans="1:13">
      <c r="A192" t="s">
        <v>16089</v>
      </c>
      <c r="B192" t="s">
        <v>16089</v>
      </c>
      <c r="C192" t="s">
        <v>16090</v>
      </c>
      <c r="D192" t="s">
        <v>4310</v>
      </c>
      <c r="F192" t="str">
        <f>Config!$B$7</f>
        <v>SCH/Connector.SchLib</v>
      </c>
      <c r="G192" t="s">
        <v>14932</v>
      </c>
      <c r="H192" t="s">
        <v>15514</v>
      </c>
      <c r="I192" t="s">
        <v>15704</v>
      </c>
      <c r="K192" s="47" t="s">
        <v>16207</v>
      </c>
      <c r="L192" t="s">
        <v>16199</v>
      </c>
      <c r="M192" t="s">
        <v>16225</v>
      </c>
    </row>
    <row r="193" spans="1:13">
      <c r="A193" t="s">
        <v>16091</v>
      </c>
      <c r="B193" t="s">
        <v>16091</v>
      </c>
      <c r="C193" t="s">
        <v>16092</v>
      </c>
      <c r="D193" t="s">
        <v>4310</v>
      </c>
      <c r="F193" t="str">
        <f>Config!$B$7</f>
        <v>SCH/Connector.SchLib</v>
      </c>
      <c r="G193" t="s">
        <v>14932</v>
      </c>
      <c r="H193" t="s">
        <v>15514</v>
      </c>
      <c r="I193" t="s">
        <v>15705</v>
      </c>
      <c r="K193" s="47" t="s">
        <v>16207</v>
      </c>
      <c r="L193" t="s">
        <v>16216</v>
      </c>
      <c r="M193" t="s">
        <v>16225</v>
      </c>
    </row>
    <row r="194" spans="1:13">
      <c r="A194" t="s">
        <v>16093</v>
      </c>
      <c r="B194" t="s">
        <v>16093</v>
      </c>
      <c r="C194" t="s">
        <v>16094</v>
      </c>
      <c r="D194" t="s">
        <v>4310</v>
      </c>
      <c r="F194" t="str">
        <f>Config!$B$7</f>
        <v>SCH/Connector.SchLib</v>
      </c>
      <c r="G194" t="s">
        <v>14932</v>
      </c>
      <c r="H194" t="s">
        <v>15514</v>
      </c>
      <c r="I194" t="s">
        <v>15706</v>
      </c>
      <c r="K194" s="47" t="s">
        <v>16207</v>
      </c>
      <c r="L194" t="s">
        <v>16200</v>
      </c>
      <c r="M194" t="s">
        <v>16225</v>
      </c>
    </row>
    <row r="195" spans="1:13">
      <c r="A195" t="s">
        <v>16095</v>
      </c>
      <c r="B195" t="s">
        <v>16095</v>
      </c>
      <c r="C195" t="s">
        <v>16096</v>
      </c>
      <c r="D195" t="s">
        <v>4310</v>
      </c>
      <c r="F195" t="str">
        <f>Config!$B$7</f>
        <v>SCH/Connector.SchLib</v>
      </c>
      <c r="G195" t="s">
        <v>14932</v>
      </c>
      <c r="H195" t="s">
        <v>15514</v>
      </c>
      <c r="I195" t="s">
        <v>15707</v>
      </c>
      <c r="K195" s="47" t="s">
        <v>16207</v>
      </c>
      <c r="L195" t="s">
        <v>16202</v>
      </c>
      <c r="M195" t="s">
        <v>16225</v>
      </c>
    </row>
    <row r="196" spans="1:13">
      <c r="A196" t="s">
        <v>16097</v>
      </c>
      <c r="B196" t="s">
        <v>16097</v>
      </c>
      <c r="C196" t="s">
        <v>16098</v>
      </c>
      <c r="D196" t="s">
        <v>4310</v>
      </c>
      <c r="F196" t="str">
        <f>Config!$B$7</f>
        <v>SCH/Connector.SchLib</v>
      </c>
      <c r="G196" t="s">
        <v>14932</v>
      </c>
      <c r="H196" t="s">
        <v>15514</v>
      </c>
      <c r="I196" t="s">
        <v>15708</v>
      </c>
      <c r="K196" s="47" t="s">
        <v>16207</v>
      </c>
      <c r="L196" t="s">
        <v>16204</v>
      </c>
      <c r="M196" t="s">
        <v>16225</v>
      </c>
    </row>
    <row r="197" spans="1:13">
      <c r="A197" t="s">
        <v>16099</v>
      </c>
      <c r="B197" t="s">
        <v>16099</v>
      </c>
      <c r="C197" t="s">
        <v>16100</v>
      </c>
      <c r="D197" t="s">
        <v>4310</v>
      </c>
      <c r="F197" t="str">
        <f>Config!$B$7</f>
        <v>SCH/Connector.SchLib</v>
      </c>
      <c r="G197" t="s">
        <v>14932</v>
      </c>
      <c r="H197" t="s">
        <v>15514</v>
      </c>
      <c r="I197" t="s">
        <v>15709</v>
      </c>
      <c r="K197" s="47" t="s">
        <v>16207</v>
      </c>
      <c r="L197" t="s">
        <v>16207</v>
      </c>
      <c r="M197" t="s">
        <v>16225</v>
      </c>
    </row>
    <row r="198" spans="1:13">
      <c r="A198" t="s">
        <v>16101</v>
      </c>
      <c r="B198" t="s">
        <v>16101</v>
      </c>
      <c r="C198" t="s">
        <v>16102</v>
      </c>
      <c r="D198" t="s">
        <v>4310</v>
      </c>
      <c r="F198" t="str">
        <f>Config!$B$7</f>
        <v>SCH/Connector.SchLib</v>
      </c>
      <c r="G198" t="s">
        <v>14932</v>
      </c>
      <c r="H198" t="s">
        <v>15514</v>
      </c>
      <c r="I198" t="s">
        <v>15710</v>
      </c>
      <c r="K198" s="47" t="s">
        <v>16207</v>
      </c>
      <c r="L198" t="s">
        <v>16217</v>
      </c>
      <c r="M198" t="s">
        <v>16225</v>
      </c>
    </row>
    <row r="199" spans="1:13">
      <c r="A199" t="s">
        <v>16103</v>
      </c>
      <c r="B199" t="s">
        <v>16103</v>
      </c>
      <c r="C199" t="s">
        <v>16104</v>
      </c>
      <c r="D199" t="s">
        <v>4310</v>
      </c>
      <c r="F199" t="str">
        <f>Config!$B$7</f>
        <v>SCH/Connector.SchLib</v>
      </c>
      <c r="G199" t="s">
        <v>14932</v>
      </c>
      <c r="H199" t="s">
        <v>15514</v>
      </c>
      <c r="I199" t="s">
        <v>15711</v>
      </c>
      <c r="K199" s="47" t="s">
        <v>16208</v>
      </c>
      <c r="L199" t="s">
        <v>16199</v>
      </c>
      <c r="M199" t="s">
        <v>16225</v>
      </c>
    </row>
    <row r="200" spans="1:13">
      <c r="A200" t="s">
        <v>16105</v>
      </c>
      <c r="B200" t="s">
        <v>16105</v>
      </c>
      <c r="C200" t="s">
        <v>16106</v>
      </c>
      <c r="D200" t="s">
        <v>4310</v>
      </c>
      <c r="F200" t="str">
        <f>Config!$B$7</f>
        <v>SCH/Connector.SchLib</v>
      </c>
      <c r="G200" t="s">
        <v>14932</v>
      </c>
      <c r="H200" t="s">
        <v>15514</v>
      </c>
      <c r="I200" t="s">
        <v>15712</v>
      </c>
      <c r="K200" s="47" t="s">
        <v>16208</v>
      </c>
      <c r="L200" t="s">
        <v>16200</v>
      </c>
      <c r="M200" t="s">
        <v>16225</v>
      </c>
    </row>
    <row r="201" spans="1:13">
      <c r="A201" t="s">
        <v>16107</v>
      </c>
      <c r="B201" t="s">
        <v>16107</v>
      </c>
      <c r="C201" t="s">
        <v>16108</v>
      </c>
      <c r="D201" t="s">
        <v>4310</v>
      </c>
      <c r="F201" t="str">
        <f>Config!$B$7</f>
        <v>SCH/Connector.SchLib</v>
      </c>
      <c r="G201" t="s">
        <v>14932</v>
      </c>
      <c r="H201" t="s">
        <v>15514</v>
      </c>
      <c r="I201" t="s">
        <v>15713</v>
      </c>
      <c r="K201" s="47" t="s">
        <v>16208</v>
      </c>
      <c r="L201" t="s">
        <v>16212</v>
      </c>
      <c r="M201" t="s">
        <v>16225</v>
      </c>
    </row>
    <row r="202" spans="1:13">
      <c r="A202" t="s">
        <v>16109</v>
      </c>
      <c r="B202" t="s">
        <v>16109</v>
      </c>
      <c r="C202" t="s">
        <v>16110</v>
      </c>
      <c r="D202" t="s">
        <v>4310</v>
      </c>
      <c r="F202" t="str">
        <f>Config!$B$7</f>
        <v>SCH/Connector.SchLib</v>
      </c>
      <c r="G202" t="s">
        <v>14932</v>
      </c>
      <c r="H202" t="s">
        <v>15514</v>
      </c>
      <c r="I202" t="s">
        <v>15714</v>
      </c>
      <c r="K202" s="47" t="s">
        <v>16208</v>
      </c>
      <c r="L202" t="s">
        <v>16205</v>
      </c>
      <c r="M202" t="s">
        <v>16225</v>
      </c>
    </row>
    <row r="203" spans="1:13">
      <c r="A203" t="s">
        <v>16111</v>
      </c>
      <c r="B203" t="s">
        <v>16111</v>
      </c>
      <c r="C203" t="s">
        <v>16112</v>
      </c>
      <c r="D203" t="s">
        <v>4310</v>
      </c>
      <c r="F203" t="str">
        <f>Config!$B$7</f>
        <v>SCH/Connector.SchLib</v>
      </c>
      <c r="G203" t="s">
        <v>14932</v>
      </c>
      <c r="H203" t="s">
        <v>15514</v>
      </c>
      <c r="I203" t="s">
        <v>15715</v>
      </c>
      <c r="K203" s="47" t="s">
        <v>16208</v>
      </c>
      <c r="L203" t="s">
        <v>16213</v>
      </c>
      <c r="M203" t="s">
        <v>16225</v>
      </c>
    </row>
    <row r="204" spans="1:13">
      <c r="A204" t="s">
        <v>16113</v>
      </c>
      <c r="B204" t="s">
        <v>16113</v>
      </c>
      <c r="C204" t="s">
        <v>16114</v>
      </c>
      <c r="D204" t="s">
        <v>4310</v>
      </c>
      <c r="F204" t="str">
        <f>Config!$B$7</f>
        <v>SCH/Connector.SchLib</v>
      </c>
      <c r="G204" t="s">
        <v>14932</v>
      </c>
      <c r="H204" t="s">
        <v>15514</v>
      </c>
      <c r="I204" t="s">
        <v>15716</v>
      </c>
      <c r="K204" s="47" t="s">
        <v>16208</v>
      </c>
      <c r="L204" t="s">
        <v>16218</v>
      </c>
      <c r="M204" t="s">
        <v>16225</v>
      </c>
    </row>
    <row r="206" spans="1:13">
      <c r="A206" t="s">
        <v>15451</v>
      </c>
      <c r="B206" t="s">
        <v>15451</v>
      </c>
      <c r="C206" t="s">
        <v>15452</v>
      </c>
      <c r="D206" t="s">
        <v>4310</v>
      </c>
      <c r="F206" t="str">
        <f>Config!$B$7</f>
        <v>SCH/Connector.SchLib</v>
      </c>
      <c r="G206" t="s">
        <v>14932</v>
      </c>
      <c r="H206" t="s">
        <v>15453</v>
      </c>
      <c r="I206" t="s">
        <v>14962</v>
      </c>
      <c r="K206" s="47" t="s">
        <v>16198</v>
      </c>
      <c r="L206" t="s">
        <v>16198</v>
      </c>
      <c r="M206" t="s">
        <v>16226</v>
      </c>
    </row>
    <row r="207" spans="1:13">
      <c r="A207" t="s">
        <v>15454</v>
      </c>
      <c r="B207" t="s">
        <v>15454</v>
      </c>
      <c r="C207" t="s">
        <v>15455</v>
      </c>
      <c r="D207" t="s">
        <v>4310</v>
      </c>
      <c r="F207" t="str">
        <f>Config!$B$7</f>
        <v>SCH/Connector.SchLib</v>
      </c>
      <c r="G207" t="s">
        <v>14932</v>
      </c>
      <c r="H207" t="s">
        <v>15453</v>
      </c>
      <c r="I207" t="s">
        <v>14963</v>
      </c>
      <c r="K207" s="47" t="s">
        <v>16198</v>
      </c>
      <c r="L207" t="s">
        <v>16199</v>
      </c>
      <c r="M207" t="s">
        <v>16226</v>
      </c>
    </row>
    <row r="208" spans="1:13">
      <c r="A208" t="s">
        <v>15456</v>
      </c>
      <c r="B208" t="s">
        <v>15456</v>
      </c>
      <c r="C208" t="s">
        <v>15457</v>
      </c>
      <c r="D208" t="s">
        <v>4310</v>
      </c>
      <c r="F208" t="str">
        <f>Config!$B$7</f>
        <v>SCH/Connector.SchLib</v>
      </c>
      <c r="G208" t="s">
        <v>14932</v>
      </c>
      <c r="H208" t="s">
        <v>15453</v>
      </c>
      <c r="I208" t="s">
        <v>14934</v>
      </c>
      <c r="K208" s="47" t="s">
        <v>16199</v>
      </c>
      <c r="L208" t="s">
        <v>16198</v>
      </c>
      <c r="M208" t="s">
        <v>16226</v>
      </c>
    </row>
    <row r="209" spans="1:13">
      <c r="A209" t="s">
        <v>15458</v>
      </c>
      <c r="B209" t="s">
        <v>15458</v>
      </c>
      <c r="C209" t="s">
        <v>15459</v>
      </c>
      <c r="D209" t="s">
        <v>4310</v>
      </c>
      <c r="F209" t="str">
        <f>Config!$B$7</f>
        <v>SCH/Connector.SchLib</v>
      </c>
      <c r="G209" t="s">
        <v>14932</v>
      </c>
      <c r="H209" t="s">
        <v>15453</v>
      </c>
      <c r="I209" t="s">
        <v>14935</v>
      </c>
      <c r="K209" s="47" t="s">
        <v>16199</v>
      </c>
      <c r="L209" t="s">
        <v>16199</v>
      </c>
      <c r="M209" t="s">
        <v>16226</v>
      </c>
    </row>
    <row r="210" spans="1:13">
      <c r="A210" t="s">
        <v>15460</v>
      </c>
      <c r="B210" t="s">
        <v>15460</v>
      </c>
      <c r="C210" t="s">
        <v>15461</v>
      </c>
      <c r="D210" t="s">
        <v>4310</v>
      </c>
      <c r="F210" t="str">
        <f>Config!$B$7</f>
        <v>SCH/Connector.SchLib</v>
      </c>
      <c r="G210" t="s">
        <v>14932</v>
      </c>
      <c r="H210" t="s">
        <v>15453</v>
      </c>
      <c r="I210" t="s">
        <v>14936</v>
      </c>
      <c r="K210" s="47" t="s">
        <v>16199</v>
      </c>
      <c r="L210" t="s">
        <v>16200</v>
      </c>
      <c r="M210" t="s">
        <v>16226</v>
      </c>
    </row>
    <row r="211" spans="1:13">
      <c r="A211" t="s">
        <v>15462</v>
      </c>
      <c r="B211" t="s">
        <v>15462</v>
      </c>
      <c r="C211" t="s">
        <v>15463</v>
      </c>
      <c r="D211" t="s">
        <v>4310</v>
      </c>
      <c r="F211" t="str">
        <f>Config!$B$7</f>
        <v>SCH/Connector.SchLib</v>
      </c>
      <c r="G211" t="s">
        <v>14932</v>
      </c>
      <c r="H211" t="s">
        <v>15453</v>
      </c>
      <c r="I211" t="s">
        <v>14937</v>
      </c>
      <c r="K211" s="47" t="s">
        <v>16200</v>
      </c>
      <c r="L211" t="s">
        <v>16198</v>
      </c>
      <c r="M211" t="s">
        <v>16226</v>
      </c>
    </row>
    <row r="212" spans="1:13">
      <c r="A212" t="s">
        <v>15464</v>
      </c>
      <c r="B212" t="s">
        <v>15464</v>
      </c>
      <c r="C212" t="s">
        <v>15465</v>
      </c>
      <c r="D212" t="s">
        <v>4310</v>
      </c>
      <c r="F212" t="str">
        <f>Config!$B$7</f>
        <v>SCH/Connector.SchLib</v>
      </c>
      <c r="G212" t="s">
        <v>14932</v>
      </c>
      <c r="H212" t="s">
        <v>15453</v>
      </c>
      <c r="I212" t="s">
        <v>14938</v>
      </c>
      <c r="K212" s="47" t="s">
        <v>16200</v>
      </c>
      <c r="L212" t="s">
        <v>16199</v>
      </c>
      <c r="M212" t="s">
        <v>16226</v>
      </c>
    </row>
    <row r="213" spans="1:13">
      <c r="A213" t="s">
        <v>15466</v>
      </c>
      <c r="B213" t="s">
        <v>15466</v>
      </c>
      <c r="C213" t="s">
        <v>15467</v>
      </c>
      <c r="D213" t="s">
        <v>4310</v>
      </c>
      <c r="F213" t="str">
        <f>Config!$B$7</f>
        <v>SCH/Connector.SchLib</v>
      </c>
      <c r="G213" t="s">
        <v>14932</v>
      </c>
      <c r="H213" t="s">
        <v>15453</v>
      </c>
      <c r="I213" t="s">
        <v>14939</v>
      </c>
      <c r="K213" s="47" t="s">
        <v>16200</v>
      </c>
      <c r="L213" t="s">
        <v>16200</v>
      </c>
      <c r="M213" t="s">
        <v>16226</v>
      </c>
    </row>
    <row r="214" spans="1:13">
      <c r="A214" t="s">
        <v>15468</v>
      </c>
      <c r="B214" t="s">
        <v>15468</v>
      </c>
      <c r="C214" t="s">
        <v>15469</v>
      </c>
      <c r="D214" t="s">
        <v>4310</v>
      </c>
      <c r="F214" t="str">
        <f>Config!$B$7</f>
        <v>SCH/Connector.SchLib</v>
      </c>
      <c r="G214" t="s">
        <v>14932</v>
      </c>
      <c r="H214" t="s">
        <v>15453</v>
      </c>
      <c r="I214" t="s">
        <v>14940</v>
      </c>
      <c r="K214" s="47" t="s">
        <v>16200</v>
      </c>
      <c r="L214" t="s">
        <v>16202</v>
      </c>
      <c r="M214" t="s">
        <v>16226</v>
      </c>
    </row>
    <row r="215" spans="1:13">
      <c r="A215" t="s">
        <v>15470</v>
      </c>
      <c r="B215" t="s">
        <v>15470</v>
      </c>
      <c r="C215" t="s">
        <v>15471</v>
      </c>
      <c r="D215" t="s">
        <v>4310</v>
      </c>
      <c r="F215" t="str">
        <f>Config!$B$7</f>
        <v>SCH/Connector.SchLib</v>
      </c>
      <c r="G215" t="s">
        <v>14932</v>
      </c>
      <c r="H215" t="s">
        <v>15453</v>
      </c>
      <c r="I215" t="s">
        <v>14941</v>
      </c>
      <c r="K215" s="47" t="s">
        <v>16201</v>
      </c>
      <c r="L215" t="s">
        <v>16209</v>
      </c>
      <c r="M215" t="s">
        <v>16226</v>
      </c>
    </row>
    <row r="216" spans="1:13">
      <c r="A216" t="s">
        <v>15472</v>
      </c>
      <c r="B216" t="s">
        <v>15472</v>
      </c>
      <c r="C216" t="s">
        <v>15473</v>
      </c>
      <c r="D216" t="s">
        <v>4310</v>
      </c>
      <c r="F216" t="str">
        <f>Config!$B$7</f>
        <v>SCH/Connector.SchLib</v>
      </c>
      <c r="G216" t="s">
        <v>14932</v>
      </c>
      <c r="H216" t="s">
        <v>15453</v>
      </c>
      <c r="I216" t="s">
        <v>14942</v>
      </c>
      <c r="K216" s="47" t="s">
        <v>16201</v>
      </c>
      <c r="L216" t="s">
        <v>16201</v>
      </c>
      <c r="M216" t="s">
        <v>16226</v>
      </c>
    </row>
    <row r="217" spans="1:13">
      <c r="A217" t="s">
        <v>15474</v>
      </c>
      <c r="B217" t="s">
        <v>15474</v>
      </c>
      <c r="C217" t="s">
        <v>15475</v>
      </c>
      <c r="D217" t="s">
        <v>4310</v>
      </c>
      <c r="F217" t="str">
        <f>Config!$B$7</f>
        <v>SCH/Connector.SchLib</v>
      </c>
      <c r="G217" t="s">
        <v>14932</v>
      </c>
      <c r="H217" t="s">
        <v>15453</v>
      </c>
      <c r="I217" t="s">
        <v>14943</v>
      </c>
      <c r="K217" s="47" t="s">
        <v>16201</v>
      </c>
      <c r="L217" t="s">
        <v>16203</v>
      </c>
      <c r="M217" t="s">
        <v>16226</v>
      </c>
    </row>
    <row r="218" spans="1:13">
      <c r="A218" t="s">
        <v>15476</v>
      </c>
      <c r="B218" t="s">
        <v>15476</v>
      </c>
      <c r="C218" t="s">
        <v>15477</v>
      </c>
      <c r="D218" t="s">
        <v>4310</v>
      </c>
      <c r="F218" t="str">
        <f>Config!$B$7</f>
        <v>SCH/Connector.SchLib</v>
      </c>
      <c r="G218" t="s">
        <v>14932</v>
      </c>
      <c r="H218" t="s">
        <v>15453</v>
      </c>
      <c r="I218" t="s">
        <v>14944</v>
      </c>
      <c r="K218" s="47" t="s">
        <v>16202</v>
      </c>
      <c r="L218" t="s">
        <v>16199</v>
      </c>
      <c r="M218" t="s">
        <v>16226</v>
      </c>
    </row>
    <row r="219" spans="1:13">
      <c r="A219" t="s">
        <v>15478</v>
      </c>
      <c r="B219" t="s">
        <v>15478</v>
      </c>
      <c r="C219" t="s">
        <v>15479</v>
      </c>
      <c r="D219" t="s">
        <v>4310</v>
      </c>
      <c r="F219" t="str">
        <f>Config!$B$7</f>
        <v>SCH/Connector.SchLib</v>
      </c>
      <c r="G219" t="s">
        <v>14932</v>
      </c>
      <c r="H219" t="s">
        <v>15453</v>
      </c>
      <c r="I219" t="s">
        <v>14945</v>
      </c>
      <c r="K219" s="47" t="s">
        <v>16202</v>
      </c>
      <c r="L219" t="s">
        <v>16200</v>
      </c>
      <c r="M219" t="s">
        <v>16226</v>
      </c>
    </row>
    <row r="220" spans="1:13">
      <c r="A220" t="s">
        <v>15480</v>
      </c>
      <c r="B220" t="s">
        <v>15480</v>
      </c>
      <c r="C220" t="s">
        <v>15481</v>
      </c>
      <c r="D220" t="s">
        <v>4310</v>
      </c>
      <c r="F220" t="str">
        <f>Config!$B$7</f>
        <v>SCH/Connector.SchLib</v>
      </c>
      <c r="G220" t="s">
        <v>14932</v>
      </c>
      <c r="H220" t="s">
        <v>15453</v>
      </c>
      <c r="I220" t="s">
        <v>14946</v>
      </c>
      <c r="K220" s="47" t="s">
        <v>16202</v>
      </c>
      <c r="L220" t="s">
        <v>16202</v>
      </c>
      <c r="M220" t="s">
        <v>16226</v>
      </c>
    </row>
    <row r="221" spans="1:13">
      <c r="A221" t="s">
        <v>15482</v>
      </c>
      <c r="B221" t="s">
        <v>15482</v>
      </c>
      <c r="C221" t="s">
        <v>15483</v>
      </c>
      <c r="D221" t="s">
        <v>4310</v>
      </c>
      <c r="F221" t="str">
        <f>Config!$B$7</f>
        <v>SCH/Connector.SchLib</v>
      </c>
      <c r="G221" t="s">
        <v>14932</v>
      </c>
      <c r="H221" t="s">
        <v>15453</v>
      </c>
      <c r="I221" t="s">
        <v>14947</v>
      </c>
      <c r="K221" s="47" t="s">
        <v>16202</v>
      </c>
      <c r="L221" t="s">
        <v>16204</v>
      </c>
      <c r="M221" t="s">
        <v>16226</v>
      </c>
    </row>
    <row r="222" spans="1:13">
      <c r="A222" t="s">
        <v>15484</v>
      </c>
      <c r="B222" t="s">
        <v>15484</v>
      </c>
      <c r="C222" t="s">
        <v>15485</v>
      </c>
      <c r="D222" t="s">
        <v>4310</v>
      </c>
      <c r="F222" t="str">
        <f>Config!$B$7</f>
        <v>SCH/Connector.SchLib</v>
      </c>
      <c r="G222" t="s">
        <v>14932</v>
      </c>
      <c r="H222" t="s">
        <v>15453</v>
      </c>
      <c r="I222" t="s">
        <v>14948</v>
      </c>
      <c r="K222" s="47" t="s">
        <v>16203</v>
      </c>
      <c r="L222" t="s">
        <v>16209</v>
      </c>
      <c r="M222" t="s">
        <v>16226</v>
      </c>
    </row>
    <row r="223" spans="1:13">
      <c r="A223" t="s">
        <v>15486</v>
      </c>
      <c r="B223" t="s">
        <v>15486</v>
      </c>
      <c r="C223" t="s">
        <v>15487</v>
      </c>
      <c r="D223" t="s">
        <v>4310</v>
      </c>
      <c r="F223" t="str">
        <f>Config!$B$7</f>
        <v>SCH/Connector.SchLib</v>
      </c>
      <c r="G223" t="s">
        <v>14932</v>
      </c>
      <c r="H223" t="s">
        <v>15453</v>
      </c>
      <c r="I223" t="s">
        <v>14949</v>
      </c>
      <c r="K223" s="47" t="s">
        <v>16203</v>
      </c>
      <c r="L223" t="s">
        <v>16201</v>
      </c>
      <c r="M223" t="s">
        <v>16226</v>
      </c>
    </row>
    <row r="224" spans="1:13">
      <c r="A224" t="s">
        <v>15488</v>
      </c>
      <c r="B224" t="s">
        <v>15488</v>
      </c>
      <c r="C224" t="s">
        <v>15489</v>
      </c>
      <c r="D224" t="s">
        <v>4310</v>
      </c>
      <c r="F224" t="str">
        <f>Config!$B$7</f>
        <v>SCH/Connector.SchLib</v>
      </c>
      <c r="G224" t="s">
        <v>14932</v>
      </c>
      <c r="H224" t="s">
        <v>15453</v>
      </c>
      <c r="I224" t="s">
        <v>14950</v>
      </c>
      <c r="K224" s="47" t="s">
        <v>16203</v>
      </c>
      <c r="L224" t="s">
        <v>16203</v>
      </c>
      <c r="M224" t="s">
        <v>16226</v>
      </c>
    </row>
    <row r="225" spans="1:13">
      <c r="A225" t="s">
        <v>15490</v>
      </c>
      <c r="B225" t="s">
        <v>15490</v>
      </c>
      <c r="C225" t="s">
        <v>15491</v>
      </c>
      <c r="D225" t="s">
        <v>4310</v>
      </c>
      <c r="F225" t="str">
        <f>Config!$B$7</f>
        <v>SCH/Connector.SchLib</v>
      </c>
      <c r="G225" t="s">
        <v>14932</v>
      </c>
      <c r="H225" t="s">
        <v>15453</v>
      </c>
      <c r="I225" t="s">
        <v>14951</v>
      </c>
      <c r="K225" s="47" t="s">
        <v>16203</v>
      </c>
      <c r="L225" t="s">
        <v>16206</v>
      </c>
      <c r="M225" t="s">
        <v>16226</v>
      </c>
    </row>
    <row r="226" spans="1:13">
      <c r="A226" t="s">
        <v>15492</v>
      </c>
      <c r="B226" t="s">
        <v>15492</v>
      </c>
      <c r="C226" t="s">
        <v>15493</v>
      </c>
      <c r="D226" t="s">
        <v>4310</v>
      </c>
      <c r="F226" t="str">
        <f>Config!$B$7</f>
        <v>SCH/Connector.SchLib</v>
      </c>
      <c r="G226" t="s">
        <v>14932</v>
      </c>
      <c r="H226" t="s">
        <v>15453</v>
      </c>
      <c r="I226" t="s">
        <v>14952</v>
      </c>
      <c r="K226" s="47" t="s">
        <v>16204</v>
      </c>
      <c r="L226" t="s">
        <v>16210</v>
      </c>
      <c r="M226" t="s">
        <v>16226</v>
      </c>
    </row>
    <row r="227" spans="1:13">
      <c r="A227" t="s">
        <v>15494</v>
      </c>
      <c r="B227" t="s">
        <v>15494</v>
      </c>
      <c r="C227" t="s">
        <v>15495</v>
      </c>
      <c r="D227" t="s">
        <v>4310</v>
      </c>
      <c r="F227" t="str">
        <f>Config!$B$7</f>
        <v>SCH/Connector.SchLib</v>
      </c>
      <c r="G227" t="s">
        <v>14932</v>
      </c>
      <c r="H227" t="s">
        <v>15453</v>
      </c>
      <c r="I227" t="s">
        <v>14953</v>
      </c>
      <c r="K227" s="47" t="s">
        <v>16204</v>
      </c>
      <c r="L227" t="s">
        <v>16200</v>
      </c>
      <c r="M227" t="s">
        <v>16226</v>
      </c>
    </row>
    <row r="228" spans="1:13">
      <c r="A228" t="s">
        <v>15496</v>
      </c>
      <c r="B228" t="s">
        <v>15496</v>
      </c>
      <c r="C228" t="s">
        <v>15497</v>
      </c>
      <c r="D228" t="s">
        <v>4310</v>
      </c>
      <c r="F228" t="str">
        <f>Config!$B$7</f>
        <v>SCH/Connector.SchLib</v>
      </c>
      <c r="G228" t="s">
        <v>14932</v>
      </c>
      <c r="H228" t="s">
        <v>15453</v>
      </c>
      <c r="I228" t="s">
        <v>14954</v>
      </c>
      <c r="K228" s="47" t="s">
        <v>16204</v>
      </c>
      <c r="L228" t="s">
        <v>16202</v>
      </c>
      <c r="M228" t="s">
        <v>16226</v>
      </c>
    </row>
    <row r="229" spans="1:13">
      <c r="A229" t="s">
        <v>15498</v>
      </c>
      <c r="B229" t="s">
        <v>15498</v>
      </c>
      <c r="C229" t="s">
        <v>15499</v>
      </c>
      <c r="D229" t="s">
        <v>4310</v>
      </c>
      <c r="F229" t="str">
        <f>Config!$B$7</f>
        <v>SCH/Connector.SchLib</v>
      </c>
      <c r="G229" t="s">
        <v>14932</v>
      </c>
      <c r="H229" t="s">
        <v>15453</v>
      </c>
      <c r="I229" t="s">
        <v>14955</v>
      </c>
      <c r="K229" s="47" t="s">
        <v>16204</v>
      </c>
      <c r="L229" t="s">
        <v>16204</v>
      </c>
      <c r="M229" t="s">
        <v>16226</v>
      </c>
    </row>
    <row r="230" spans="1:13">
      <c r="A230" t="s">
        <v>15500</v>
      </c>
      <c r="B230" t="s">
        <v>15500</v>
      </c>
      <c r="C230" t="s">
        <v>15501</v>
      </c>
      <c r="D230" t="s">
        <v>4310</v>
      </c>
      <c r="F230" t="str">
        <f>Config!$B$7</f>
        <v>SCH/Connector.SchLib</v>
      </c>
      <c r="G230" t="s">
        <v>14932</v>
      </c>
      <c r="H230" t="s">
        <v>15453</v>
      </c>
      <c r="I230" t="s">
        <v>14956</v>
      </c>
      <c r="K230" s="47" t="s">
        <v>16204</v>
      </c>
      <c r="L230" t="s">
        <v>16207</v>
      </c>
      <c r="M230" t="s">
        <v>16226</v>
      </c>
    </row>
    <row r="231" spans="1:13">
      <c r="A231" t="s">
        <v>15502</v>
      </c>
      <c r="B231" t="s">
        <v>15502</v>
      </c>
      <c r="C231" t="s">
        <v>15503</v>
      </c>
      <c r="D231" t="s">
        <v>4310</v>
      </c>
      <c r="F231" t="str">
        <f>Config!$B$7</f>
        <v>SCH/Connector.SchLib</v>
      </c>
      <c r="G231" t="s">
        <v>14932</v>
      </c>
      <c r="H231" t="s">
        <v>15453</v>
      </c>
      <c r="I231" t="s">
        <v>14957</v>
      </c>
      <c r="K231" s="47" t="s">
        <v>16205</v>
      </c>
      <c r="L231" t="s">
        <v>16199</v>
      </c>
      <c r="M231" t="s">
        <v>16226</v>
      </c>
    </row>
    <row r="232" spans="1:13">
      <c r="A232" t="s">
        <v>16035</v>
      </c>
      <c r="B232" t="s">
        <v>16035</v>
      </c>
      <c r="C232" t="s">
        <v>16036</v>
      </c>
      <c r="D232" t="s">
        <v>4310</v>
      </c>
      <c r="F232" t="str">
        <f>Config!$B$7</f>
        <v>SCH/Connector.SchLib</v>
      </c>
      <c r="G232" t="s">
        <v>14932</v>
      </c>
      <c r="H232" t="s">
        <v>15453</v>
      </c>
      <c r="I232" t="s">
        <v>15695</v>
      </c>
      <c r="K232" s="47" t="s">
        <v>16205</v>
      </c>
      <c r="L232" t="s">
        <v>16200</v>
      </c>
      <c r="M232" t="s">
        <v>16226</v>
      </c>
    </row>
    <row r="233" spans="1:13">
      <c r="A233" t="s">
        <v>15504</v>
      </c>
      <c r="B233" t="s">
        <v>15504</v>
      </c>
      <c r="C233" t="s">
        <v>15505</v>
      </c>
      <c r="D233" t="s">
        <v>4310</v>
      </c>
      <c r="F233" t="str">
        <f>Config!$B$7</f>
        <v>SCH/Connector.SchLib</v>
      </c>
      <c r="G233" t="s">
        <v>14932</v>
      </c>
      <c r="H233" t="s">
        <v>15453</v>
      </c>
      <c r="I233" t="s">
        <v>14958</v>
      </c>
      <c r="K233" s="47" t="s">
        <v>16205</v>
      </c>
      <c r="L233" t="s">
        <v>16211</v>
      </c>
      <c r="M233" t="s">
        <v>16226</v>
      </c>
    </row>
    <row r="234" spans="1:13">
      <c r="A234" t="s">
        <v>15506</v>
      </c>
      <c r="B234" t="s">
        <v>15506</v>
      </c>
      <c r="C234" t="s">
        <v>15507</v>
      </c>
      <c r="D234" t="s">
        <v>4310</v>
      </c>
      <c r="F234" t="str">
        <f>Config!$B$7</f>
        <v>SCH/Connector.SchLib</v>
      </c>
      <c r="G234" t="s">
        <v>14932</v>
      </c>
      <c r="H234" t="s">
        <v>15453</v>
      </c>
      <c r="I234" t="s">
        <v>14959</v>
      </c>
      <c r="K234" s="47" t="s">
        <v>16205</v>
      </c>
      <c r="L234" t="s">
        <v>16212</v>
      </c>
      <c r="M234" t="s">
        <v>16226</v>
      </c>
    </row>
    <row r="235" spans="1:13">
      <c r="A235" t="s">
        <v>15508</v>
      </c>
      <c r="B235" t="s">
        <v>15508</v>
      </c>
      <c r="C235" t="s">
        <v>15509</v>
      </c>
      <c r="D235" t="s">
        <v>4310</v>
      </c>
      <c r="F235" t="str">
        <f>Config!$B$7</f>
        <v>SCH/Connector.SchLib</v>
      </c>
      <c r="G235" t="s">
        <v>14932</v>
      </c>
      <c r="H235" t="s">
        <v>15453</v>
      </c>
      <c r="I235" t="s">
        <v>14960</v>
      </c>
      <c r="K235" s="47" t="s">
        <v>16205</v>
      </c>
      <c r="L235" t="s">
        <v>16205</v>
      </c>
      <c r="M235" t="s">
        <v>16226</v>
      </c>
    </row>
    <row r="236" spans="1:13">
      <c r="A236" t="s">
        <v>15510</v>
      </c>
      <c r="B236" t="s">
        <v>15510</v>
      </c>
      <c r="C236" t="s">
        <v>15511</v>
      </c>
      <c r="D236" t="s">
        <v>4310</v>
      </c>
      <c r="F236" t="str">
        <f>Config!$B$7</f>
        <v>SCH/Connector.SchLib</v>
      </c>
      <c r="G236" t="s">
        <v>14932</v>
      </c>
      <c r="H236" t="s">
        <v>15453</v>
      </c>
      <c r="I236" t="s">
        <v>14961</v>
      </c>
      <c r="K236" s="47" t="s">
        <v>16205</v>
      </c>
      <c r="L236" t="s">
        <v>16213</v>
      </c>
      <c r="M236" t="s">
        <v>16226</v>
      </c>
    </row>
    <row r="237" spans="1:13">
      <c r="A237" t="s">
        <v>16037</v>
      </c>
      <c r="B237" t="s">
        <v>16037</v>
      </c>
      <c r="C237" t="s">
        <v>16038</v>
      </c>
      <c r="D237" t="s">
        <v>4310</v>
      </c>
      <c r="F237" t="str">
        <f>Config!$B$7</f>
        <v>SCH/Connector.SchLib</v>
      </c>
      <c r="G237" t="s">
        <v>14932</v>
      </c>
      <c r="H237" t="s">
        <v>15453</v>
      </c>
      <c r="I237" t="s">
        <v>15698</v>
      </c>
      <c r="K237" s="47" t="s">
        <v>16206</v>
      </c>
      <c r="L237" t="s">
        <v>16214</v>
      </c>
      <c r="M237" t="s">
        <v>16226</v>
      </c>
    </row>
    <row r="238" spans="1:13">
      <c r="A238" t="s">
        <v>16039</v>
      </c>
      <c r="B238" t="s">
        <v>16039</v>
      </c>
      <c r="C238" t="s">
        <v>16040</v>
      </c>
      <c r="D238" t="s">
        <v>4310</v>
      </c>
      <c r="F238" t="str">
        <f>Config!$B$7</f>
        <v>SCH/Connector.SchLib</v>
      </c>
      <c r="G238" t="s">
        <v>14932</v>
      </c>
      <c r="H238" t="s">
        <v>15453</v>
      </c>
      <c r="I238" t="s">
        <v>15699</v>
      </c>
      <c r="K238" s="47" t="s">
        <v>16206</v>
      </c>
      <c r="L238" t="s">
        <v>16200</v>
      </c>
      <c r="M238" t="s">
        <v>16226</v>
      </c>
    </row>
    <row r="239" spans="1:13">
      <c r="A239" t="s">
        <v>16041</v>
      </c>
      <c r="B239" t="s">
        <v>16041</v>
      </c>
      <c r="C239" t="s">
        <v>16042</v>
      </c>
      <c r="D239" t="s">
        <v>4310</v>
      </c>
      <c r="F239" t="str">
        <f>Config!$B$7</f>
        <v>SCH/Connector.SchLib</v>
      </c>
      <c r="G239" t="s">
        <v>14932</v>
      </c>
      <c r="H239" t="s">
        <v>15453</v>
      </c>
      <c r="I239" t="s">
        <v>15700</v>
      </c>
      <c r="K239" s="47" t="s">
        <v>16206</v>
      </c>
      <c r="L239" t="s">
        <v>16201</v>
      </c>
      <c r="M239" t="s">
        <v>16226</v>
      </c>
    </row>
    <row r="240" spans="1:13">
      <c r="A240" t="s">
        <v>16043</v>
      </c>
      <c r="B240" t="s">
        <v>16043</v>
      </c>
      <c r="C240" t="s">
        <v>16044</v>
      </c>
      <c r="D240" t="s">
        <v>4310</v>
      </c>
      <c r="F240" t="str">
        <f>Config!$B$7</f>
        <v>SCH/Connector.SchLib</v>
      </c>
      <c r="G240" t="s">
        <v>14932</v>
      </c>
      <c r="H240" t="s">
        <v>15453</v>
      </c>
      <c r="I240" t="s">
        <v>15701</v>
      </c>
      <c r="K240" s="47" t="s">
        <v>16206</v>
      </c>
      <c r="L240" t="s">
        <v>16203</v>
      </c>
      <c r="M240" t="s">
        <v>16226</v>
      </c>
    </row>
    <row r="241" spans="1:13">
      <c r="A241" t="s">
        <v>16045</v>
      </c>
      <c r="B241" t="s">
        <v>16045</v>
      </c>
      <c r="C241" t="s">
        <v>16046</v>
      </c>
      <c r="D241" t="s">
        <v>4310</v>
      </c>
      <c r="F241" t="str">
        <f>Config!$B$7</f>
        <v>SCH/Connector.SchLib</v>
      </c>
      <c r="G241" t="s">
        <v>14932</v>
      </c>
      <c r="H241" t="s">
        <v>15453</v>
      </c>
      <c r="I241" t="s">
        <v>15702</v>
      </c>
      <c r="K241" s="47" t="s">
        <v>16206</v>
      </c>
      <c r="L241" t="s">
        <v>16206</v>
      </c>
      <c r="M241" t="s">
        <v>16226</v>
      </c>
    </row>
    <row r="242" spans="1:13">
      <c r="A242" t="s">
        <v>16047</v>
      </c>
      <c r="B242" t="s">
        <v>16047</v>
      </c>
      <c r="C242" t="s">
        <v>16048</v>
      </c>
      <c r="D242" t="s">
        <v>4310</v>
      </c>
      <c r="F242" t="str">
        <f>Config!$B$7</f>
        <v>SCH/Connector.SchLib</v>
      </c>
      <c r="G242" t="s">
        <v>14932</v>
      </c>
      <c r="H242" t="s">
        <v>15453</v>
      </c>
      <c r="I242" t="s">
        <v>15703</v>
      </c>
      <c r="K242" s="47" t="s">
        <v>16206</v>
      </c>
      <c r="L242" t="s">
        <v>16215</v>
      </c>
      <c r="M242" t="s">
        <v>16226</v>
      </c>
    </row>
    <row r="243" spans="1:13">
      <c r="A243" t="s">
        <v>16049</v>
      </c>
      <c r="B243" t="s">
        <v>16049</v>
      </c>
      <c r="C243" t="s">
        <v>16050</v>
      </c>
      <c r="D243" t="s">
        <v>4310</v>
      </c>
      <c r="F243" t="str">
        <f>Config!$B$7</f>
        <v>SCH/Connector.SchLib</v>
      </c>
      <c r="G243" t="s">
        <v>14932</v>
      </c>
      <c r="H243" t="s">
        <v>15453</v>
      </c>
      <c r="I243" t="s">
        <v>15704</v>
      </c>
      <c r="K243" s="47" t="s">
        <v>16207</v>
      </c>
      <c r="L243" t="s">
        <v>16199</v>
      </c>
      <c r="M243" t="s">
        <v>16226</v>
      </c>
    </row>
    <row r="244" spans="1:13">
      <c r="A244" t="s">
        <v>16051</v>
      </c>
      <c r="B244" t="s">
        <v>16051</v>
      </c>
      <c r="C244" t="s">
        <v>16052</v>
      </c>
      <c r="D244" t="s">
        <v>4310</v>
      </c>
      <c r="F244" t="str">
        <f>Config!$B$7</f>
        <v>SCH/Connector.SchLib</v>
      </c>
      <c r="G244" t="s">
        <v>14932</v>
      </c>
      <c r="H244" t="s">
        <v>15453</v>
      </c>
      <c r="I244" t="s">
        <v>15705</v>
      </c>
      <c r="K244" s="47" t="s">
        <v>16207</v>
      </c>
      <c r="L244" t="s">
        <v>16216</v>
      </c>
      <c r="M244" t="s">
        <v>16226</v>
      </c>
    </row>
    <row r="245" spans="1:13">
      <c r="A245" t="s">
        <v>16053</v>
      </c>
      <c r="B245" t="s">
        <v>16053</v>
      </c>
      <c r="C245" t="s">
        <v>16054</v>
      </c>
      <c r="D245" t="s">
        <v>4310</v>
      </c>
      <c r="F245" t="str">
        <f>Config!$B$7</f>
        <v>SCH/Connector.SchLib</v>
      </c>
      <c r="G245" t="s">
        <v>14932</v>
      </c>
      <c r="H245" t="s">
        <v>15453</v>
      </c>
      <c r="I245" t="s">
        <v>15706</v>
      </c>
      <c r="K245" s="47" t="s">
        <v>16207</v>
      </c>
      <c r="L245" t="s">
        <v>16200</v>
      </c>
      <c r="M245" t="s">
        <v>16226</v>
      </c>
    </row>
    <row r="246" spans="1:13">
      <c r="A246" t="s">
        <v>16055</v>
      </c>
      <c r="B246" t="s">
        <v>16055</v>
      </c>
      <c r="C246" t="s">
        <v>16056</v>
      </c>
      <c r="D246" t="s">
        <v>4310</v>
      </c>
      <c r="F246" t="str">
        <f>Config!$B$7</f>
        <v>SCH/Connector.SchLib</v>
      </c>
      <c r="G246" t="s">
        <v>14932</v>
      </c>
      <c r="H246" t="s">
        <v>15453</v>
      </c>
      <c r="I246" t="s">
        <v>15707</v>
      </c>
      <c r="K246" s="47" t="s">
        <v>16207</v>
      </c>
      <c r="L246" t="s">
        <v>16202</v>
      </c>
      <c r="M246" t="s">
        <v>16226</v>
      </c>
    </row>
    <row r="247" spans="1:13">
      <c r="A247" t="s">
        <v>16057</v>
      </c>
      <c r="B247" t="s">
        <v>16057</v>
      </c>
      <c r="C247" t="s">
        <v>16058</v>
      </c>
      <c r="D247" t="s">
        <v>4310</v>
      </c>
      <c r="F247" t="str">
        <f>Config!$B$7</f>
        <v>SCH/Connector.SchLib</v>
      </c>
      <c r="G247" t="s">
        <v>14932</v>
      </c>
      <c r="H247" t="s">
        <v>15453</v>
      </c>
      <c r="I247" t="s">
        <v>15708</v>
      </c>
      <c r="K247" s="47" t="s">
        <v>16207</v>
      </c>
      <c r="L247" t="s">
        <v>16204</v>
      </c>
      <c r="M247" t="s">
        <v>16226</v>
      </c>
    </row>
    <row r="248" spans="1:13">
      <c r="A248" t="s">
        <v>16059</v>
      </c>
      <c r="B248" t="s">
        <v>16059</v>
      </c>
      <c r="C248" t="s">
        <v>16060</v>
      </c>
      <c r="D248" t="s">
        <v>4310</v>
      </c>
      <c r="F248" t="str">
        <f>Config!$B$7</f>
        <v>SCH/Connector.SchLib</v>
      </c>
      <c r="G248" t="s">
        <v>14932</v>
      </c>
      <c r="H248" t="s">
        <v>15453</v>
      </c>
      <c r="I248" t="s">
        <v>15709</v>
      </c>
      <c r="K248" s="47" t="s">
        <v>16207</v>
      </c>
      <c r="L248" t="s">
        <v>16207</v>
      </c>
      <c r="M248" t="s">
        <v>16226</v>
      </c>
    </row>
    <row r="249" spans="1:13">
      <c r="A249" t="s">
        <v>16061</v>
      </c>
      <c r="B249" t="s">
        <v>16061</v>
      </c>
      <c r="C249" t="s">
        <v>16062</v>
      </c>
      <c r="D249" t="s">
        <v>4310</v>
      </c>
      <c r="F249" t="str">
        <f>Config!$B$7</f>
        <v>SCH/Connector.SchLib</v>
      </c>
      <c r="G249" t="s">
        <v>14932</v>
      </c>
      <c r="H249" t="s">
        <v>15453</v>
      </c>
      <c r="I249" t="s">
        <v>15710</v>
      </c>
      <c r="K249" s="47" t="s">
        <v>16207</v>
      </c>
      <c r="L249" t="s">
        <v>16217</v>
      </c>
      <c r="M249" t="s">
        <v>16226</v>
      </c>
    </row>
    <row r="250" spans="1:13">
      <c r="A250" t="s">
        <v>16063</v>
      </c>
      <c r="B250" t="s">
        <v>16063</v>
      </c>
      <c r="C250" t="s">
        <v>16064</v>
      </c>
      <c r="D250" t="s">
        <v>4310</v>
      </c>
      <c r="F250" t="str">
        <f>Config!$B$7</f>
        <v>SCH/Connector.SchLib</v>
      </c>
      <c r="G250" t="s">
        <v>14932</v>
      </c>
      <c r="H250" t="s">
        <v>15453</v>
      </c>
      <c r="I250" t="s">
        <v>15711</v>
      </c>
      <c r="K250" s="47" t="s">
        <v>16208</v>
      </c>
      <c r="L250" t="s">
        <v>16199</v>
      </c>
      <c r="M250" t="s">
        <v>16226</v>
      </c>
    </row>
    <row r="251" spans="1:13">
      <c r="A251" t="s">
        <v>16065</v>
      </c>
      <c r="B251" t="s">
        <v>16065</v>
      </c>
      <c r="C251" t="s">
        <v>16066</v>
      </c>
      <c r="D251" t="s">
        <v>4310</v>
      </c>
      <c r="F251" t="str">
        <f>Config!$B$7</f>
        <v>SCH/Connector.SchLib</v>
      </c>
      <c r="G251" t="s">
        <v>14932</v>
      </c>
      <c r="H251" t="s">
        <v>15453</v>
      </c>
      <c r="I251" t="s">
        <v>15712</v>
      </c>
      <c r="K251" s="47" t="s">
        <v>16208</v>
      </c>
      <c r="L251" t="s">
        <v>16200</v>
      </c>
      <c r="M251" t="s">
        <v>16226</v>
      </c>
    </row>
    <row r="252" spans="1:13">
      <c r="A252" t="s">
        <v>16067</v>
      </c>
      <c r="B252" t="s">
        <v>16067</v>
      </c>
      <c r="C252" t="s">
        <v>16068</v>
      </c>
      <c r="D252" t="s">
        <v>4310</v>
      </c>
      <c r="F252" t="str">
        <f>Config!$B$7</f>
        <v>SCH/Connector.SchLib</v>
      </c>
      <c r="G252" t="s">
        <v>14932</v>
      </c>
      <c r="H252" t="s">
        <v>15453</v>
      </c>
      <c r="I252" t="s">
        <v>15713</v>
      </c>
      <c r="K252" s="47" t="s">
        <v>16208</v>
      </c>
      <c r="L252" t="s">
        <v>16212</v>
      </c>
      <c r="M252" t="s">
        <v>16226</v>
      </c>
    </row>
    <row r="253" spans="1:13">
      <c r="A253" t="s">
        <v>16069</v>
      </c>
      <c r="B253" t="s">
        <v>16069</v>
      </c>
      <c r="C253" t="s">
        <v>16070</v>
      </c>
      <c r="D253" t="s">
        <v>4310</v>
      </c>
      <c r="F253" t="str">
        <f>Config!$B$7</f>
        <v>SCH/Connector.SchLib</v>
      </c>
      <c r="G253" t="s">
        <v>14932</v>
      </c>
      <c r="H253" t="s">
        <v>15453</v>
      </c>
      <c r="I253" t="s">
        <v>15714</v>
      </c>
      <c r="K253" s="47" t="s">
        <v>16208</v>
      </c>
      <c r="L253" t="s">
        <v>16205</v>
      </c>
      <c r="M253" t="s">
        <v>16226</v>
      </c>
    </row>
    <row r="254" spans="1:13">
      <c r="A254" t="s">
        <v>16071</v>
      </c>
      <c r="B254" t="s">
        <v>16071</v>
      </c>
      <c r="C254" t="s">
        <v>16072</v>
      </c>
      <c r="D254" t="s">
        <v>4310</v>
      </c>
      <c r="F254" t="str">
        <f>Config!$B$7</f>
        <v>SCH/Connector.SchLib</v>
      </c>
      <c r="G254" t="s">
        <v>14932</v>
      </c>
      <c r="H254" t="s">
        <v>15453</v>
      </c>
      <c r="I254" t="s">
        <v>15715</v>
      </c>
      <c r="K254" s="47" t="s">
        <v>16208</v>
      </c>
      <c r="L254" t="s">
        <v>16213</v>
      </c>
      <c r="M254" t="s">
        <v>16226</v>
      </c>
    </row>
    <row r="255" spans="1:13">
      <c r="A255" t="s">
        <v>16073</v>
      </c>
      <c r="B255" t="s">
        <v>16073</v>
      </c>
      <c r="C255" t="s">
        <v>16074</v>
      </c>
      <c r="D255" t="s">
        <v>4310</v>
      </c>
      <c r="F255" t="str">
        <f>Config!$B$7</f>
        <v>SCH/Connector.SchLib</v>
      </c>
      <c r="G255" t="s">
        <v>14932</v>
      </c>
      <c r="H255" t="s">
        <v>15453</v>
      </c>
      <c r="I255" t="s">
        <v>15716</v>
      </c>
      <c r="K255" s="47" t="s">
        <v>16208</v>
      </c>
      <c r="L255" t="s">
        <v>16218</v>
      </c>
      <c r="M255" t="s">
        <v>16226</v>
      </c>
    </row>
    <row r="257" spans="1:13">
      <c r="A257" t="s">
        <v>15390</v>
      </c>
      <c r="B257" t="s">
        <v>15390</v>
      </c>
      <c r="C257" t="s">
        <v>15391</v>
      </c>
      <c r="D257" t="s">
        <v>4310</v>
      </c>
      <c r="F257" t="str">
        <f>Config!$B$7</f>
        <v>SCH/Connector.SchLib</v>
      </c>
      <c r="G257" t="s">
        <v>14932</v>
      </c>
      <c r="H257" t="s">
        <v>15392</v>
      </c>
      <c r="I257" t="s">
        <v>14962</v>
      </c>
      <c r="K257" s="47" t="s">
        <v>16198</v>
      </c>
      <c r="L257" t="s">
        <v>16198</v>
      </c>
      <c r="M257" t="s">
        <v>16227</v>
      </c>
    </row>
    <row r="258" spans="1:13">
      <c r="A258" t="s">
        <v>15393</v>
      </c>
      <c r="B258" t="s">
        <v>15393</v>
      </c>
      <c r="C258" t="s">
        <v>15394</v>
      </c>
      <c r="D258" t="s">
        <v>4310</v>
      </c>
      <c r="F258" t="str">
        <f>Config!$B$7</f>
        <v>SCH/Connector.SchLib</v>
      </c>
      <c r="G258" t="s">
        <v>14932</v>
      </c>
      <c r="H258" t="s">
        <v>15392</v>
      </c>
      <c r="I258" t="s">
        <v>14963</v>
      </c>
      <c r="K258" s="47" t="s">
        <v>16198</v>
      </c>
      <c r="L258" t="s">
        <v>16199</v>
      </c>
      <c r="M258" t="s">
        <v>16227</v>
      </c>
    </row>
    <row r="259" spans="1:13">
      <c r="A259" t="s">
        <v>15395</v>
      </c>
      <c r="B259" t="s">
        <v>15395</v>
      </c>
      <c r="C259" t="s">
        <v>15396</v>
      </c>
      <c r="D259" t="s">
        <v>4310</v>
      </c>
      <c r="F259" t="str">
        <f>Config!$B$7</f>
        <v>SCH/Connector.SchLib</v>
      </c>
      <c r="G259" t="s">
        <v>14932</v>
      </c>
      <c r="H259" t="s">
        <v>15392</v>
      </c>
      <c r="I259" t="s">
        <v>14934</v>
      </c>
      <c r="K259" s="47" t="s">
        <v>16199</v>
      </c>
      <c r="L259" t="s">
        <v>16198</v>
      </c>
      <c r="M259" t="s">
        <v>16227</v>
      </c>
    </row>
    <row r="260" spans="1:13">
      <c r="A260" t="s">
        <v>15397</v>
      </c>
      <c r="B260" t="s">
        <v>15397</v>
      </c>
      <c r="C260" t="s">
        <v>15398</v>
      </c>
      <c r="D260" t="s">
        <v>4310</v>
      </c>
      <c r="F260" t="str">
        <f>Config!$B$7</f>
        <v>SCH/Connector.SchLib</v>
      </c>
      <c r="G260" t="s">
        <v>14932</v>
      </c>
      <c r="H260" t="s">
        <v>15392</v>
      </c>
      <c r="I260" t="s">
        <v>14935</v>
      </c>
      <c r="K260" s="47" t="s">
        <v>16199</v>
      </c>
      <c r="L260" t="s">
        <v>16199</v>
      </c>
      <c r="M260" t="s">
        <v>16227</v>
      </c>
    </row>
    <row r="261" spans="1:13">
      <c r="A261" t="s">
        <v>15399</v>
      </c>
      <c r="B261" t="s">
        <v>15399</v>
      </c>
      <c r="C261" t="s">
        <v>15400</v>
      </c>
      <c r="D261" t="s">
        <v>4310</v>
      </c>
      <c r="F261" t="str">
        <f>Config!$B$7</f>
        <v>SCH/Connector.SchLib</v>
      </c>
      <c r="G261" t="s">
        <v>14932</v>
      </c>
      <c r="H261" t="s">
        <v>15392</v>
      </c>
      <c r="I261" t="s">
        <v>14936</v>
      </c>
      <c r="K261" s="47" t="s">
        <v>16199</v>
      </c>
      <c r="L261" t="s">
        <v>16200</v>
      </c>
      <c r="M261" t="s">
        <v>16227</v>
      </c>
    </row>
    <row r="262" spans="1:13">
      <c r="A262" t="s">
        <v>15401</v>
      </c>
      <c r="B262" t="s">
        <v>15401</v>
      </c>
      <c r="C262" t="s">
        <v>15402</v>
      </c>
      <c r="D262" t="s">
        <v>4310</v>
      </c>
      <c r="F262" t="str">
        <f>Config!$B$7</f>
        <v>SCH/Connector.SchLib</v>
      </c>
      <c r="G262" t="s">
        <v>14932</v>
      </c>
      <c r="H262" t="s">
        <v>15392</v>
      </c>
      <c r="I262" t="s">
        <v>14937</v>
      </c>
      <c r="K262" s="47" t="s">
        <v>16200</v>
      </c>
      <c r="L262" t="s">
        <v>16198</v>
      </c>
      <c r="M262" t="s">
        <v>16227</v>
      </c>
    </row>
    <row r="263" spans="1:13">
      <c r="A263" t="s">
        <v>15403</v>
      </c>
      <c r="B263" t="s">
        <v>15403</v>
      </c>
      <c r="C263" t="s">
        <v>15404</v>
      </c>
      <c r="D263" t="s">
        <v>4310</v>
      </c>
      <c r="F263" t="str">
        <f>Config!$B$7</f>
        <v>SCH/Connector.SchLib</v>
      </c>
      <c r="G263" t="s">
        <v>14932</v>
      </c>
      <c r="H263" t="s">
        <v>15392</v>
      </c>
      <c r="I263" t="s">
        <v>14938</v>
      </c>
      <c r="K263" s="47" t="s">
        <v>16200</v>
      </c>
      <c r="L263" t="s">
        <v>16199</v>
      </c>
      <c r="M263" t="s">
        <v>16227</v>
      </c>
    </row>
    <row r="264" spans="1:13">
      <c r="A264" t="s">
        <v>15405</v>
      </c>
      <c r="B264" t="s">
        <v>15405</v>
      </c>
      <c r="C264" t="s">
        <v>15406</v>
      </c>
      <c r="D264" t="s">
        <v>4310</v>
      </c>
      <c r="F264" t="str">
        <f>Config!$B$7</f>
        <v>SCH/Connector.SchLib</v>
      </c>
      <c r="G264" t="s">
        <v>14932</v>
      </c>
      <c r="H264" t="s">
        <v>15392</v>
      </c>
      <c r="I264" t="s">
        <v>14939</v>
      </c>
      <c r="K264" s="47" t="s">
        <v>16200</v>
      </c>
      <c r="L264" t="s">
        <v>16200</v>
      </c>
      <c r="M264" t="s">
        <v>16227</v>
      </c>
    </row>
    <row r="265" spans="1:13">
      <c r="A265" t="s">
        <v>15407</v>
      </c>
      <c r="B265" t="s">
        <v>15407</v>
      </c>
      <c r="C265" t="s">
        <v>15408</v>
      </c>
      <c r="D265" t="s">
        <v>4310</v>
      </c>
      <c r="F265" t="str">
        <f>Config!$B$7</f>
        <v>SCH/Connector.SchLib</v>
      </c>
      <c r="G265" t="s">
        <v>14932</v>
      </c>
      <c r="H265" t="s">
        <v>15392</v>
      </c>
      <c r="I265" t="s">
        <v>14940</v>
      </c>
      <c r="K265" s="47" t="s">
        <v>16200</v>
      </c>
      <c r="L265" t="s">
        <v>16202</v>
      </c>
      <c r="M265" t="s">
        <v>16227</v>
      </c>
    </row>
    <row r="266" spans="1:13">
      <c r="A266" t="s">
        <v>15409</v>
      </c>
      <c r="B266" t="s">
        <v>15409</v>
      </c>
      <c r="C266" t="s">
        <v>15410</v>
      </c>
      <c r="D266" t="s">
        <v>4310</v>
      </c>
      <c r="F266" t="str">
        <f>Config!$B$7</f>
        <v>SCH/Connector.SchLib</v>
      </c>
      <c r="G266" t="s">
        <v>14932</v>
      </c>
      <c r="H266" t="s">
        <v>15392</v>
      </c>
      <c r="I266" t="s">
        <v>14941</v>
      </c>
      <c r="K266" s="47" t="s">
        <v>16201</v>
      </c>
      <c r="L266" t="s">
        <v>16209</v>
      </c>
      <c r="M266" t="s">
        <v>16227</v>
      </c>
    </row>
    <row r="267" spans="1:13">
      <c r="A267" t="s">
        <v>15411</v>
      </c>
      <c r="B267" t="s">
        <v>15411</v>
      </c>
      <c r="C267" t="s">
        <v>15412</v>
      </c>
      <c r="D267" t="s">
        <v>4310</v>
      </c>
      <c r="F267" t="str">
        <f>Config!$B$7</f>
        <v>SCH/Connector.SchLib</v>
      </c>
      <c r="G267" t="s">
        <v>14932</v>
      </c>
      <c r="H267" t="s">
        <v>15392</v>
      </c>
      <c r="I267" t="s">
        <v>14942</v>
      </c>
      <c r="K267" s="47" t="s">
        <v>16201</v>
      </c>
      <c r="L267" t="s">
        <v>16201</v>
      </c>
      <c r="M267" t="s">
        <v>16227</v>
      </c>
    </row>
    <row r="268" spans="1:13">
      <c r="A268" t="s">
        <v>15413</v>
      </c>
      <c r="B268" t="s">
        <v>15413</v>
      </c>
      <c r="C268" t="s">
        <v>15414</v>
      </c>
      <c r="D268" t="s">
        <v>4310</v>
      </c>
      <c r="F268" t="str">
        <f>Config!$B$7</f>
        <v>SCH/Connector.SchLib</v>
      </c>
      <c r="G268" t="s">
        <v>14932</v>
      </c>
      <c r="H268" t="s">
        <v>15392</v>
      </c>
      <c r="I268" t="s">
        <v>14943</v>
      </c>
      <c r="K268" s="47" t="s">
        <v>16201</v>
      </c>
      <c r="L268" t="s">
        <v>16203</v>
      </c>
      <c r="M268" t="s">
        <v>16227</v>
      </c>
    </row>
    <row r="269" spans="1:13">
      <c r="A269" t="s">
        <v>15415</v>
      </c>
      <c r="B269" t="s">
        <v>15415</v>
      </c>
      <c r="C269" t="s">
        <v>15416</v>
      </c>
      <c r="D269" t="s">
        <v>4310</v>
      </c>
      <c r="F269" t="str">
        <f>Config!$B$7</f>
        <v>SCH/Connector.SchLib</v>
      </c>
      <c r="G269" t="s">
        <v>14932</v>
      </c>
      <c r="H269" t="s">
        <v>15392</v>
      </c>
      <c r="I269" t="s">
        <v>14944</v>
      </c>
      <c r="K269" s="47" t="s">
        <v>16202</v>
      </c>
      <c r="L269" t="s">
        <v>16199</v>
      </c>
      <c r="M269" t="s">
        <v>16227</v>
      </c>
    </row>
    <row r="270" spans="1:13">
      <c r="A270" t="s">
        <v>15417</v>
      </c>
      <c r="B270" t="s">
        <v>15417</v>
      </c>
      <c r="C270" t="s">
        <v>15418</v>
      </c>
      <c r="D270" t="s">
        <v>4310</v>
      </c>
      <c r="F270" t="str">
        <f>Config!$B$7</f>
        <v>SCH/Connector.SchLib</v>
      </c>
      <c r="G270" t="s">
        <v>14932</v>
      </c>
      <c r="H270" t="s">
        <v>15392</v>
      </c>
      <c r="I270" t="s">
        <v>14945</v>
      </c>
      <c r="K270" s="47" t="s">
        <v>16202</v>
      </c>
      <c r="L270" t="s">
        <v>16200</v>
      </c>
      <c r="M270" t="s">
        <v>16227</v>
      </c>
    </row>
    <row r="271" spans="1:13">
      <c r="A271" t="s">
        <v>15419</v>
      </c>
      <c r="B271" t="s">
        <v>15419</v>
      </c>
      <c r="C271" t="s">
        <v>15420</v>
      </c>
      <c r="D271" t="s">
        <v>4310</v>
      </c>
      <c r="F271" t="str">
        <f>Config!$B$7</f>
        <v>SCH/Connector.SchLib</v>
      </c>
      <c r="G271" t="s">
        <v>14932</v>
      </c>
      <c r="H271" t="s">
        <v>15392</v>
      </c>
      <c r="I271" t="s">
        <v>14946</v>
      </c>
      <c r="K271" s="47" t="s">
        <v>16202</v>
      </c>
      <c r="L271" t="s">
        <v>16202</v>
      </c>
      <c r="M271" t="s">
        <v>16227</v>
      </c>
    </row>
    <row r="272" spans="1:13">
      <c r="A272" t="s">
        <v>15421</v>
      </c>
      <c r="B272" t="s">
        <v>15421</v>
      </c>
      <c r="C272" t="s">
        <v>15422</v>
      </c>
      <c r="D272" t="s">
        <v>4310</v>
      </c>
      <c r="F272" t="str">
        <f>Config!$B$7</f>
        <v>SCH/Connector.SchLib</v>
      </c>
      <c r="G272" t="s">
        <v>14932</v>
      </c>
      <c r="H272" t="s">
        <v>15392</v>
      </c>
      <c r="I272" t="s">
        <v>14947</v>
      </c>
      <c r="K272" s="47" t="s">
        <v>16202</v>
      </c>
      <c r="L272" t="s">
        <v>16204</v>
      </c>
      <c r="M272" t="s">
        <v>16227</v>
      </c>
    </row>
    <row r="273" spans="1:13">
      <c r="A273" t="s">
        <v>15423</v>
      </c>
      <c r="B273" t="s">
        <v>15423</v>
      </c>
      <c r="C273" t="s">
        <v>15424</v>
      </c>
      <c r="D273" t="s">
        <v>4310</v>
      </c>
      <c r="F273" t="str">
        <f>Config!$B$7</f>
        <v>SCH/Connector.SchLib</v>
      </c>
      <c r="G273" t="s">
        <v>14932</v>
      </c>
      <c r="H273" t="s">
        <v>15392</v>
      </c>
      <c r="I273" t="s">
        <v>14948</v>
      </c>
      <c r="K273" s="47" t="s">
        <v>16203</v>
      </c>
      <c r="L273" t="s">
        <v>16209</v>
      </c>
      <c r="M273" t="s">
        <v>16227</v>
      </c>
    </row>
    <row r="274" spans="1:13">
      <c r="A274" t="s">
        <v>15425</v>
      </c>
      <c r="B274" t="s">
        <v>15425</v>
      </c>
      <c r="C274" t="s">
        <v>15426</v>
      </c>
      <c r="D274" t="s">
        <v>4310</v>
      </c>
      <c r="F274" t="str">
        <f>Config!$B$7</f>
        <v>SCH/Connector.SchLib</v>
      </c>
      <c r="G274" t="s">
        <v>14932</v>
      </c>
      <c r="H274" t="s">
        <v>15392</v>
      </c>
      <c r="I274" t="s">
        <v>14949</v>
      </c>
      <c r="K274" s="47" t="s">
        <v>16203</v>
      </c>
      <c r="L274" t="s">
        <v>16201</v>
      </c>
      <c r="M274" t="s">
        <v>16227</v>
      </c>
    </row>
    <row r="275" spans="1:13">
      <c r="A275" t="s">
        <v>15427</v>
      </c>
      <c r="B275" t="s">
        <v>15427</v>
      </c>
      <c r="C275" t="s">
        <v>15428</v>
      </c>
      <c r="D275" t="s">
        <v>4310</v>
      </c>
      <c r="F275" t="str">
        <f>Config!$B$7</f>
        <v>SCH/Connector.SchLib</v>
      </c>
      <c r="G275" t="s">
        <v>14932</v>
      </c>
      <c r="H275" t="s">
        <v>15392</v>
      </c>
      <c r="I275" t="s">
        <v>14950</v>
      </c>
      <c r="K275" s="47" t="s">
        <v>16203</v>
      </c>
      <c r="L275" t="s">
        <v>16203</v>
      </c>
      <c r="M275" t="s">
        <v>16227</v>
      </c>
    </row>
    <row r="276" spans="1:13">
      <c r="A276" t="s">
        <v>15429</v>
      </c>
      <c r="B276" t="s">
        <v>15429</v>
      </c>
      <c r="C276" t="s">
        <v>15430</v>
      </c>
      <c r="D276" t="s">
        <v>4310</v>
      </c>
      <c r="F276" t="str">
        <f>Config!$B$7</f>
        <v>SCH/Connector.SchLib</v>
      </c>
      <c r="G276" t="s">
        <v>14932</v>
      </c>
      <c r="H276" t="s">
        <v>15392</v>
      </c>
      <c r="I276" t="s">
        <v>14951</v>
      </c>
      <c r="K276" s="47" t="s">
        <v>16203</v>
      </c>
      <c r="L276" t="s">
        <v>16206</v>
      </c>
      <c r="M276" t="s">
        <v>16227</v>
      </c>
    </row>
    <row r="277" spans="1:13">
      <c r="A277" t="s">
        <v>15431</v>
      </c>
      <c r="B277" t="s">
        <v>15431</v>
      </c>
      <c r="C277" t="s">
        <v>15432</v>
      </c>
      <c r="D277" t="s">
        <v>4310</v>
      </c>
      <c r="F277" t="str">
        <f>Config!$B$7</f>
        <v>SCH/Connector.SchLib</v>
      </c>
      <c r="G277" t="s">
        <v>14932</v>
      </c>
      <c r="H277" t="s">
        <v>15392</v>
      </c>
      <c r="I277" t="s">
        <v>14952</v>
      </c>
      <c r="K277" s="47" t="s">
        <v>16204</v>
      </c>
      <c r="L277" t="s">
        <v>16210</v>
      </c>
      <c r="M277" t="s">
        <v>16227</v>
      </c>
    </row>
    <row r="278" spans="1:13">
      <c r="A278" t="s">
        <v>15433</v>
      </c>
      <c r="B278" t="s">
        <v>15433</v>
      </c>
      <c r="C278" t="s">
        <v>15434</v>
      </c>
      <c r="D278" t="s">
        <v>4310</v>
      </c>
      <c r="F278" t="str">
        <f>Config!$B$7</f>
        <v>SCH/Connector.SchLib</v>
      </c>
      <c r="G278" t="s">
        <v>14932</v>
      </c>
      <c r="H278" t="s">
        <v>15392</v>
      </c>
      <c r="I278" t="s">
        <v>14953</v>
      </c>
      <c r="K278" s="47" t="s">
        <v>16204</v>
      </c>
      <c r="L278" t="s">
        <v>16200</v>
      </c>
      <c r="M278" t="s">
        <v>16227</v>
      </c>
    </row>
    <row r="279" spans="1:13">
      <c r="A279" t="s">
        <v>15435</v>
      </c>
      <c r="B279" t="s">
        <v>15435</v>
      </c>
      <c r="C279" t="s">
        <v>15436</v>
      </c>
      <c r="D279" t="s">
        <v>4310</v>
      </c>
      <c r="F279" t="str">
        <f>Config!$B$7</f>
        <v>SCH/Connector.SchLib</v>
      </c>
      <c r="G279" t="s">
        <v>14932</v>
      </c>
      <c r="H279" t="s">
        <v>15392</v>
      </c>
      <c r="I279" t="s">
        <v>14954</v>
      </c>
      <c r="K279" s="47" t="s">
        <v>16204</v>
      </c>
      <c r="L279" t="s">
        <v>16202</v>
      </c>
      <c r="M279" t="s">
        <v>16227</v>
      </c>
    </row>
    <row r="280" spans="1:13">
      <c r="A280" t="s">
        <v>15437</v>
      </c>
      <c r="B280" t="s">
        <v>15437</v>
      </c>
      <c r="C280" t="s">
        <v>15438</v>
      </c>
      <c r="D280" t="s">
        <v>4310</v>
      </c>
      <c r="F280" t="str">
        <f>Config!$B$7</f>
        <v>SCH/Connector.SchLib</v>
      </c>
      <c r="G280" t="s">
        <v>14932</v>
      </c>
      <c r="H280" t="s">
        <v>15392</v>
      </c>
      <c r="I280" t="s">
        <v>14955</v>
      </c>
      <c r="K280" s="47" t="s">
        <v>16204</v>
      </c>
      <c r="L280" t="s">
        <v>16204</v>
      </c>
      <c r="M280" t="s">
        <v>16227</v>
      </c>
    </row>
    <row r="281" spans="1:13">
      <c r="A281" t="s">
        <v>15439</v>
      </c>
      <c r="B281" t="s">
        <v>15439</v>
      </c>
      <c r="C281" t="s">
        <v>15440</v>
      </c>
      <c r="D281" t="s">
        <v>4310</v>
      </c>
      <c r="F281" t="str">
        <f>Config!$B$7</f>
        <v>SCH/Connector.SchLib</v>
      </c>
      <c r="G281" t="s">
        <v>14932</v>
      </c>
      <c r="H281" t="s">
        <v>15392</v>
      </c>
      <c r="I281" t="s">
        <v>14956</v>
      </c>
      <c r="K281" s="47" t="s">
        <v>16204</v>
      </c>
      <c r="L281" t="s">
        <v>16207</v>
      </c>
      <c r="M281" t="s">
        <v>16227</v>
      </c>
    </row>
    <row r="282" spans="1:13">
      <c r="A282" t="s">
        <v>15441</v>
      </c>
      <c r="B282" t="s">
        <v>15441</v>
      </c>
      <c r="C282" t="s">
        <v>15442</v>
      </c>
      <c r="D282" t="s">
        <v>4310</v>
      </c>
      <c r="F282" t="str">
        <f>Config!$B$7</f>
        <v>SCH/Connector.SchLib</v>
      </c>
      <c r="G282" t="s">
        <v>14932</v>
      </c>
      <c r="H282" t="s">
        <v>15392</v>
      </c>
      <c r="I282" t="s">
        <v>14957</v>
      </c>
      <c r="K282" s="47" t="s">
        <v>16205</v>
      </c>
      <c r="L282" t="s">
        <v>16199</v>
      </c>
      <c r="M282" t="s">
        <v>16227</v>
      </c>
    </row>
    <row r="283" spans="1:13">
      <c r="A283" t="s">
        <v>15995</v>
      </c>
      <c r="B283" t="s">
        <v>15995</v>
      </c>
      <c r="C283" t="s">
        <v>15996</v>
      </c>
      <c r="D283" t="s">
        <v>4310</v>
      </c>
      <c r="F283" t="str">
        <f>Config!$B$7</f>
        <v>SCH/Connector.SchLib</v>
      </c>
      <c r="G283" t="s">
        <v>14932</v>
      </c>
      <c r="H283" t="s">
        <v>15392</v>
      </c>
      <c r="I283" t="s">
        <v>15695</v>
      </c>
      <c r="K283" s="47" t="s">
        <v>16205</v>
      </c>
      <c r="L283" t="s">
        <v>16200</v>
      </c>
      <c r="M283" t="s">
        <v>16227</v>
      </c>
    </row>
    <row r="284" spans="1:13">
      <c r="A284" t="s">
        <v>15443</v>
      </c>
      <c r="B284" t="s">
        <v>15443</v>
      </c>
      <c r="C284" t="s">
        <v>15444</v>
      </c>
      <c r="D284" t="s">
        <v>4310</v>
      </c>
      <c r="F284" t="str">
        <f>Config!$B$7</f>
        <v>SCH/Connector.SchLib</v>
      </c>
      <c r="G284" t="s">
        <v>14932</v>
      </c>
      <c r="H284" t="s">
        <v>15392</v>
      </c>
      <c r="I284" t="s">
        <v>14958</v>
      </c>
      <c r="K284" s="47" t="s">
        <v>16205</v>
      </c>
      <c r="L284" t="s">
        <v>16211</v>
      </c>
      <c r="M284" t="s">
        <v>16227</v>
      </c>
    </row>
    <row r="285" spans="1:13">
      <c r="A285" t="s">
        <v>15445</v>
      </c>
      <c r="B285" t="s">
        <v>15445</v>
      </c>
      <c r="C285" t="s">
        <v>15446</v>
      </c>
      <c r="D285" t="s">
        <v>4310</v>
      </c>
      <c r="F285" t="str">
        <f>Config!$B$7</f>
        <v>SCH/Connector.SchLib</v>
      </c>
      <c r="G285" t="s">
        <v>14932</v>
      </c>
      <c r="H285" t="s">
        <v>15392</v>
      </c>
      <c r="I285" t="s">
        <v>14959</v>
      </c>
      <c r="K285" s="47" t="s">
        <v>16205</v>
      </c>
      <c r="L285" t="s">
        <v>16212</v>
      </c>
      <c r="M285" t="s">
        <v>16227</v>
      </c>
    </row>
    <row r="286" spans="1:13">
      <c r="A286" t="s">
        <v>15447</v>
      </c>
      <c r="B286" t="s">
        <v>15447</v>
      </c>
      <c r="C286" t="s">
        <v>15448</v>
      </c>
      <c r="D286" t="s">
        <v>4310</v>
      </c>
      <c r="F286" t="str">
        <f>Config!$B$7</f>
        <v>SCH/Connector.SchLib</v>
      </c>
      <c r="G286" t="s">
        <v>14932</v>
      </c>
      <c r="H286" t="s">
        <v>15392</v>
      </c>
      <c r="I286" t="s">
        <v>14960</v>
      </c>
      <c r="K286" s="47" t="s">
        <v>16205</v>
      </c>
      <c r="L286" t="s">
        <v>16205</v>
      </c>
      <c r="M286" t="s">
        <v>16227</v>
      </c>
    </row>
    <row r="287" spans="1:13">
      <c r="A287" t="s">
        <v>15449</v>
      </c>
      <c r="B287" t="s">
        <v>15449</v>
      </c>
      <c r="C287" t="s">
        <v>15450</v>
      </c>
      <c r="D287" t="s">
        <v>4310</v>
      </c>
      <c r="F287" t="str">
        <f>Config!$B$7</f>
        <v>SCH/Connector.SchLib</v>
      </c>
      <c r="G287" t="s">
        <v>14932</v>
      </c>
      <c r="H287" t="s">
        <v>15392</v>
      </c>
      <c r="I287" t="s">
        <v>14961</v>
      </c>
      <c r="K287" s="47" t="s">
        <v>16205</v>
      </c>
      <c r="L287" t="s">
        <v>16213</v>
      </c>
      <c r="M287" t="s">
        <v>16227</v>
      </c>
    </row>
    <row r="288" spans="1:13">
      <c r="A288" t="s">
        <v>15997</v>
      </c>
      <c r="B288" t="s">
        <v>15997</v>
      </c>
      <c r="C288" t="s">
        <v>15998</v>
      </c>
      <c r="D288" t="s">
        <v>4310</v>
      </c>
      <c r="F288" t="str">
        <f>Config!$B$7</f>
        <v>SCH/Connector.SchLib</v>
      </c>
      <c r="G288" t="s">
        <v>14932</v>
      </c>
      <c r="H288" t="s">
        <v>15392</v>
      </c>
      <c r="I288" t="s">
        <v>15698</v>
      </c>
      <c r="K288" s="47" t="s">
        <v>16206</v>
      </c>
      <c r="L288" t="s">
        <v>16214</v>
      </c>
      <c r="M288" t="s">
        <v>16227</v>
      </c>
    </row>
    <row r="289" spans="1:13">
      <c r="A289" t="s">
        <v>15999</v>
      </c>
      <c r="B289" t="s">
        <v>15999</v>
      </c>
      <c r="C289" t="s">
        <v>16000</v>
      </c>
      <c r="D289" t="s">
        <v>4310</v>
      </c>
      <c r="F289" t="str">
        <f>Config!$B$7</f>
        <v>SCH/Connector.SchLib</v>
      </c>
      <c r="G289" t="s">
        <v>14932</v>
      </c>
      <c r="H289" t="s">
        <v>15392</v>
      </c>
      <c r="I289" t="s">
        <v>15699</v>
      </c>
      <c r="K289" s="47" t="s">
        <v>16206</v>
      </c>
      <c r="L289" t="s">
        <v>16200</v>
      </c>
      <c r="M289" t="s">
        <v>16227</v>
      </c>
    </row>
    <row r="290" spans="1:13">
      <c r="A290" t="s">
        <v>16001</v>
      </c>
      <c r="B290" t="s">
        <v>16001</v>
      </c>
      <c r="C290" t="s">
        <v>16002</v>
      </c>
      <c r="D290" t="s">
        <v>4310</v>
      </c>
      <c r="F290" t="str">
        <f>Config!$B$7</f>
        <v>SCH/Connector.SchLib</v>
      </c>
      <c r="G290" t="s">
        <v>14932</v>
      </c>
      <c r="H290" t="s">
        <v>15392</v>
      </c>
      <c r="I290" t="s">
        <v>15700</v>
      </c>
      <c r="K290" s="47" t="s">
        <v>16206</v>
      </c>
      <c r="L290" t="s">
        <v>16201</v>
      </c>
      <c r="M290" t="s">
        <v>16227</v>
      </c>
    </row>
    <row r="291" spans="1:13">
      <c r="A291" t="s">
        <v>16003</v>
      </c>
      <c r="B291" t="s">
        <v>16003</v>
      </c>
      <c r="C291" t="s">
        <v>16004</v>
      </c>
      <c r="D291" t="s">
        <v>4310</v>
      </c>
      <c r="F291" t="str">
        <f>Config!$B$7</f>
        <v>SCH/Connector.SchLib</v>
      </c>
      <c r="G291" t="s">
        <v>14932</v>
      </c>
      <c r="H291" t="s">
        <v>15392</v>
      </c>
      <c r="I291" t="s">
        <v>15701</v>
      </c>
      <c r="K291" s="47" t="s">
        <v>16206</v>
      </c>
      <c r="L291" t="s">
        <v>16203</v>
      </c>
      <c r="M291" t="s">
        <v>16227</v>
      </c>
    </row>
    <row r="292" spans="1:13">
      <c r="A292" t="s">
        <v>16005</v>
      </c>
      <c r="B292" t="s">
        <v>16005</v>
      </c>
      <c r="C292" t="s">
        <v>16006</v>
      </c>
      <c r="D292" t="s">
        <v>4310</v>
      </c>
      <c r="F292" t="str">
        <f>Config!$B$7</f>
        <v>SCH/Connector.SchLib</v>
      </c>
      <c r="G292" t="s">
        <v>14932</v>
      </c>
      <c r="H292" t="s">
        <v>15392</v>
      </c>
      <c r="I292" t="s">
        <v>15702</v>
      </c>
      <c r="K292" s="47" t="s">
        <v>16206</v>
      </c>
      <c r="L292" t="s">
        <v>16206</v>
      </c>
      <c r="M292" t="s">
        <v>16227</v>
      </c>
    </row>
    <row r="293" spans="1:13">
      <c r="A293" t="s">
        <v>16007</v>
      </c>
      <c r="B293" t="s">
        <v>16007</v>
      </c>
      <c r="C293" t="s">
        <v>16008</v>
      </c>
      <c r="D293" t="s">
        <v>4310</v>
      </c>
      <c r="F293" t="str">
        <f>Config!$B$7</f>
        <v>SCH/Connector.SchLib</v>
      </c>
      <c r="G293" t="s">
        <v>14932</v>
      </c>
      <c r="H293" t="s">
        <v>15392</v>
      </c>
      <c r="I293" t="s">
        <v>15703</v>
      </c>
      <c r="K293" s="47" t="s">
        <v>16206</v>
      </c>
      <c r="L293" t="s">
        <v>16215</v>
      </c>
      <c r="M293" t="s">
        <v>16227</v>
      </c>
    </row>
    <row r="294" spans="1:13">
      <c r="A294" t="s">
        <v>16009</v>
      </c>
      <c r="B294" t="s">
        <v>16009</v>
      </c>
      <c r="C294" t="s">
        <v>16010</v>
      </c>
      <c r="D294" t="s">
        <v>4310</v>
      </c>
      <c r="F294" t="str">
        <f>Config!$B$7</f>
        <v>SCH/Connector.SchLib</v>
      </c>
      <c r="G294" t="s">
        <v>14932</v>
      </c>
      <c r="H294" t="s">
        <v>15392</v>
      </c>
      <c r="I294" t="s">
        <v>15704</v>
      </c>
      <c r="K294" s="47" t="s">
        <v>16207</v>
      </c>
      <c r="L294" t="s">
        <v>16199</v>
      </c>
      <c r="M294" t="s">
        <v>16227</v>
      </c>
    </row>
    <row r="295" spans="1:13">
      <c r="A295" t="s">
        <v>16011</v>
      </c>
      <c r="B295" t="s">
        <v>16011</v>
      </c>
      <c r="C295" t="s">
        <v>16012</v>
      </c>
      <c r="D295" t="s">
        <v>4310</v>
      </c>
      <c r="F295" t="str">
        <f>Config!$B$7</f>
        <v>SCH/Connector.SchLib</v>
      </c>
      <c r="G295" t="s">
        <v>14932</v>
      </c>
      <c r="H295" t="s">
        <v>15392</v>
      </c>
      <c r="I295" t="s">
        <v>15705</v>
      </c>
      <c r="K295" s="47" t="s">
        <v>16207</v>
      </c>
      <c r="L295" t="s">
        <v>16216</v>
      </c>
      <c r="M295" t="s">
        <v>16227</v>
      </c>
    </row>
    <row r="296" spans="1:13">
      <c r="A296" t="s">
        <v>16013</v>
      </c>
      <c r="B296" t="s">
        <v>16013</v>
      </c>
      <c r="C296" t="s">
        <v>16014</v>
      </c>
      <c r="D296" t="s">
        <v>4310</v>
      </c>
      <c r="F296" t="str">
        <f>Config!$B$7</f>
        <v>SCH/Connector.SchLib</v>
      </c>
      <c r="G296" t="s">
        <v>14932</v>
      </c>
      <c r="H296" t="s">
        <v>15392</v>
      </c>
      <c r="I296" t="s">
        <v>15706</v>
      </c>
      <c r="K296" s="47" t="s">
        <v>16207</v>
      </c>
      <c r="L296" t="s">
        <v>16200</v>
      </c>
      <c r="M296" t="s">
        <v>16227</v>
      </c>
    </row>
    <row r="297" spans="1:13">
      <c r="A297" t="s">
        <v>16015</v>
      </c>
      <c r="B297" t="s">
        <v>16015</v>
      </c>
      <c r="C297" t="s">
        <v>16016</v>
      </c>
      <c r="D297" t="s">
        <v>4310</v>
      </c>
      <c r="F297" t="str">
        <f>Config!$B$7</f>
        <v>SCH/Connector.SchLib</v>
      </c>
      <c r="G297" t="s">
        <v>14932</v>
      </c>
      <c r="H297" t="s">
        <v>15392</v>
      </c>
      <c r="I297" t="s">
        <v>15707</v>
      </c>
      <c r="K297" s="47" t="s">
        <v>16207</v>
      </c>
      <c r="L297" t="s">
        <v>16202</v>
      </c>
      <c r="M297" t="s">
        <v>16227</v>
      </c>
    </row>
    <row r="298" spans="1:13">
      <c r="A298" t="s">
        <v>16017</v>
      </c>
      <c r="B298" t="s">
        <v>16017</v>
      </c>
      <c r="C298" t="s">
        <v>16018</v>
      </c>
      <c r="D298" t="s">
        <v>4310</v>
      </c>
      <c r="F298" t="str">
        <f>Config!$B$7</f>
        <v>SCH/Connector.SchLib</v>
      </c>
      <c r="G298" t="s">
        <v>14932</v>
      </c>
      <c r="H298" t="s">
        <v>15392</v>
      </c>
      <c r="I298" t="s">
        <v>15708</v>
      </c>
      <c r="K298" s="47" t="s">
        <v>16207</v>
      </c>
      <c r="L298" t="s">
        <v>16204</v>
      </c>
      <c r="M298" t="s">
        <v>16227</v>
      </c>
    </row>
    <row r="299" spans="1:13">
      <c r="A299" t="s">
        <v>16019</v>
      </c>
      <c r="B299" t="s">
        <v>16019</v>
      </c>
      <c r="C299" t="s">
        <v>16020</v>
      </c>
      <c r="D299" t="s">
        <v>4310</v>
      </c>
      <c r="F299" t="str">
        <f>Config!$B$7</f>
        <v>SCH/Connector.SchLib</v>
      </c>
      <c r="G299" t="s">
        <v>14932</v>
      </c>
      <c r="H299" t="s">
        <v>15392</v>
      </c>
      <c r="I299" t="s">
        <v>15709</v>
      </c>
      <c r="K299" s="47" t="s">
        <v>16207</v>
      </c>
      <c r="L299" t="s">
        <v>16207</v>
      </c>
      <c r="M299" t="s">
        <v>16227</v>
      </c>
    </row>
    <row r="300" spans="1:13">
      <c r="A300" t="s">
        <v>16021</v>
      </c>
      <c r="B300" t="s">
        <v>16021</v>
      </c>
      <c r="C300" t="s">
        <v>16022</v>
      </c>
      <c r="D300" t="s">
        <v>4310</v>
      </c>
      <c r="F300" t="str">
        <f>Config!$B$7</f>
        <v>SCH/Connector.SchLib</v>
      </c>
      <c r="G300" t="s">
        <v>14932</v>
      </c>
      <c r="H300" t="s">
        <v>15392</v>
      </c>
      <c r="I300" t="s">
        <v>15710</v>
      </c>
      <c r="K300" s="47" t="s">
        <v>16207</v>
      </c>
      <c r="L300" t="s">
        <v>16217</v>
      </c>
      <c r="M300" t="s">
        <v>16227</v>
      </c>
    </row>
    <row r="301" spans="1:13">
      <c r="A301" t="s">
        <v>16023</v>
      </c>
      <c r="B301" t="s">
        <v>16023</v>
      </c>
      <c r="C301" t="s">
        <v>16024</v>
      </c>
      <c r="D301" t="s">
        <v>4310</v>
      </c>
      <c r="F301" t="str">
        <f>Config!$B$7</f>
        <v>SCH/Connector.SchLib</v>
      </c>
      <c r="G301" t="s">
        <v>14932</v>
      </c>
      <c r="H301" t="s">
        <v>15392</v>
      </c>
      <c r="I301" t="s">
        <v>15711</v>
      </c>
      <c r="K301" s="47" t="s">
        <v>16208</v>
      </c>
      <c r="L301" t="s">
        <v>16199</v>
      </c>
      <c r="M301" t="s">
        <v>16227</v>
      </c>
    </row>
    <row r="302" spans="1:13">
      <c r="A302" t="s">
        <v>16025</v>
      </c>
      <c r="B302" t="s">
        <v>16025</v>
      </c>
      <c r="C302" t="s">
        <v>16026</v>
      </c>
      <c r="D302" t="s">
        <v>4310</v>
      </c>
      <c r="F302" t="str">
        <f>Config!$B$7</f>
        <v>SCH/Connector.SchLib</v>
      </c>
      <c r="G302" t="s">
        <v>14932</v>
      </c>
      <c r="H302" t="s">
        <v>15392</v>
      </c>
      <c r="I302" t="s">
        <v>15712</v>
      </c>
      <c r="K302" s="47" t="s">
        <v>16208</v>
      </c>
      <c r="L302" t="s">
        <v>16200</v>
      </c>
      <c r="M302" t="s">
        <v>16227</v>
      </c>
    </row>
    <row r="303" spans="1:13">
      <c r="A303" t="s">
        <v>16027</v>
      </c>
      <c r="B303" t="s">
        <v>16027</v>
      </c>
      <c r="C303" t="s">
        <v>16028</v>
      </c>
      <c r="D303" t="s">
        <v>4310</v>
      </c>
      <c r="F303" t="str">
        <f>Config!$B$7</f>
        <v>SCH/Connector.SchLib</v>
      </c>
      <c r="G303" t="s">
        <v>14932</v>
      </c>
      <c r="H303" t="s">
        <v>15392</v>
      </c>
      <c r="I303" t="s">
        <v>15713</v>
      </c>
      <c r="K303" s="47" t="s">
        <v>16208</v>
      </c>
      <c r="L303" t="s">
        <v>16212</v>
      </c>
      <c r="M303" t="s">
        <v>16227</v>
      </c>
    </row>
    <row r="304" spans="1:13">
      <c r="A304" t="s">
        <v>16029</v>
      </c>
      <c r="B304" t="s">
        <v>16029</v>
      </c>
      <c r="C304" t="s">
        <v>16030</v>
      </c>
      <c r="D304" t="s">
        <v>4310</v>
      </c>
      <c r="F304" t="str">
        <f>Config!$B$7</f>
        <v>SCH/Connector.SchLib</v>
      </c>
      <c r="G304" t="s">
        <v>14932</v>
      </c>
      <c r="H304" t="s">
        <v>15392</v>
      </c>
      <c r="I304" t="s">
        <v>15714</v>
      </c>
      <c r="K304" s="47" t="s">
        <v>16208</v>
      </c>
      <c r="L304" t="s">
        <v>16205</v>
      </c>
      <c r="M304" t="s">
        <v>16227</v>
      </c>
    </row>
    <row r="305" spans="1:13">
      <c r="A305" t="s">
        <v>16031</v>
      </c>
      <c r="B305" t="s">
        <v>16031</v>
      </c>
      <c r="C305" t="s">
        <v>16032</v>
      </c>
      <c r="D305" t="s">
        <v>4310</v>
      </c>
      <c r="F305" t="str">
        <f>Config!$B$7</f>
        <v>SCH/Connector.SchLib</v>
      </c>
      <c r="G305" t="s">
        <v>14932</v>
      </c>
      <c r="H305" t="s">
        <v>15392</v>
      </c>
      <c r="I305" t="s">
        <v>15715</v>
      </c>
      <c r="K305" s="47" t="s">
        <v>16208</v>
      </c>
      <c r="L305" t="s">
        <v>16213</v>
      </c>
      <c r="M305" t="s">
        <v>16227</v>
      </c>
    </row>
    <row r="306" spans="1:13">
      <c r="A306" t="s">
        <v>16033</v>
      </c>
      <c r="B306" t="s">
        <v>16033</v>
      </c>
      <c r="C306" t="s">
        <v>16034</v>
      </c>
      <c r="D306" t="s">
        <v>4310</v>
      </c>
      <c r="F306" t="str">
        <f>Config!$B$7</f>
        <v>SCH/Connector.SchLib</v>
      </c>
      <c r="G306" t="s">
        <v>14932</v>
      </c>
      <c r="H306" t="s">
        <v>15392</v>
      </c>
      <c r="I306" t="s">
        <v>15716</v>
      </c>
      <c r="K306" s="47" t="s">
        <v>16208</v>
      </c>
      <c r="L306" t="s">
        <v>16218</v>
      </c>
      <c r="M306" t="s">
        <v>16227</v>
      </c>
    </row>
    <row r="308" spans="1:13">
      <c r="A308" t="s">
        <v>15329</v>
      </c>
      <c r="B308" t="s">
        <v>15329</v>
      </c>
      <c r="C308" t="s">
        <v>15330</v>
      </c>
      <c r="D308" t="s">
        <v>4310</v>
      </c>
      <c r="F308" t="str">
        <f>Config!$B$7</f>
        <v>SCH/Connector.SchLib</v>
      </c>
      <c r="G308" t="s">
        <v>14932</v>
      </c>
      <c r="H308" t="s">
        <v>15331</v>
      </c>
      <c r="I308" t="s">
        <v>14962</v>
      </c>
      <c r="K308" s="47" t="s">
        <v>16198</v>
      </c>
      <c r="L308" t="s">
        <v>16198</v>
      </c>
      <c r="M308" t="s">
        <v>16228</v>
      </c>
    </row>
    <row r="309" spans="1:13">
      <c r="A309" t="s">
        <v>15332</v>
      </c>
      <c r="B309" t="s">
        <v>15332</v>
      </c>
      <c r="C309" t="s">
        <v>15333</v>
      </c>
      <c r="D309" t="s">
        <v>4310</v>
      </c>
      <c r="F309" t="str">
        <f>Config!$B$7</f>
        <v>SCH/Connector.SchLib</v>
      </c>
      <c r="G309" t="s">
        <v>14932</v>
      </c>
      <c r="H309" t="s">
        <v>15331</v>
      </c>
      <c r="I309" t="s">
        <v>14963</v>
      </c>
      <c r="K309" s="47" t="s">
        <v>16198</v>
      </c>
      <c r="L309" t="s">
        <v>16199</v>
      </c>
      <c r="M309" t="s">
        <v>16228</v>
      </c>
    </row>
    <row r="310" spans="1:13">
      <c r="A310" t="s">
        <v>15334</v>
      </c>
      <c r="B310" t="s">
        <v>15334</v>
      </c>
      <c r="C310" t="s">
        <v>15335</v>
      </c>
      <c r="D310" t="s">
        <v>4310</v>
      </c>
      <c r="F310" t="str">
        <f>Config!$B$7</f>
        <v>SCH/Connector.SchLib</v>
      </c>
      <c r="G310" t="s">
        <v>14932</v>
      </c>
      <c r="H310" t="s">
        <v>15331</v>
      </c>
      <c r="I310" t="s">
        <v>14934</v>
      </c>
      <c r="K310" s="47" t="s">
        <v>16199</v>
      </c>
      <c r="L310" t="s">
        <v>16198</v>
      </c>
      <c r="M310" t="s">
        <v>16228</v>
      </c>
    </row>
    <row r="311" spans="1:13">
      <c r="A311" t="s">
        <v>15336</v>
      </c>
      <c r="B311" t="s">
        <v>15336</v>
      </c>
      <c r="C311" t="s">
        <v>15337</v>
      </c>
      <c r="D311" t="s">
        <v>4310</v>
      </c>
      <c r="F311" t="str">
        <f>Config!$B$7</f>
        <v>SCH/Connector.SchLib</v>
      </c>
      <c r="G311" t="s">
        <v>14932</v>
      </c>
      <c r="H311" t="s">
        <v>15331</v>
      </c>
      <c r="I311" t="s">
        <v>14935</v>
      </c>
      <c r="K311" s="47" t="s">
        <v>16199</v>
      </c>
      <c r="L311" t="s">
        <v>16199</v>
      </c>
      <c r="M311" t="s">
        <v>16228</v>
      </c>
    </row>
    <row r="312" spans="1:13">
      <c r="A312" t="s">
        <v>15338</v>
      </c>
      <c r="B312" t="s">
        <v>15338</v>
      </c>
      <c r="C312" t="s">
        <v>15339</v>
      </c>
      <c r="D312" t="s">
        <v>4310</v>
      </c>
      <c r="F312" t="str">
        <f>Config!$B$7</f>
        <v>SCH/Connector.SchLib</v>
      </c>
      <c r="G312" t="s">
        <v>14932</v>
      </c>
      <c r="H312" t="s">
        <v>15331</v>
      </c>
      <c r="I312" t="s">
        <v>14936</v>
      </c>
      <c r="K312" s="47" t="s">
        <v>16199</v>
      </c>
      <c r="L312" t="s">
        <v>16200</v>
      </c>
      <c r="M312" t="s">
        <v>16228</v>
      </c>
    </row>
    <row r="313" spans="1:13">
      <c r="A313" t="s">
        <v>15340</v>
      </c>
      <c r="B313" t="s">
        <v>15340</v>
      </c>
      <c r="C313" t="s">
        <v>15341</v>
      </c>
      <c r="D313" t="s">
        <v>4310</v>
      </c>
      <c r="F313" t="str">
        <f>Config!$B$7</f>
        <v>SCH/Connector.SchLib</v>
      </c>
      <c r="G313" t="s">
        <v>14932</v>
      </c>
      <c r="H313" t="s">
        <v>15331</v>
      </c>
      <c r="I313" t="s">
        <v>14937</v>
      </c>
      <c r="K313" s="47" t="s">
        <v>16200</v>
      </c>
      <c r="L313" t="s">
        <v>16198</v>
      </c>
      <c r="M313" t="s">
        <v>16228</v>
      </c>
    </row>
    <row r="314" spans="1:13">
      <c r="A314" t="s">
        <v>15342</v>
      </c>
      <c r="B314" t="s">
        <v>15342</v>
      </c>
      <c r="C314" t="s">
        <v>15343</v>
      </c>
      <c r="D314" t="s">
        <v>4310</v>
      </c>
      <c r="F314" t="str">
        <f>Config!$B$7</f>
        <v>SCH/Connector.SchLib</v>
      </c>
      <c r="G314" t="s">
        <v>14932</v>
      </c>
      <c r="H314" t="s">
        <v>15331</v>
      </c>
      <c r="I314" t="s">
        <v>14938</v>
      </c>
      <c r="K314" s="47" t="s">
        <v>16200</v>
      </c>
      <c r="L314" t="s">
        <v>16199</v>
      </c>
      <c r="M314" t="s">
        <v>16228</v>
      </c>
    </row>
    <row r="315" spans="1:13">
      <c r="A315" t="s">
        <v>15344</v>
      </c>
      <c r="B315" t="s">
        <v>15344</v>
      </c>
      <c r="C315" t="s">
        <v>15345</v>
      </c>
      <c r="D315" t="s">
        <v>4310</v>
      </c>
      <c r="F315" t="str">
        <f>Config!$B$7</f>
        <v>SCH/Connector.SchLib</v>
      </c>
      <c r="G315" t="s">
        <v>14932</v>
      </c>
      <c r="H315" t="s">
        <v>15331</v>
      </c>
      <c r="I315" t="s">
        <v>14939</v>
      </c>
      <c r="K315" s="47" t="s">
        <v>16200</v>
      </c>
      <c r="L315" t="s">
        <v>16200</v>
      </c>
      <c r="M315" t="s">
        <v>16228</v>
      </c>
    </row>
    <row r="316" spans="1:13">
      <c r="A316" t="s">
        <v>15346</v>
      </c>
      <c r="B316" t="s">
        <v>15346</v>
      </c>
      <c r="C316" t="s">
        <v>15347</v>
      </c>
      <c r="D316" t="s">
        <v>4310</v>
      </c>
      <c r="F316" t="str">
        <f>Config!$B$7</f>
        <v>SCH/Connector.SchLib</v>
      </c>
      <c r="G316" t="s">
        <v>14932</v>
      </c>
      <c r="H316" t="s">
        <v>15331</v>
      </c>
      <c r="I316" t="s">
        <v>14940</v>
      </c>
      <c r="K316" s="47" t="s">
        <v>16200</v>
      </c>
      <c r="L316" t="s">
        <v>16202</v>
      </c>
      <c r="M316" t="s">
        <v>16228</v>
      </c>
    </row>
    <row r="317" spans="1:13">
      <c r="A317" t="s">
        <v>15348</v>
      </c>
      <c r="B317" t="s">
        <v>15348</v>
      </c>
      <c r="C317" t="s">
        <v>15349</v>
      </c>
      <c r="D317" t="s">
        <v>4310</v>
      </c>
      <c r="F317" t="str">
        <f>Config!$B$7</f>
        <v>SCH/Connector.SchLib</v>
      </c>
      <c r="G317" t="s">
        <v>14932</v>
      </c>
      <c r="H317" t="s">
        <v>15331</v>
      </c>
      <c r="I317" t="s">
        <v>14941</v>
      </c>
      <c r="K317" s="47" t="s">
        <v>16201</v>
      </c>
      <c r="L317" t="s">
        <v>16209</v>
      </c>
      <c r="M317" t="s">
        <v>16228</v>
      </c>
    </row>
    <row r="318" spans="1:13">
      <c r="A318" t="s">
        <v>15350</v>
      </c>
      <c r="B318" t="s">
        <v>15350</v>
      </c>
      <c r="C318" t="s">
        <v>15351</v>
      </c>
      <c r="D318" t="s">
        <v>4310</v>
      </c>
      <c r="F318" t="str">
        <f>Config!$B$7</f>
        <v>SCH/Connector.SchLib</v>
      </c>
      <c r="G318" t="s">
        <v>14932</v>
      </c>
      <c r="H318" t="s">
        <v>15331</v>
      </c>
      <c r="I318" t="s">
        <v>14942</v>
      </c>
      <c r="K318" s="47" t="s">
        <v>16201</v>
      </c>
      <c r="L318" t="s">
        <v>16201</v>
      </c>
      <c r="M318" t="s">
        <v>16228</v>
      </c>
    </row>
    <row r="319" spans="1:13">
      <c r="A319" t="s">
        <v>15352</v>
      </c>
      <c r="B319" t="s">
        <v>15352</v>
      </c>
      <c r="C319" t="s">
        <v>15353</v>
      </c>
      <c r="D319" t="s">
        <v>4310</v>
      </c>
      <c r="F319" t="str">
        <f>Config!$B$7</f>
        <v>SCH/Connector.SchLib</v>
      </c>
      <c r="G319" t="s">
        <v>14932</v>
      </c>
      <c r="H319" t="s">
        <v>15331</v>
      </c>
      <c r="I319" t="s">
        <v>14943</v>
      </c>
      <c r="K319" s="47" t="s">
        <v>16201</v>
      </c>
      <c r="L319" t="s">
        <v>16203</v>
      </c>
      <c r="M319" t="s">
        <v>16228</v>
      </c>
    </row>
    <row r="320" spans="1:13">
      <c r="A320" t="s">
        <v>15354</v>
      </c>
      <c r="B320" t="s">
        <v>15354</v>
      </c>
      <c r="C320" t="s">
        <v>15355</v>
      </c>
      <c r="D320" t="s">
        <v>4310</v>
      </c>
      <c r="F320" t="str">
        <f>Config!$B$7</f>
        <v>SCH/Connector.SchLib</v>
      </c>
      <c r="G320" t="s">
        <v>14932</v>
      </c>
      <c r="H320" t="s">
        <v>15331</v>
      </c>
      <c r="I320" t="s">
        <v>14944</v>
      </c>
      <c r="K320" s="47" t="s">
        <v>16202</v>
      </c>
      <c r="L320" t="s">
        <v>16199</v>
      </c>
      <c r="M320" t="s">
        <v>16228</v>
      </c>
    </row>
    <row r="321" spans="1:13">
      <c r="A321" t="s">
        <v>15356</v>
      </c>
      <c r="B321" t="s">
        <v>15356</v>
      </c>
      <c r="C321" t="s">
        <v>15357</v>
      </c>
      <c r="D321" t="s">
        <v>4310</v>
      </c>
      <c r="F321" t="str">
        <f>Config!$B$7</f>
        <v>SCH/Connector.SchLib</v>
      </c>
      <c r="G321" t="s">
        <v>14932</v>
      </c>
      <c r="H321" t="s">
        <v>15331</v>
      </c>
      <c r="I321" t="s">
        <v>14945</v>
      </c>
      <c r="K321" s="47" t="s">
        <v>16202</v>
      </c>
      <c r="L321" t="s">
        <v>16200</v>
      </c>
      <c r="M321" t="s">
        <v>16228</v>
      </c>
    </row>
    <row r="322" spans="1:13">
      <c r="A322" t="s">
        <v>15358</v>
      </c>
      <c r="B322" t="s">
        <v>15358</v>
      </c>
      <c r="C322" t="s">
        <v>15359</v>
      </c>
      <c r="D322" t="s">
        <v>4310</v>
      </c>
      <c r="F322" t="str">
        <f>Config!$B$7</f>
        <v>SCH/Connector.SchLib</v>
      </c>
      <c r="G322" t="s">
        <v>14932</v>
      </c>
      <c r="H322" t="s">
        <v>15331</v>
      </c>
      <c r="I322" t="s">
        <v>14946</v>
      </c>
      <c r="K322" s="47" t="s">
        <v>16202</v>
      </c>
      <c r="L322" t="s">
        <v>16202</v>
      </c>
      <c r="M322" t="s">
        <v>16228</v>
      </c>
    </row>
    <row r="323" spans="1:13">
      <c r="A323" t="s">
        <v>15360</v>
      </c>
      <c r="B323" t="s">
        <v>15360</v>
      </c>
      <c r="C323" t="s">
        <v>15361</v>
      </c>
      <c r="D323" t="s">
        <v>4310</v>
      </c>
      <c r="F323" t="str">
        <f>Config!$B$7</f>
        <v>SCH/Connector.SchLib</v>
      </c>
      <c r="G323" t="s">
        <v>14932</v>
      </c>
      <c r="H323" t="s">
        <v>15331</v>
      </c>
      <c r="I323" t="s">
        <v>14947</v>
      </c>
      <c r="K323" s="47" t="s">
        <v>16202</v>
      </c>
      <c r="L323" t="s">
        <v>16204</v>
      </c>
      <c r="M323" t="s">
        <v>16228</v>
      </c>
    </row>
    <row r="324" spans="1:13">
      <c r="A324" t="s">
        <v>15362</v>
      </c>
      <c r="B324" t="s">
        <v>15362</v>
      </c>
      <c r="C324" t="s">
        <v>15363</v>
      </c>
      <c r="D324" t="s">
        <v>4310</v>
      </c>
      <c r="F324" t="str">
        <f>Config!$B$7</f>
        <v>SCH/Connector.SchLib</v>
      </c>
      <c r="G324" t="s">
        <v>14932</v>
      </c>
      <c r="H324" t="s">
        <v>15331</v>
      </c>
      <c r="I324" t="s">
        <v>14948</v>
      </c>
      <c r="K324" s="47" t="s">
        <v>16203</v>
      </c>
      <c r="L324" t="s">
        <v>16209</v>
      </c>
      <c r="M324" t="s">
        <v>16228</v>
      </c>
    </row>
    <row r="325" spans="1:13">
      <c r="A325" t="s">
        <v>15364</v>
      </c>
      <c r="B325" t="s">
        <v>15364</v>
      </c>
      <c r="C325" t="s">
        <v>15365</v>
      </c>
      <c r="D325" t="s">
        <v>4310</v>
      </c>
      <c r="F325" t="str">
        <f>Config!$B$7</f>
        <v>SCH/Connector.SchLib</v>
      </c>
      <c r="G325" t="s">
        <v>14932</v>
      </c>
      <c r="H325" t="s">
        <v>15331</v>
      </c>
      <c r="I325" t="s">
        <v>14949</v>
      </c>
      <c r="K325" s="47" t="s">
        <v>16203</v>
      </c>
      <c r="L325" t="s">
        <v>16201</v>
      </c>
      <c r="M325" t="s">
        <v>16228</v>
      </c>
    </row>
    <row r="326" spans="1:13">
      <c r="A326" t="s">
        <v>15366</v>
      </c>
      <c r="B326" t="s">
        <v>15366</v>
      </c>
      <c r="C326" t="s">
        <v>15367</v>
      </c>
      <c r="D326" t="s">
        <v>4310</v>
      </c>
      <c r="F326" t="str">
        <f>Config!$B$7</f>
        <v>SCH/Connector.SchLib</v>
      </c>
      <c r="G326" t="s">
        <v>14932</v>
      </c>
      <c r="H326" t="s">
        <v>15331</v>
      </c>
      <c r="I326" t="s">
        <v>14950</v>
      </c>
      <c r="K326" s="47" t="s">
        <v>16203</v>
      </c>
      <c r="L326" t="s">
        <v>16203</v>
      </c>
      <c r="M326" t="s">
        <v>16228</v>
      </c>
    </row>
    <row r="327" spans="1:13">
      <c r="A327" t="s">
        <v>15368</v>
      </c>
      <c r="B327" t="s">
        <v>15368</v>
      </c>
      <c r="C327" t="s">
        <v>15369</v>
      </c>
      <c r="D327" t="s">
        <v>4310</v>
      </c>
      <c r="F327" t="str">
        <f>Config!$B$7</f>
        <v>SCH/Connector.SchLib</v>
      </c>
      <c r="G327" t="s">
        <v>14932</v>
      </c>
      <c r="H327" t="s">
        <v>15331</v>
      </c>
      <c r="I327" t="s">
        <v>14951</v>
      </c>
      <c r="K327" s="47" t="s">
        <v>16203</v>
      </c>
      <c r="L327" t="s">
        <v>16206</v>
      </c>
      <c r="M327" t="s">
        <v>16228</v>
      </c>
    </row>
    <row r="328" spans="1:13">
      <c r="A328" t="s">
        <v>15370</v>
      </c>
      <c r="B328" t="s">
        <v>15370</v>
      </c>
      <c r="C328" t="s">
        <v>15371</v>
      </c>
      <c r="D328" t="s">
        <v>4310</v>
      </c>
      <c r="F328" t="str">
        <f>Config!$B$7</f>
        <v>SCH/Connector.SchLib</v>
      </c>
      <c r="G328" t="s">
        <v>14932</v>
      </c>
      <c r="H328" t="s">
        <v>15331</v>
      </c>
      <c r="I328" t="s">
        <v>14952</v>
      </c>
      <c r="K328" s="47" t="s">
        <v>16204</v>
      </c>
      <c r="L328" t="s">
        <v>16210</v>
      </c>
      <c r="M328" t="s">
        <v>16228</v>
      </c>
    </row>
    <row r="329" spans="1:13">
      <c r="A329" t="s">
        <v>15372</v>
      </c>
      <c r="B329" t="s">
        <v>15372</v>
      </c>
      <c r="C329" t="s">
        <v>15373</v>
      </c>
      <c r="D329" t="s">
        <v>4310</v>
      </c>
      <c r="F329" t="str">
        <f>Config!$B$7</f>
        <v>SCH/Connector.SchLib</v>
      </c>
      <c r="G329" t="s">
        <v>14932</v>
      </c>
      <c r="H329" t="s">
        <v>15331</v>
      </c>
      <c r="I329" t="s">
        <v>14953</v>
      </c>
      <c r="K329" s="47" t="s">
        <v>16204</v>
      </c>
      <c r="L329" t="s">
        <v>16200</v>
      </c>
      <c r="M329" t="s">
        <v>16228</v>
      </c>
    </row>
    <row r="330" spans="1:13">
      <c r="A330" t="s">
        <v>15374</v>
      </c>
      <c r="B330" t="s">
        <v>15374</v>
      </c>
      <c r="C330" t="s">
        <v>15375</v>
      </c>
      <c r="D330" t="s">
        <v>4310</v>
      </c>
      <c r="F330" t="str">
        <f>Config!$B$7</f>
        <v>SCH/Connector.SchLib</v>
      </c>
      <c r="G330" t="s">
        <v>14932</v>
      </c>
      <c r="H330" t="s">
        <v>15331</v>
      </c>
      <c r="I330" t="s">
        <v>14954</v>
      </c>
      <c r="K330" s="47" t="s">
        <v>16204</v>
      </c>
      <c r="L330" t="s">
        <v>16202</v>
      </c>
      <c r="M330" t="s">
        <v>16228</v>
      </c>
    </row>
    <row r="331" spans="1:13">
      <c r="A331" t="s">
        <v>15376</v>
      </c>
      <c r="B331" t="s">
        <v>15376</v>
      </c>
      <c r="C331" t="s">
        <v>15377</v>
      </c>
      <c r="D331" t="s">
        <v>4310</v>
      </c>
      <c r="F331" t="str">
        <f>Config!$B$7</f>
        <v>SCH/Connector.SchLib</v>
      </c>
      <c r="G331" t="s">
        <v>14932</v>
      </c>
      <c r="H331" t="s">
        <v>15331</v>
      </c>
      <c r="I331" t="s">
        <v>14955</v>
      </c>
      <c r="K331" s="47" t="s">
        <v>16204</v>
      </c>
      <c r="L331" t="s">
        <v>16204</v>
      </c>
      <c r="M331" t="s">
        <v>16228</v>
      </c>
    </row>
    <row r="332" spans="1:13">
      <c r="A332" t="s">
        <v>15378</v>
      </c>
      <c r="B332" t="s">
        <v>15378</v>
      </c>
      <c r="C332" t="s">
        <v>15379</v>
      </c>
      <c r="D332" t="s">
        <v>4310</v>
      </c>
      <c r="F332" t="str">
        <f>Config!$B$7</f>
        <v>SCH/Connector.SchLib</v>
      </c>
      <c r="G332" t="s">
        <v>14932</v>
      </c>
      <c r="H332" t="s">
        <v>15331</v>
      </c>
      <c r="I332" t="s">
        <v>14956</v>
      </c>
      <c r="K332" s="47" t="s">
        <v>16204</v>
      </c>
      <c r="L332" t="s">
        <v>16207</v>
      </c>
      <c r="M332" t="s">
        <v>16228</v>
      </c>
    </row>
    <row r="333" spans="1:13">
      <c r="A333" t="s">
        <v>15380</v>
      </c>
      <c r="B333" t="s">
        <v>15380</v>
      </c>
      <c r="C333" t="s">
        <v>15381</v>
      </c>
      <c r="D333" t="s">
        <v>4310</v>
      </c>
      <c r="F333" t="str">
        <f>Config!$B$7</f>
        <v>SCH/Connector.SchLib</v>
      </c>
      <c r="G333" t="s">
        <v>14932</v>
      </c>
      <c r="H333" t="s">
        <v>15331</v>
      </c>
      <c r="I333" t="s">
        <v>14957</v>
      </c>
      <c r="K333" s="47" t="s">
        <v>16205</v>
      </c>
      <c r="L333" t="s">
        <v>16199</v>
      </c>
      <c r="M333" t="s">
        <v>16228</v>
      </c>
    </row>
    <row r="334" spans="1:13">
      <c r="A334" t="s">
        <v>15955</v>
      </c>
      <c r="B334" t="s">
        <v>15955</v>
      </c>
      <c r="C334" t="s">
        <v>15956</v>
      </c>
      <c r="D334" t="s">
        <v>4310</v>
      </c>
      <c r="F334" t="str">
        <f>Config!$B$7</f>
        <v>SCH/Connector.SchLib</v>
      </c>
      <c r="G334" t="s">
        <v>14932</v>
      </c>
      <c r="H334" t="s">
        <v>15331</v>
      </c>
      <c r="I334" t="s">
        <v>15695</v>
      </c>
      <c r="K334" s="47" t="s">
        <v>16205</v>
      </c>
      <c r="L334" t="s">
        <v>16200</v>
      </c>
      <c r="M334" t="s">
        <v>16228</v>
      </c>
    </row>
    <row r="335" spans="1:13">
      <c r="A335" t="s">
        <v>15382</v>
      </c>
      <c r="B335" t="s">
        <v>15382</v>
      </c>
      <c r="C335" t="s">
        <v>15383</v>
      </c>
      <c r="D335" t="s">
        <v>4310</v>
      </c>
      <c r="F335" t="str">
        <f>Config!$B$7</f>
        <v>SCH/Connector.SchLib</v>
      </c>
      <c r="G335" t="s">
        <v>14932</v>
      </c>
      <c r="H335" t="s">
        <v>15331</v>
      </c>
      <c r="I335" t="s">
        <v>14958</v>
      </c>
      <c r="K335" s="47" t="s">
        <v>16205</v>
      </c>
      <c r="L335" t="s">
        <v>16211</v>
      </c>
      <c r="M335" t="s">
        <v>16228</v>
      </c>
    </row>
    <row r="336" spans="1:13">
      <c r="A336" t="s">
        <v>15384</v>
      </c>
      <c r="B336" t="s">
        <v>15384</v>
      </c>
      <c r="C336" t="s">
        <v>15385</v>
      </c>
      <c r="D336" t="s">
        <v>4310</v>
      </c>
      <c r="F336" t="str">
        <f>Config!$B$7</f>
        <v>SCH/Connector.SchLib</v>
      </c>
      <c r="G336" t="s">
        <v>14932</v>
      </c>
      <c r="H336" t="s">
        <v>15331</v>
      </c>
      <c r="I336" t="s">
        <v>14959</v>
      </c>
      <c r="K336" s="47" t="s">
        <v>16205</v>
      </c>
      <c r="L336" t="s">
        <v>16212</v>
      </c>
      <c r="M336" t="s">
        <v>16228</v>
      </c>
    </row>
    <row r="337" spans="1:13">
      <c r="A337" t="s">
        <v>15386</v>
      </c>
      <c r="B337" t="s">
        <v>15386</v>
      </c>
      <c r="C337" t="s">
        <v>15387</v>
      </c>
      <c r="D337" t="s">
        <v>4310</v>
      </c>
      <c r="F337" t="str">
        <f>Config!$B$7</f>
        <v>SCH/Connector.SchLib</v>
      </c>
      <c r="G337" t="s">
        <v>14932</v>
      </c>
      <c r="H337" t="s">
        <v>15331</v>
      </c>
      <c r="I337" t="s">
        <v>14960</v>
      </c>
      <c r="K337" s="47" t="s">
        <v>16205</v>
      </c>
      <c r="L337" t="s">
        <v>16205</v>
      </c>
      <c r="M337" t="s">
        <v>16228</v>
      </c>
    </row>
    <row r="338" spans="1:13">
      <c r="A338" t="s">
        <v>15388</v>
      </c>
      <c r="B338" t="s">
        <v>15388</v>
      </c>
      <c r="C338" t="s">
        <v>15389</v>
      </c>
      <c r="D338" t="s">
        <v>4310</v>
      </c>
      <c r="F338" t="str">
        <f>Config!$B$7</f>
        <v>SCH/Connector.SchLib</v>
      </c>
      <c r="G338" t="s">
        <v>14932</v>
      </c>
      <c r="H338" t="s">
        <v>15331</v>
      </c>
      <c r="I338" t="s">
        <v>14961</v>
      </c>
      <c r="K338" s="47" t="s">
        <v>16205</v>
      </c>
      <c r="L338" t="s">
        <v>16213</v>
      </c>
      <c r="M338" t="s">
        <v>16228</v>
      </c>
    </row>
    <row r="339" spans="1:13">
      <c r="A339" t="s">
        <v>15957</v>
      </c>
      <c r="B339" t="s">
        <v>15957</v>
      </c>
      <c r="C339" t="s">
        <v>15958</v>
      </c>
      <c r="D339" t="s">
        <v>4310</v>
      </c>
      <c r="F339" t="str">
        <f>Config!$B$7</f>
        <v>SCH/Connector.SchLib</v>
      </c>
      <c r="G339" t="s">
        <v>14932</v>
      </c>
      <c r="H339" t="s">
        <v>15331</v>
      </c>
      <c r="I339" t="s">
        <v>15698</v>
      </c>
      <c r="K339" s="47" t="s">
        <v>16206</v>
      </c>
      <c r="L339" t="s">
        <v>16214</v>
      </c>
      <c r="M339" t="s">
        <v>16228</v>
      </c>
    </row>
    <row r="340" spans="1:13">
      <c r="A340" t="s">
        <v>15959</v>
      </c>
      <c r="B340" t="s">
        <v>15959</v>
      </c>
      <c r="C340" t="s">
        <v>15960</v>
      </c>
      <c r="D340" t="s">
        <v>4310</v>
      </c>
      <c r="F340" t="str">
        <f>Config!$B$7</f>
        <v>SCH/Connector.SchLib</v>
      </c>
      <c r="G340" t="s">
        <v>14932</v>
      </c>
      <c r="H340" t="s">
        <v>15331</v>
      </c>
      <c r="I340" t="s">
        <v>15699</v>
      </c>
      <c r="K340" s="47" t="s">
        <v>16206</v>
      </c>
      <c r="L340" t="s">
        <v>16200</v>
      </c>
      <c r="M340" t="s">
        <v>16228</v>
      </c>
    </row>
    <row r="341" spans="1:13">
      <c r="A341" t="s">
        <v>15961</v>
      </c>
      <c r="B341" t="s">
        <v>15961</v>
      </c>
      <c r="C341" t="s">
        <v>15962</v>
      </c>
      <c r="D341" t="s">
        <v>4310</v>
      </c>
      <c r="F341" t="str">
        <f>Config!$B$7</f>
        <v>SCH/Connector.SchLib</v>
      </c>
      <c r="G341" t="s">
        <v>14932</v>
      </c>
      <c r="H341" t="s">
        <v>15331</v>
      </c>
      <c r="I341" t="s">
        <v>15700</v>
      </c>
      <c r="K341" s="47" t="s">
        <v>16206</v>
      </c>
      <c r="L341" t="s">
        <v>16201</v>
      </c>
      <c r="M341" t="s">
        <v>16228</v>
      </c>
    </row>
    <row r="342" spans="1:13">
      <c r="A342" t="s">
        <v>15963</v>
      </c>
      <c r="B342" t="s">
        <v>15963</v>
      </c>
      <c r="C342" t="s">
        <v>15964</v>
      </c>
      <c r="D342" t="s">
        <v>4310</v>
      </c>
      <c r="F342" t="str">
        <f>Config!$B$7</f>
        <v>SCH/Connector.SchLib</v>
      </c>
      <c r="G342" t="s">
        <v>14932</v>
      </c>
      <c r="H342" t="s">
        <v>15331</v>
      </c>
      <c r="I342" t="s">
        <v>15701</v>
      </c>
      <c r="K342" s="47" t="s">
        <v>16206</v>
      </c>
      <c r="L342" t="s">
        <v>16203</v>
      </c>
      <c r="M342" t="s">
        <v>16228</v>
      </c>
    </row>
    <row r="343" spans="1:13">
      <c r="A343" t="s">
        <v>15965</v>
      </c>
      <c r="B343" t="s">
        <v>15965</v>
      </c>
      <c r="C343" t="s">
        <v>15966</v>
      </c>
      <c r="D343" t="s">
        <v>4310</v>
      </c>
      <c r="F343" t="str">
        <f>Config!$B$7</f>
        <v>SCH/Connector.SchLib</v>
      </c>
      <c r="G343" t="s">
        <v>14932</v>
      </c>
      <c r="H343" t="s">
        <v>15331</v>
      </c>
      <c r="I343" t="s">
        <v>15702</v>
      </c>
      <c r="K343" s="47" t="s">
        <v>16206</v>
      </c>
      <c r="L343" t="s">
        <v>16206</v>
      </c>
      <c r="M343" t="s">
        <v>16228</v>
      </c>
    </row>
    <row r="344" spans="1:13">
      <c r="A344" t="s">
        <v>15967</v>
      </c>
      <c r="B344" t="s">
        <v>15967</v>
      </c>
      <c r="C344" t="s">
        <v>15968</v>
      </c>
      <c r="D344" t="s">
        <v>4310</v>
      </c>
      <c r="F344" t="str">
        <f>Config!$B$7</f>
        <v>SCH/Connector.SchLib</v>
      </c>
      <c r="G344" t="s">
        <v>14932</v>
      </c>
      <c r="H344" t="s">
        <v>15331</v>
      </c>
      <c r="I344" t="s">
        <v>15703</v>
      </c>
      <c r="K344" s="47" t="s">
        <v>16206</v>
      </c>
      <c r="L344" t="s">
        <v>16215</v>
      </c>
      <c r="M344" t="s">
        <v>16228</v>
      </c>
    </row>
    <row r="345" spans="1:13">
      <c r="A345" t="s">
        <v>15969</v>
      </c>
      <c r="B345" t="s">
        <v>15969</v>
      </c>
      <c r="C345" t="s">
        <v>15970</v>
      </c>
      <c r="D345" t="s">
        <v>4310</v>
      </c>
      <c r="F345" t="str">
        <f>Config!$B$7</f>
        <v>SCH/Connector.SchLib</v>
      </c>
      <c r="G345" t="s">
        <v>14932</v>
      </c>
      <c r="H345" t="s">
        <v>15331</v>
      </c>
      <c r="I345" t="s">
        <v>15704</v>
      </c>
      <c r="K345" s="47" t="s">
        <v>16207</v>
      </c>
      <c r="L345" t="s">
        <v>16199</v>
      </c>
      <c r="M345" t="s">
        <v>16228</v>
      </c>
    </row>
    <row r="346" spans="1:13">
      <c r="A346" t="s">
        <v>15971</v>
      </c>
      <c r="B346" t="s">
        <v>15971</v>
      </c>
      <c r="C346" t="s">
        <v>15972</v>
      </c>
      <c r="D346" t="s">
        <v>4310</v>
      </c>
      <c r="F346" t="str">
        <f>Config!$B$7</f>
        <v>SCH/Connector.SchLib</v>
      </c>
      <c r="G346" t="s">
        <v>14932</v>
      </c>
      <c r="H346" t="s">
        <v>15331</v>
      </c>
      <c r="I346" t="s">
        <v>15705</v>
      </c>
      <c r="K346" s="47" t="s">
        <v>16207</v>
      </c>
      <c r="L346" t="s">
        <v>16216</v>
      </c>
      <c r="M346" t="s">
        <v>16228</v>
      </c>
    </row>
    <row r="347" spans="1:13">
      <c r="A347" t="s">
        <v>15973</v>
      </c>
      <c r="B347" t="s">
        <v>15973</v>
      </c>
      <c r="C347" t="s">
        <v>15974</v>
      </c>
      <c r="D347" t="s">
        <v>4310</v>
      </c>
      <c r="F347" t="str">
        <f>Config!$B$7</f>
        <v>SCH/Connector.SchLib</v>
      </c>
      <c r="G347" t="s">
        <v>14932</v>
      </c>
      <c r="H347" t="s">
        <v>15331</v>
      </c>
      <c r="I347" t="s">
        <v>15706</v>
      </c>
      <c r="K347" s="47" t="s">
        <v>16207</v>
      </c>
      <c r="L347" t="s">
        <v>16200</v>
      </c>
      <c r="M347" t="s">
        <v>16228</v>
      </c>
    </row>
    <row r="348" spans="1:13">
      <c r="A348" t="s">
        <v>15975</v>
      </c>
      <c r="B348" t="s">
        <v>15975</v>
      </c>
      <c r="C348" t="s">
        <v>15976</v>
      </c>
      <c r="D348" t="s">
        <v>4310</v>
      </c>
      <c r="F348" t="str">
        <f>Config!$B$7</f>
        <v>SCH/Connector.SchLib</v>
      </c>
      <c r="G348" t="s">
        <v>14932</v>
      </c>
      <c r="H348" t="s">
        <v>15331</v>
      </c>
      <c r="I348" t="s">
        <v>15707</v>
      </c>
      <c r="K348" s="47" t="s">
        <v>16207</v>
      </c>
      <c r="L348" t="s">
        <v>16202</v>
      </c>
      <c r="M348" t="s">
        <v>16228</v>
      </c>
    </row>
    <row r="349" spans="1:13">
      <c r="A349" t="s">
        <v>15977</v>
      </c>
      <c r="B349" t="s">
        <v>15977</v>
      </c>
      <c r="C349" t="s">
        <v>15978</v>
      </c>
      <c r="D349" t="s">
        <v>4310</v>
      </c>
      <c r="F349" t="str">
        <f>Config!$B$7</f>
        <v>SCH/Connector.SchLib</v>
      </c>
      <c r="G349" t="s">
        <v>14932</v>
      </c>
      <c r="H349" t="s">
        <v>15331</v>
      </c>
      <c r="I349" t="s">
        <v>15708</v>
      </c>
      <c r="K349" s="47" t="s">
        <v>16207</v>
      </c>
      <c r="L349" t="s">
        <v>16204</v>
      </c>
      <c r="M349" t="s">
        <v>16228</v>
      </c>
    </row>
    <row r="350" spans="1:13">
      <c r="A350" t="s">
        <v>15979</v>
      </c>
      <c r="B350" t="s">
        <v>15979</v>
      </c>
      <c r="C350" t="s">
        <v>15980</v>
      </c>
      <c r="D350" t="s">
        <v>4310</v>
      </c>
      <c r="F350" t="str">
        <f>Config!$B$7</f>
        <v>SCH/Connector.SchLib</v>
      </c>
      <c r="G350" t="s">
        <v>14932</v>
      </c>
      <c r="H350" t="s">
        <v>15331</v>
      </c>
      <c r="I350" t="s">
        <v>15709</v>
      </c>
      <c r="K350" s="47" t="s">
        <v>16207</v>
      </c>
      <c r="L350" t="s">
        <v>16207</v>
      </c>
      <c r="M350" t="s">
        <v>16228</v>
      </c>
    </row>
    <row r="351" spans="1:13">
      <c r="A351" t="s">
        <v>15981</v>
      </c>
      <c r="B351" t="s">
        <v>15981</v>
      </c>
      <c r="C351" t="s">
        <v>15982</v>
      </c>
      <c r="D351" t="s">
        <v>4310</v>
      </c>
      <c r="F351" t="str">
        <f>Config!$B$7</f>
        <v>SCH/Connector.SchLib</v>
      </c>
      <c r="G351" t="s">
        <v>14932</v>
      </c>
      <c r="H351" t="s">
        <v>15331</v>
      </c>
      <c r="I351" t="s">
        <v>15710</v>
      </c>
      <c r="K351" s="47" t="s">
        <v>16207</v>
      </c>
      <c r="L351" t="s">
        <v>16217</v>
      </c>
      <c r="M351" t="s">
        <v>16228</v>
      </c>
    </row>
    <row r="352" spans="1:13">
      <c r="A352" t="s">
        <v>15983</v>
      </c>
      <c r="B352" t="s">
        <v>15983</v>
      </c>
      <c r="C352" t="s">
        <v>15984</v>
      </c>
      <c r="D352" t="s">
        <v>4310</v>
      </c>
      <c r="F352" t="str">
        <f>Config!$B$7</f>
        <v>SCH/Connector.SchLib</v>
      </c>
      <c r="G352" t="s">
        <v>14932</v>
      </c>
      <c r="H352" t="s">
        <v>15331</v>
      </c>
      <c r="I352" t="s">
        <v>15711</v>
      </c>
      <c r="K352" s="47" t="s">
        <v>16208</v>
      </c>
      <c r="L352" t="s">
        <v>16199</v>
      </c>
      <c r="M352" t="s">
        <v>16228</v>
      </c>
    </row>
    <row r="353" spans="1:13">
      <c r="A353" t="s">
        <v>15985</v>
      </c>
      <c r="B353" t="s">
        <v>15985</v>
      </c>
      <c r="C353" t="s">
        <v>15986</v>
      </c>
      <c r="D353" t="s">
        <v>4310</v>
      </c>
      <c r="F353" t="str">
        <f>Config!$B$7</f>
        <v>SCH/Connector.SchLib</v>
      </c>
      <c r="G353" t="s">
        <v>14932</v>
      </c>
      <c r="H353" t="s">
        <v>15331</v>
      </c>
      <c r="I353" t="s">
        <v>15712</v>
      </c>
      <c r="K353" s="47" t="s">
        <v>16208</v>
      </c>
      <c r="L353" t="s">
        <v>16200</v>
      </c>
      <c r="M353" t="s">
        <v>16228</v>
      </c>
    </row>
    <row r="354" spans="1:13">
      <c r="A354" t="s">
        <v>15987</v>
      </c>
      <c r="B354" t="s">
        <v>15987</v>
      </c>
      <c r="C354" t="s">
        <v>15988</v>
      </c>
      <c r="D354" t="s">
        <v>4310</v>
      </c>
      <c r="F354" t="str">
        <f>Config!$B$7</f>
        <v>SCH/Connector.SchLib</v>
      </c>
      <c r="G354" t="s">
        <v>14932</v>
      </c>
      <c r="H354" t="s">
        <v>15331</v>
      </c>
      <c r="I354" t="s">
        <v>15713</v>
      </c>
      <c r="K354" s="47" t="s">
        <v>16208</v>
      </c>
      <c r="L354" t="s">
        <v>16212</v>
      </c>
      <c r="M354" t="s">
        <v>16228</v>
      </c>
    </row>
    <row r="355" spans="1:13">
      <c r="A355" t="s">
        <v>15989</v>
      </c>
      <c r="B355" t="s">
        <v>15989</v>
      </c>
      <c r="C355" t="s">
        <v>15990</v>
      </c>
      <c r="D355" t="s">
        <v>4310</v>
      </c>
      <c r="F355" t="str">
        <f>Config!$B$7</f>
        <v>SCH/Connector.SchLib</v>
      </c>
      <c r="G355" t="s">
        <v>14932</v>
      </c>
      <c r="H355" t="s">
        <v>15331</v>
      </c>
      <c r="I355" t="s">
        <v>15714</v>
      </c>
      <c r="K355" s="47" t="s">
        <v>16208</v>
      </c>
      <c r="L355" t="s">
        <v>16205</v>
      </c>
      <c r="M355" t="s">
        <v>16228</v>
      </c>
    </row>
    <row r="356" spans="1:13">
      <c r="A356" t="s">
        <v>15991</v>
      </c>
      <c r="B356" t="s">
        <v>15991</v>
      </c>
      <c r="C356" t="s">
        <v>15992</v>
      </c>
      <c r="D356" t="s">
        <v>4310</v>
      </c>
      <c r="F356" t="str">
        <f>Config!$B$7</f>
        <v>SCH/Connector.SchLib</v>
      </c>
      <c r="G356" t="s">
        <v>14932</v>
      </c>
      <c r="H356" t="s">
        <v>15331</v>
      </c>
      <c r="I356" t="s">
        <v>15715</v>
      </c>
      <c r="K356" s="47" t="s">
        <v>16208</v>
      </c>
      <c r="L356" t="s">
        <v>16213</v>
      </c>
      <c r="M356" t="s">
        <v>16228</v>
      </c>
    </row>
    <row r="357" spans="1:13">
      <c r="A357" t="s">
        <v>15993</v>
      </c>
      <c r="B357" t="s">
        <v>15993</v>
      </c>
      <c r="C357" t="s">
        <v>15994</v>
      </c>
      <c r="D357" t="s">
        <v>4310</v>
      </c>
      <c r="F357" t="str">
        <f>Config!$B$7</f>
        <v>SCH/Connector.SchLib</v>
      </c>
      <c r="G357" t="s">
        <v>14932</v>
      </c>
      <c r="H357" t="s">
        <v>15331</v>
      </c>
      <c r="I357" t="s">
        <v>15716</v>
      </c>
      <c r="K357" s="47" t="s">
        <v>16208</v>
      </c>
      <c r="L357" t="s">
        <v>16218</v>
      </c>
      <c r="M357" t="s">
        <v>16228</v>
      </c>
    </row>
    <row r="359" spans="1:13">
      <c r="A359" t="s">
        <v>15268</v>
      </c>
      <c r="B359" t="s">
        <v>15268</v>
      </c>
      <c r="C359" t="s">
        <v>15269</v>
      </c>
      <c r="D359" t="s">
        <v>4310</v>
      </c>
      <c r="F359" t="str">
        <f>Config!$B$7</f>
        <v>SCH/Connector.SchLib</v>
      </c>
      <c r="G359" t="s">
        <v>14932</v>
      </c>
      <c r="H359" t="s">
        <v>15270</v>
      </c>
      <c r="I359" t="s">
        <v>14962</v>
      </c>
      <c r="K359" s="47" t="s">
        <v>16198</v>
      </c>
      <c r="L359" t="s">
        <v>16198</v>
      </c>
      <c r="M359" t="s">
        <v>16229</v>
      </c>
    </row>
    <row r="360" spans="1:13">
      <c r="A360" t="s">
        <v>15271</v>
      </c>
      <c r="B360" t="s">
        <v>15271</v>
      </c>
      <c r="C360" t="s">
        <v>15272</v>
      </c>
      <c r="D360" t="s">
        <v>4310</v>
      </c>
      <c r="F360" t="str">
        <f>Config!$B$7</f>
        <v>SCH/Connector.SchLib</v>
      </c>
      <c r="G360" t="s">
        <v>14932</v>
      </c>
      <c r="H360" t="s">
        <v>15270</v>
      </c>
      <c r="I360" t="s">
        <v>14963</v>
      </c>
      <c r="K360" s="47" t="s">
        <v>16198</v>
      </c>
      <c r="L360" t="s">
        <v>16199</v>
      </c>
      <c r="M360" t="s">
        <v>16229</v>
      </c>
    </row>
    <row r="361" spans="1:13">
      <c r="A361" t="s">
        <v>15273</v>
      </c>
      <c r="B361" t="s">
        <v>15273</v>
      </c>
      <c r="C361" t="s">
        <v>15274</v>
      </c>
      <c r="D361" t="s">
        <v>4310</v>
      </c>
      <c r="F361" t="str">
        <f>Config!$B$7</f>
        <v>SCH/Connector.SchLib</v>
      </c>
      <c r="G361" t="s">
        <v>14932</v>
      </c>
      <c r="H361" t="s">
        <v>15270</v>
      </c>
      <c r="I361" t="s">
        <v>14934</v>
      </c>
      <c r="K361" s="47" t="s">
        <v>16199</v>
      </c>
      <c r="L361" t="s">
        <v>16198</v>
      </c>
      <c r="M361" t="s">
        <v>16229</v>
      </c>
    </row>
    <row r="362" spans="1:13">
      <c r="A362" t="s">
        <v>15275</v>
      </c>
      <c r="B362" t="s">
        <v>15275</v>
      </c>
      <c r="C362" t="s">
        <v>15276</v>
      </c>
      <c r="D362" t="s">
        <v>4310</v>
      </c>
      <c r="F362" t="str">
        <f>Config!$B$7</f>
        <v>SCH/Connector.SchLib</v>
      </c>
      <c r="G362" t="s">
        <v>14932</v>
      </c>
      <c r="H362" t="s">
        <v>15270</v>
      </c>
      <c r="I362" t="s">
        <v>14935</v>
      </c>
      <c r="K362" s="47" t="s">
        <v>16199</v>
      </c>
      <c r="L362" t="s">
        <v>16199</v>
      </c>
      <c r="M362" t="s">
        <v>16229</v>
      </c>
    </row>
    <row r="363" spans="1:13">
      <c r="A363" t="s">
        <v>15277</v>
      </c>
      <c r="B363" t="s">
        <v>15277</v>
      </c>
      <c r="C363" t="s">
        <v>15278</v>
      </c>
      <c r="D363" t="s">
        <v>4310</v>
      </c>
      <c r="F363" t="str">
        <f>Config!$B$7</f>
        <v>SCH/Connector.SchLib</v>
      </c>
      <c r="G363" t="s">
        <v>14932</v>
      </c>
      <c r="H363" t="s">
        <v>15270</v>
      </c>
      <c r="I363" t="s">
        <v>14936</v>
      </c>
      <c r="K363" s="47" t="s">
        <v>16199</v>
      </c>
      <c r="L363" t="s">
        <v>16200</v>
      </c>
      <c r="M363" t="s">
        <v>16229</v>
      </c>
    </row>
    <row r="364" spans="1:13">
      <c r="A364" t="s">
        <v>15279</v>
      </c>
      <c r="B364" t="s">
        <v>15279</v>
      </c>
      <c r="C364" t="s">
        <v>15280</v>
      </c>
      <c r="D364" t="s">
        <v>4310</v>
      </c>
      <c r="F364" t="str">
        <f>Config!$B$7</f>
        <v>SCH/Connector.SchLib</v>
      </c>
      <c r="G364" t="s">
        <v>14932</v>
      </c>
      <c r="H364" t="s">
        <v>15270</v>
      </c>
      <c r="I364" t="s">
        <v>14937</v>
      </c>
      <c r="K364" s="47" t="s">
        <v>16200</v>
      </c>
      <c r="L364" t="s">
        <v>16198</v>
      </c>
      <c r="M364" t="s">
        <v>16229</v>
      </c>
    </row>
    <row r="365" spans="1:13">
      <c r="A365" t="s">
        <v>15281</v>
      </c>
      <c r="B365" t="s">
        <v>15281</v>
      </c>
      <c r="C365" t="s">
        <v>15282</v>
      </c>
      <c r="D365" t="s">
        <v>4310</v>
      </c>
      <c r="F365" t="str">
        <f>Config!$B$7</f>
        <v>SCH/Connector.SchLib</v>
      </c>
      <c r="G365" t="s">
        <v>14932</v>
      </c>
      <c r="H365" t="s">
        <v>15270</v>
      </c>
      <c r="I365" t="s">
        <v>14938</v>
      </c>
      <c r="K365" s="47" t="s">
        <v>16200</v>
      </c>
      <c r="L365" t="s">
        <v>16199</v>
      </c>
      <c r="M365" t="s">
        <v>16229</v>
      </c>
    </row>
    <row r="366" spans="1:13">
      <c r="A366" t="s">
        <v>15283</v>
      </c>
      <c r="B366" t="s">
        <v>15283</v>
      </c>
      <c r="C366" t="s">
        <v>15284</v>
      </c>
      <c r="D366" t="s">
        <v>4310</v>
      </c>
      <c r="F366" t="str">
        <f>Config!$B$7</f>
        <v>SCH/Connector.SchLib</v>
      </c>
      <c r="G366" t="s">
        <v>14932</v>
      </c>
      <c r="H366" t="s">
        <v>15270</v>
      </c>
      <c r="I366" t="s">
        <v>14939</v>
      </c>
      <c r="K366" s="47" t="s">
        <v>16200</v>
      </c>
      <c r="L366" t="s">
        <v>16200</v>
      </c>
      <c r="M366" t="s">
        <v>16229</v>
      </c>
    </row>
    <row r="367" spans="1:13">
      <c r="A367" t="s">
        <v>15285</v>
      </c>
      <c r="B367" t="s">
        <v>15285</v>
      </c>
      <c r="C367" t="s">
        <v>15286</v>
      </c>
      <c r="D367" t="s">
        <v>4310</v>
      </c>
      <c r="F367" t="str">
        <f>Config!$B$7</f>
        <v>SCH/Connector.SchLib</v>
      </c>
      <c r="G367" t="s">
        <v>14932</v>
      </c>
      <c r="H367" t="s">
        <v>15270</v>
      </c>
      <c r="I367" t="s">
        <v>14940</v>
      </c>
      <c r="K367" s="47" t="s">
        <v>16200</v>
      </c>
      <c r="L367" t="s">
        <v>16202</v>
      </c>
      <c r="M367" t="s">
        <v>16229</v>
      </c>
    </row>
    <row r="368" spans="1:13">
      <c r="A368" t="s">
        <v>15287</v>
      </c>
      <c r="B368" t="s">
        <v>15287</v>
      </c>
      <c r="C368" t="s">
        <v>15288</v>
      </c>
      <c r="D368" t="s">
        <v>4310</v>
      </c>
      <c r="F368" t="str">
        <f>Config!$B$7</f>
        <v>SCH/Connector.SchLib</v>
      </c>
      <c r="G368" t="s">
        <v>14932</v>
      </c>
      <c r="H368" t="s">
        <v>15270</v>
      </c>
      <c r="I368" t="s">
        <v>14941</v>
      </c>
      <c r="K368" s="47" t="s">
        <v>16201</v>
      </c>
      <c r="L368" t="s">
        <v>16209</v>
      </c>
      <c r="M368" t="s">
        <v>16229</v>
      </c>
    </row>
    <row r="369" spans="1:13">
      <c r="A369" t="s">
        <v>15289</v>
      </c>
      <c r="B369" t="s">
        <v>15289</v>
      </c>
      <c r="C369" t="s">
        <v>15290</v>
      </c>
      <c r="D369" t="s">
        <v>4310</v>
      </c>
      <c r="F369" t="str">
        <f>Config!$B$7</f>
        <v>SCH/Connector.SchLib</v>
      </c>
      <c r="G369" t="s">
        <v>14932</v>
      </c>
      <c r="H369" t="s">
        <v>15270</v>
      </c>
      <c r="I369" t="s">
        <v>14942</v>
      </c>
      <c r="K369" s="47" t="s">
        <v>16201</v>
      </c>
      <c r="L369" t="s">
        <v>16201</v>
      </c>
      <c r="M369" t="s">
        <v>16229</v>
      </c>
    </row>
    <row r="370" spans="1:13">
      <c r="A370" t="s">
        <v>15291</v>
      </c>
      <c r="B370" t="s">
        <v>15291</v>
      </c>
      <c r="C370" t="s">
        <v>15292</v>
      </c>
      <c r="D370" t="s">
        <v>4310</v>
      </c>
      <c r="F370" t="str">
        <f>Config!$B$7</f>
        <v>SCH/Connector.SchLib</v>
      </c>
      <c r="G370" t="s">
        <v>14932</v>
      </c>
      <c r="H370" t="s">
        <v>15270</v>
      </c>
      <c r="I370" t="s">
        <v>14943</v>
      </c>
      <c r="K370" s="47" t="s">
        <v>16201</v>
      </c>
      <c r="L370" t="s">
        <v>16203</v>
      </c>
      <c r="M370" t="s">
        <v>16229</v>
      </c>
    </row>
    <row r="371" spans="1:13">
      <c r="A371" t="s">
        <v>15293</v>
      </c>
      <c r="B371" t="s">
        <v>15293</v>
      </c>
      <c r="C371" t="s">
        <v>15294</v>
      </c>
      <c r="D371" t="s">
        <v>4310</v>
      </c>
      <c r="F371" t="str">
        <f>Config!$B$7</f>
        <v>SCH/Connector.SchLib</v>
      </c>
      <c r="G371" t="s">
        <v>14932</v>
      </c>
      <c r="H371" t="s">
        <v>15270</v>
      </c>
      <c r="I371" t="s">
        <v>14944</v>
      </c>
      <c r="K371" s="47" t="s">
        <v>16202</v>
      </c>
      <c r="L371" t="s">
        <v>16199</v>
      </c>
      <c r="M371" t="s">
        <v>16229</v>
      </c>
    </row>
    <row r="372" spans="1:13">
      <c r="A372" t="s">
        <v>15295</v>
      </c>
      <c r="B372" t="s">
        <v>15295</v>
      </c>
      <c r="C372" t="s">
        <v>15296</v>
      </c>
      <c r="D372" t="s">
        <v>4310</v>
      </c>
      <c r="F372" t="str">
        <f>Config!$B$7</f>
        <v>SCH/Connector.SchLib</v>
      </c>
      <c r="G372" t="s">
        <v>14932</v>
      </c>
      <c r="H372" t="s">
        <v>15270</v>
      </c>
      <c r="I372" t="s">
        <v>14945</v>
      </c>
      <c r="K372" s="47" t="s">
        <v>16202</v>
      </c>
      <c r="L372" t="s">
        <v>16200</v>
      </c>
      <c r="M372" t="s">
        <v>16229</v>
      </c>
    </row>
    <row r="373" spans="1:13">
      <c r="A373" t="s">
        <v>15297</v>
      </c>
      <c r="B373" t="s">
        <v>15297</v>
      </c>
      <c r="C373" t="s">
        <v>15298</v>
      </c>
      <c r="D373" t="s">
        <v>4310</v>
      </c>
      <c r="F373" t="str">
        <f>Config!$B$7</f>
        <v>SCH/Connector.SchLib</v>
      </c>
      <c r="G373" t="s">
        <v>14932</v>
      </c>
      <c r="H373" t="s">
        <v>15270</v>
      </c>
      <c r="I373" t="s">
        <v>14946</v>
      </c>
      <c r="K373" s="47" t="s">
        <v>16202</v>
      </c>
      <c r="L373" t="s">
        <v>16202</v>
      </c>
      <c r="M373" t="s">
        <v>16229</v>
      </c>
    </row>
    <row r="374" spans="1:13">
      <c r="A374" t="s">
        <v>15299</v>
      </c>
      <c r="B374" t="s">
        <v>15299</v>
      </c>
      <c r="C374" t="s">
        <v>15300</v>
      </c>
      <c r="D374" t="s">
        <v>4310</v>
      </c>
      <c r="F374" t="str">
        <f>Config!$B$7</f>
        <v>SCH/Connector.SchLib</v>
      </c>
      <c r="G374" t="s">
        <v>14932</v>
      </c>
      <c r="H374" t="s">
        <v>15270</v>
      </c>
      <c r="I374" t="s">
        <v>14947</v>
      </c>
      <c r="K374" s="47" t="s">
        <v>16202</v>
      </c>
      <c r="L374" t="s">
        <v>16204</v>
      </c>
      <c r="M374" t="s">
        <v>16229</v>
      </c>
    </row>
    <row r="375" spans="1:13">
      <c r="A375" t="s">
        <v>15301</v>
      </c>
      <c r="B375" t="s">
        <v>15301</v>
      </c>
      <c r="C375" t="s">
        <v>15302</v>
      </c>
      <c r="D375" t="s">
        <v>4310</v>
      </c>
      <c r="F375" t="str">
        <f>Config!$B$7</f>
        <v>SCH/Connector.SchLib</v>
      </c>
      <c r="G375" t="s">
        <v>14932</v>
      </c>
      <c r="H375" t="s">
        <v>15270</v>
      </c>
      <c r="I375" t="s">
        <v>14948</v>
      </c>
      <c r="K375" s="47" t="s">
        <v>16203</v>
      </c>
      <c r="L375" t="s">
        <v>16209</v>
      </c>
      <c r="M375" t="s">
        <v>16229</v>
      </c>
    </row>
    <row r="376" spans="1:13">
      <c r="A376" t="s">
        <v>15303</v>
      </c>
      <c r="B376" t="s">
        <v>15303</v>
      </c>
      <c r="C376" t="s">
        <v>15304</v>
      </c>
      <c r="D376" t="s">
        <v>4310</v>
      </c>
      <c r="F376" t="str">
        <f>Config!$B$7</f>
        <v>SCH/Connector.SchLib</v>
      </c>
      <c r="G376" t="s">
        <v>14932</v>
      </c>
      <c r="H376" t="s">
        <v>15270</v>
      </c>
      <c r="I376" t="s">
        <v>14949</v>
      </c>
      <c r="K376" s="47" t="s">
        <v>16203</v>
      </c>
      <c r="L376" t="s">
        <v>16201</v>
      </c>
      <c r="M376" t="s">
        <v>16229</v>
      </c>
    </row>
    <row r="377" spans="1:13">
      <c r="A377" t="s">
        <v>15305</v>
      </c>
      <c r="B377" t="s">
        <v>15305</v>
      </c>
      <c r="C377" t="s">
        <v>15306</v>
      </c>
      <c r="D377" t="s">
        <v>4310</v>
      </c>
      <c r="F377" t="str">
        <f>Config!$B$7</f>
        <v>SCH/Connector.SchLib</v>
      </c>
      <c r="G377" t="s">
        <v>14932</v>
      </c>
      <c r="H377" t="s">
        <v>15270</v>
      </c>
      <c r="I377" t="s">
        <v>14950</v>
      </c>
      <c r="K377" s="47" t="s">
        <v>16203</v>
      </c>
      <c r="L377" t="s">
        <v>16203</v>
      </c>
      <c r="M377" t="s">
        <v>16229</v>
      </c>
    </row>
    <row r="378" spans="1:13">
      <c r="A378" t="s">
        <v>15307</v>
      </c>
      <c r="B378" t="s">
        <v>15307</v>
      </c>
      <c r="C378" t="s">
        <v>15308</v>
      </c>
      <c r="D378" t="s">
        <v>4310</v>
      </c>
      <c r="F378" t="str">
        <f>Config!$B$7</f>
        <v>SCH/Connector.SchLib</v>
      </c>
      <c r="G378" t="s">
        <v>14932</v>
      </c>
      <c r="H378" t="s">
        <v>15270</v>
      </c>
      <c r="I378" t="s">
        <v>14951</v>
      </c>
      <c r="K378" s="47" t="s">
        <v>16203</v>
      </c>
      <c r="L378" t="s">
        <v>16206</v>
      </c>
      <c r="M378" t="s">
        <v>16229</v>
      </c>
    </row>
    <row r="379" spans="1:13">
      <c r="A379" t="s">
        <v>15309</v>
      </c>
      <c r="B379" t="s">
        <v>15309</v>
      </c>
      <c r="C379" t="s">
        <v>15310</v>
      </c>
      <c r="D379" t="s">
        <v>4310</v>
      </c>
      <c r="F379" t="str">
        <f>Config!$B$7</f>
        <v>SCH/Connector.SchLib</v>
      </c>
      <c r="G379" t="s">
        <v>14932</v>
      </c>
      <c r="H379" t="s">
        <v>15270</v>
      </c>
      <c r="I379" t="s">
        <v>14952</v>
      </c>
      <c r="K379" s="47" t="s">
        <v>16204</v>
      </c>
      <c r="L379" t="s">
        <v>16210</v>
      </c>
      <c r="M379" t="s">
        <v>16229</v>
      </c>
    </row>
    <row r="380" spans="1:13">
      <c r="A380" t="s">
        <v>15311</v>
      </c>
      <c r="B380" t="s">
        <v>15311</v>
      </c>
      <c r="C380" t="s">
        <v>15312</v>
      </c>
      <c r="D380" t="s">
        <v>4310</v>
      </c>
      <c r="F380" t="str">
        <f>Config!$B$7</f>
        <v>SCH/Connector.SchLib</v>
      </c>
      <c r="G380" t="s">
        <v>14932</v>
      </c>
      <c r="H380" t="s">
        <v>15270</v>
      </c>
      <c r="I380" t="s">
        <v>14953</v>
      </c>
      <c r="K380" s="47" t="s">
        <v>16204</v>
      </c>
      <c r="L380" t="s">
        <v>16200</v>
      </c>
      <c r="M380" t="s">
        <v>16229</v>
      </c>
    </row>
    <row r="381" spans="1:13">
      <c r="A381" t="s">
        <v>15313</v>
      </c>
      <c r="B381" t="s">
        <v>15313</v>
      </c>
      <c r="C381" t="s">
        <v>15314</v>
      </c>
      <c r="D381" t="s">
        <v>4310</v>
      </c>
      <c r="F381" t="str">
        <f>Config!$B$7</f>
        <v>SCH/Connector.SchLib</v>
      </c>
      <c r="G381" t="s">
        <v>14932</v>
      </c>
      <c r="H381" t="s">
        <v>15270</v>
      </c>
      <c r="I381" t="s">
        <v>14954</v>
      </c>
      <c r="K381" s="47" t="s">
        <v>16204</v>
      </c>
      <c r="L381" t="s">
        <v>16202</v>
      </c>
      <c r="M381" t="s">
        <v>16229</v>
      </c>
    </row>
    <row r="382" spans="1:13">
      <c r="A382" t="s">
        <v>15315</v>
      </c>
      <c r="B382" t="s">
        <v>15315</v>
      </c>
      <c r="C382" t="s">
        <v>15316</v>
      </c>
      <c r="D382" t="s">
        <v>4310</v>
      </c>
      <c r="F382" t="str">
        <f>Config!$B$7</f>
        <v>SCH/Connector.SchLib</v>
      </c>
      <c r="G382" t="s">
        <v>14932</v>
      </c>
      <c r="H382" t="s">
        <v>15270</v>
      </c>
      <c r="I382" t="s">
        <v>14955</v>
      </c>
      <c r="K382" s="47" t="s">
        <v>16204</v>
      </c>
      <c r="L382" t="s">
        <v>16204</v>
      </c>
      <c r="M382" t="s">
        <v>16229</v>
      </c>
    </row>
    <row r="383" spans="1:13">
      <c r="A383" t="s">
        <v>15317</v>
      </c>
      <c r="B383" t="s">
        <v>15317</v>
      </c>
      <c r="C383" t="s">
        <v>15318</v>
      </c>
      <c r="D383" t="s">
        <v>4310</v>
      </c>
      <c r="F383" t="str">
        <f>Config!$B$7</f>
        <v>SCH/Connector.SchLib</v>
      </c>
      <c r="G383" t="s">
        <v>14932</v>
      </c>
      <c r="H383" t="s">
        <v>15270</v>
      </c>
      <c r="I383" t="s">
        <v>14956</v>
      </c>
      <c r="K383" s="47" t="s">
        <v>16204</v>
      </c>
      <c r="L383" t="s">
        <v>16207</v>
      </c>
      <c r="M383" t="s">
        <v>16229</v>
      </c>
    </row>
    <row r="384" spans="1:13">
      <c r="A384" t="s">
        <v>15319</v>
      </c>
      <c r="B384" t="s">
        <v>15319</v>
      </c>
      <c r="C384" t="s">
        <v>15320</v>
      </c>
      <c r="D384" t="s">
        <v>4310</v>
      </c>
      <c r="F384" t="str">
        <f>Config!$B$7</f>
        <v>SCH/Connector.SchLib</v>
      </c>
      <c r="G384" t="s">
        <v>14932</v>
      </c>
      <c r="H384" t="s">
        <v>15270</v>
      </c>
      <c r="I384" t="s">
        <v>14957</v>
      </c>
      <c r="K384" s="47" t="s">
        <v>16205</v>
      </c>
      <c r="L384" t="s">
        <v>16199</v>
      </c>
      <c r="M384" t="s">
        <v>16229</v>
      </c>
    </row>
    <row r="385" spans="1:13">
      <c r="A385" t="s">
        <v>15915</v>
      </c>
      <c r="B385" t="s">
        <v>15915</v>
      </c>
      <c r="C385" t="s">
        <v>15916</v>
      </c>
      <c r="D385" t="s">
        <v>4310</v>
      </c>
      <c r="F385" t="str">
        <f>Config!$B$7</f>
        <v>SCH/Connector.SchLib</v>
      </c>
      <c r="G385" t="s">
        <v>14932</v>
      </c>
      <c r="H385" t="s">
        <v>15270</v>
      </c>
      <c r="I385" t="s">
        <v>15695</v>
      </c>
      <c r="K385" s="47" t="s">
        <v>16205</v>
      </c>
      <c r="L385" t="s">
        <v>16200</v>
      </c>
      <c r="M385" t="s">
        <v>16229</v>
      </c>
    </row>
    <row r="386" spans="1:13">
      <c r="A386" t="s">
        <v>15321</v>
      </c>
      <c r="B386" t="s">
        <v>15321</v>
      </c>
      <c r="C386" t="s">
        <v>15322</v>
      </c>
      <c r="D386" t="s">
        <v>4310</v>
      </c>
      <c r="F386" t="str">
        <f>Config!$B$7</f>
        <v>SCH/Connector.SchLib</v>
      </c>
      <c r="G386" t="s">
        <v>14932</v>
      </c>
      <c r="H386" t="s">
        <v>15270</v>
      </c>
      <c r="I386" t="s">
        <v>14958</v>
      </c>
      <c r="K386" s="47" t="s">
        <v>16205</v>
      </c>
      <c r="L386" t="s">
        <v>16211</v>
      </c>
      <c r="M386" t="s">
        <v>16229</v>
      </c>
    </row>
    <row r="387" spans="1:13">
      <c r="A387" t="s">
        <v>15323</v>
      </c>
      <c r="B387" t="s">
        <v>15323</v>
      </c>
      <c r="C387" t="s">
        <v>15324</v>
      </c>
      <c r="D387" t="s">
        <v>4310</v>
      </c>
      <c r="F387" t="str">
        <f>Config!$B$7</f>
        <v>SCH/Connector.SchLib</v>
      </c>
      <c r="G387" t="s">
        <v>14932</v>
      </c>
      <c r="H387" t="s">
        <v>15270</v>
      </c>
      <c r="I387" t="s">
        <v>14959</v>
      </c>
      <c r="K387" s="47" t="s">
        <v>16205</v>
      </c>
      <c r="L387" t="s">
        <v>16212</v>
      </c>
      <c r="M387" t="s">
        <v>16229</v>
      </c>
    </row>
    <row r="388" spans="1:13">
      <c r="A388" t="s">
        <v>15325</v>
      </c>
      <c r="B388" t="s">
        <v>15325</v>
      </c>
      <c r="C388" t="s">
        <v>15326</v>
      </c>
      <c r="D388" t="s">
        <v>4310</v>
      </c>
      <c r="F388" t="str">
        <f>Config!$B$7</f>
        <v>SCH/Connector.SchLib</v>
      </c>
      <c r="G388" t="s">
        <v>14932</v>
      </c>
      <c r="H388" t="s">
        <v>15270</v>
      </c>
      <c r="I388" t="s">
        <v>14960</v>
      </c>
      <c r="K388" s="47" t="s">
        <v>16205</v>
      </c>
      <c r="L388" t="s">
        <v>16205</v>
      </c>
      <c r="M388" t="s">
        <v>16229</v>
      </c>
    </row>
    <row r="389" spans="1:13">
      <c r="A389" t="s">
        <v>15327</v>
      </c>
      <c r="B389" t="s">
        <v>15327</v>
      </c>
      <c r="C389" t="s">
        <v>15328</v>
      </c>
      <c r="D389" t="s">
        <v>4310</v>
      </c>
      <c r="F389" t="str">
        <f>Config!$B$7</f>
        <v>SCH/Connector.SchLib</v>
      </c>
      <c r="G389" t="s">
        <v>14932</v>
      </c>
      <c r="H389" t="s">
        <v>15270</v>
      </c>
      <c r="I389" t="s">
        <v>14961</v>
      </c>
      <c r="K389" s="47" t="s">
        <v>16205</v>
      </c>
      <c r="L389" t="s">
        <v>16213</v>
      </c>
      <c r="M389" t="s">
        <v>16229</v>
      </c>
    </row>
    <row r="390" spans="1:13">
      <c r="A390" t="s">
        <v>15917</v>
      </c>
      <c r="B390" t="s">
        <v>15917</v>
      </c>
      <c r="C390" t="s">
        <v>15918</v>
      </c>
      <c r="D390" t="s">
        <v>4310</v>
      </c>
      <c r="F390" t="str">
        <f>Config!$B$7</f>
        <v>SCH/Connector.SchLib</v>
      </c>
      <c r="G390" t="s">
        <v>14932</v>
      </c>
      <c r="H390" t="s">
        <v>15270</v>
      </c>
      <c r="I390" t="s">
        <v>15698</v>
      </c>
      <c r="K390" s="47" t="s">
        <v>16206</v>
      </c>
      <c r="L390" t="s">
        <v>16214</v>
      </c>
      <c r="M390" t="s">
        <v>16229</v>
      </c>
    </row>
    <row r="391" spans="1:13">
      <c r="A391" t="s">
        <v>15919</v>
      </c>
      <c r="B391" t="s">
        <v>15919</v>
      </c>
      <c r="C391" t="s">
        <v>15920</v>
      </c>
      <c r="D391" t="s">
        <v>4310</v>
      </c>
      <c r="F391" t="str">
        <f>Config!$B$7</f>
        <v>SCH/Connector.SchLib</v>
      </c>
      <c r="G391" t="s">
        <v>14932</v>
      </c>
      <c r="H391" t="s">
        <v>15270</v>
      </c>
      <c r="I391" t="s">
        <v>15699</v>
      </c>
      <c r="K391" s="47" t="s">
        <v>16206</v>
      </c>
      <c r="L391" t="s">
        <v>16200</v>
      </c>
      <c r="M391" t="s">
        <v>16229</v>
      </c>
    </row>
    <row r="392" spans="1:13">
      <c r="A392" t="s">
        <v>15921</v>
      </c>
      <c r="B392" t="s">
        <v>15921</v>
      </c>
      <c r="C392" t="s">
        <v>15922</v>
      </c>
      <c r="D392" t="s">
        <v>4310</v>
      </c>
      <c r="F392" t="str">
        <f>Config!$B$7</f>
        <v>SCH/Connector.SchLib</v>
      </c>
      <c r="G392" t="s">
        <v>14932</v>
      </c>
      <c r="H392" t="s">
        <v>15270</v>
      </c>
      <c r="I392" t="s">
        <v>15700</v>
      </c>
      <c r="K392" s="47" t="s">
        <v>16206</v>
      </c>
      <c r="L392" t="s">
        <v>16201</v>
      </c>
      <c r="M392" t="s">
        <v>16229</v>
      </c>
    </row>
    <row r="393" spans="1:13">
      <c r="A393" t="s">
        <v>15923</v>
      </c>
      <c r="B393" t="s">
        <v>15923</v>
      </c>
      <c r="C393" t="s">
        <v>15924</v>
      </c>
      <c r="D393" t="s">
        <v>4310</v>
      </c>
      <c r="F393" t="str">
        <f>Config!$B$7</f>
        <v>SCH/Connector.SchLib</v>
      </c>
      <c r="G393" t="s">
        <v>14932</v>
      </c>
      <c r="H393" t="s">
        <v>15270</v>
      </c>
      <c r="I393" t="s">
        <v>15701</v>
      </c>
      <c r="K393" s="47" t="s">
        <v>16206</v>
      </c>
      <c r="L393" t="s">
        <v>16203</v>
      </c>
      <c r="M393" t="s">
        <v>16229</v>
      </c>
    </row>
    <row r="394" spans="1:13">
      <c r="A394" t="s">
        <v>15925</v>
      </c>
      <c r="B394" t="s">
        <v>15925</v>
      </c>
      <c r="C394" t="s">
        <v>15926</v>
      </c>
      <c r="D394" t="s">
        <v>4310</v>
      </c>
      <c r="F394" t="str">
        <f>Config!$B$7</f>
        <v>SCH/Connector.SchLib</v>
      </c>
      <c r="G394" t="s">
        <v>14932</v>
      </c>
      <c r="H394" t="s">
        <v>15270</v>
      </c>
      <c r="I394" t="s">
        <v>15702</v>
      </c>
      <c r="K394" s="47" t="s">
        <v>16206</v>
      </c>
      <c r="L394" t="s">
        <v>16206</v>
      </c>
      <c r="M394" t="s">
        <v>16229</v>
      </c>
    </row>
    <row r="395" spans="1:13">
      <c r="A395" t="s">
        <v>15927</v>
      </c>
      <c r="B395" t="s">
        <v>15927</v>
      </c>
      <c r="C395" t="s">
        <v>15928</v>
      </c>
      <c r="D395" t="s">
        <v>4310</v>
      </c>
      <c r="F395" t="str">
        <f>Config!$B$7</f>
        <v>SCH/Connector.SchLib</v>
      </c>
      <c r="G395" t="s">
        <v>14932</v>
      </c>
      <c r="H395" t="s">
        <v>15270</v>
      </c>
      <c r="I395" t="s">
        <v>15703</v>
      </c>
      <c r="K395" s="47" t="s">
        <v>16206</v>
      </c>
      <c r="L395" t="s">
        <v>16215</v>
      </c>
      <c r="M395" t="s">
        <v>16229</v>
      </c>
    </row>
    <row r="396" spans="1:13">
      <c r="A396" t="s">
        <v>15929</v>
      </c>
      <c r="B396" t="s">
        <v>15929</v>
      </c>
      <c r="C396" t="s">
        <v>15930</v>
      </c>
      <c r="D396" t="s">
        <v>4310</v>
      </c>
      <c r="F396" t="str">
        <f>Config!$B$7</f>
        <v>SCH/Connector.SchLib</v>
      </c>
      <c r="G396" t="s">
        <v>14932</v>
      </c>
      <c r="H396" t="s">
        <v>15270</v>
      </c>
      <c r="I396" t="s">
        <v>15704</v>
      </c>
      <c r="K396" s="47" t="s">
        <v>16207</v>
      </c>
      <c r="L396" t="s">
        <v>16199</v>
      </c>
      <c r="M396" t="s">
        <v>16229</v>
      </c>
    </row>
    <row r="397" spans="1:13">
      <c r="A397" t="s">
        <v>15931</v>
      </c>
      <c r="B397" t="s">
        <v>15931</v>
      </c>
      <c r="C397" t="s">
        <v>15932</v>
      </c>
      <c r="D397" t="s">
        <v>4310</v>
      </c>
      <c r="F397" t="str">
        <f>Config!$B$7</f>
        <v>SCH/Connector.SchLib</v>
      </c>
      <c r="G397" t="s">
        <v>14932</v>
      </c>
      <c r="H397" t="s">
        <v>15270</v>
      </c>
      <c r="I397" t="s">
        <v>15705</v>
      </c>
      <c r="K397" s="47" t="s">
        <v>16207</v>
      </c>
      <c r="L397" t="s">
        <v>16216</v>
      </c>
      <c r="M397" t="s">
        <v>16229</v>
      </c>
    </row>
    <row r="398" spans="1:13">
      <c r="A398" t="s">
        <v>15933</v>
      </c>
      <c r="B398" t="s">
        <v>15933</v>
      </c>
      <c r="C398" t="s">
        <v>15934</v>
      </c>
      <c r="D398" t="s">
        <v>4310</v>
      </c>
      <c r="F398" t="str">
        <f>Config!$B$7</f>
        <v>SCH/Connector.SchLib</v>
      </c>
      <c r="G398" t="s">
        <v>14932</v>
      </c>
      <c r="H398" t="s">
        <v>15270</v>
      </c>
      <c r="I398" t="s">
        <v>15706</v>
      </c>
      <c r="K398" s="47" t="s">
        <v>16207</v>
      </c>
      <c r="L398" t="s">
        <v>16200</v>
      </c>
      <c r="M398" t="s">
        <v>16229</v>
      </c>
    </row>
    <row r="399" spans="1:13">
      <c r="A399" t="s">
        <v>15935</v>
      </c>
      <c r="B399" t="s">
        <v>15935</v>
      </c>
      <c r="C399" t="s">
        <v>15936</v>
      </c>
      <c r="D399" t="s">
        <v>4310</v>
      </c>
      <c r="F399" t="str">
        <f>Config!$B$7</f>
        <v>SCH/Connector.SchLib</v>
      </c>
      <c r="G399" t="s">
        <v>14932</v>
      </c>
      <c r="H399" t="s">
        <v>15270</v>
      </c>
      <c r="I399" t="s">
        <v>15707</v>
      </c>
      <c r="K399" s="47" t="s">
        <v>16207</v>
      </c>
      <c r="L399" t="s">
        <v>16202</v>
      </c>
      <c r="M399" t="s">
        <v>16229</v>
      </c>
    </row>
    <row r="400" spans="1:13">
      <c r="A400" t="s">
        <v>15937</v>
      </c>
      <c r="B400" t="s">
        <v>15937</v>
      </c>
      <c r="C400" t="s">
        <v>15938</v>
      </c>
      <c r="D400" t="s">
        <v>4310</v>
      </c>
      <c r="F400" t="str">
        <f>Config!$B$7</f>
        <v>SCH/Connector.SchLib</v>
      </c>
      <c r="G400" t="s">
        <v>14932</v>
      </c>
      <c r="H400" t="s">
        <v>15270</v>
      </c>
      <c r="I400" t="s">
        <v>15708</v>
      </c>
      <c r="K400" s="47" t="s">
        <v>16207</v>
      </c>
      <c r="L400" t="s">
        <v>16204</v>
      </c>
      <c r="M400" t="s">
        <v>16229</v>
      </c>
    </row>
    <row r="401" spans="1:13">
      <c r="A401" t="s">
        <v>15939</v>
      </c>
      <c r="B401" t="s">
        <v>15939</v>
      </c>
      <c r="C401" t="s">
        <v>15940</v>
      </c>
      <c r="D401" t="s">
        <v>4310</v>
      </c>
      <c r="F401" t="str">
        <f>Config!$B$7</f>
        <v>SCH/Connector.SchLib</v>
      </c>
      <c r="G401" t="s">
        <v>14932</v>
      </c>
      <c r="H401" t="s">
        <v>15270</v>
      </c>
      <c r="I401" t="s">
        <v>15709</v>
      </c>
      <c r="K401" s="47" t="s">
        <v>16207</v>
      </c>
      <c r="L401" t="s">
        <v>16207</v>
      </c>
      <c r="M401" t="s">
        <v>16229</v>
      </c>
    </row>
    <row r="402" spans="1:13">
      <c r="A402" t="s">
        <v>15941</v>
      </c>
      <c r="B402" t="s">
        <v>15941</v>
      </c>
      <c r="C402" t="s">
        <v>15942</v>
      </c>
      <c r="D402" t="s">
        <v>4310</v>
      </c>
      <c r="F402" t="str">
        <f>Config!$B$7</f>
        <v>SCH/Connector.SchLib</v>
      </c>
      <c r="G402" t="s">
        <v>14932</v>
      </c>
      <c r="H402" t="s">
        <v>15270</v>
      </c>
      <c r="I402" t="s">
        <v>15710</v>
      </c>
      <c r="K402" s="47" t="s">
        <v>16207</v>
      </c>
      <c r="L402" t="s">
        <v>16217</v>
      </c>
      <c r="M402" t="s">
        <v>16229</v>
      </c>
    </row>
    <row r="403" spans="1:13">
      <c r="A403" t="s">
        <v>15943</v>
      </c>
      <c r="B403" t="s">
        <v>15943</v>
      </c>
      <c r="C403" t="s">
        <v>15944</v>
      </c>
      <c r="D403" t="s">
        <v>4310</v>
      </c>
      <c r="F403" t="str">
        <f>Config!$B$7</f>
        <v>SCH/Connector.SchLib</v>
      </c>
      <c r="G403" t="s">
        <v>14932</v>
      </c>
      <c r="H403" t="s">
        <v>15270</v>
      </c>
      <c r="I403" t="s">
        <v>15711</v>
      </c>
      <c r="K403" s="47" t="s">
        <v>16208</v>
      </c>
      <c r="L403" t="s">
        <v>16199</v>
      </c>
      <c r="M403" t="s">
        <v>16229</v>
      </c>
    </row>
    <row r="404" spans="1:13">
      <c r="A404" t="s">
        <v>15945</v>
      </c>
      <c r="B404" t="s">
        <v>15945</v>
      </c>
      <c r="C404" t="s">
        <v>15946</v>
      </c>
      <c r="D404" t="s">
        <v>4310</v>
      </c>
      <c r="F404" t="str">
        <f>Config!$B$7</f>
        <v>SCH/Connector.SchLib</v>
      </c>
      <c r="G404" t="s">
        <v>14932</v>
      </c>
      <c r="H404" t="s">
        <v>15270</v>
      </c>
      <c r="I404" t="s">
        <v>15712</v>
      </c>
      <c r="K404" s="47" t="s">
        <v>16208</v>
      </c>
      <c r="L404" t="s">
        <v>16200</v>
      </c>
      <c r="M404" t="s">
        <v>16229</v>
      </c>
    </row>
    <row r="405" spans="1:13">
      <c r="A405" t="s">
        <v>15947</v>
      </c>
      <c r="B405" t="s">
        <v>15947</v>
      </c>
      <c r="C405" t="s">
        <v>15948</v>
      </c>
      <c r="D405" t="s">
        <v>4310</v>
      </c>
      <c r="F405" t="str">
        <f>Config!$B$7</f>
        <v>SCH/Connector.SchLib</v>
      </c>
      <c r="G405" t="s">
        <v>14932</v>
      </c>
      <c r="H405" t="s">
        <v>15270</v>
      </c>
      <c r="I405" t="s">
        <v>15713</v>
      </c>
      <c r="K405" s="47" t="s">
        <v>16208</v>
      </c>
      <c r="L405" t="s">
        <v>16212</v>
      </c>
      <c r="M405" t="s">
        <v>16229</v>
      </c>
    </row>
    <row r="406" spans="1:13">
      <c r="A406" t="s">
        <v>15949</v>
      </c>
      <c r="B406" t="s">
        <v>15949</v>
      </c>
      <c r="C406" t="s">
        <v>15950</v>
      </c>
      <c r="D406" t="s">
        <v>4310</v>
      </c>
      <c r="F406" t="str">
        <f>Config!$B$7</f>
        <v>SCH/Connector.SchLib</v>
      </c>
      <c r="G406" t="s">
        <v>14932</v>
      </c>
      <c r="H406" t="s">
        <v>15270</v>
      </c>
      <c r="I406" t="s">
        <v>15714</v>
      </c>
      <c r="K406" s="47" t="s">
        <v>16208</v>
      </c>
      <c r="L406" t="s">
        <v>16205</v>
      </c>
      <c r="M406" t="s">
        <v>16229</v>
      </c>
    </row>
    <row r="407" spans="1:13">
      <c r="A407" t="s">
        <v>15951</v>
      </c>
      <c r="B407" t="s">
        <v>15951</v>
      </c>
      <c r="C407" t="s">
        <v>15952</v>
      </c>
      <c r="D407" t="s">
        <v>4310</v>
      </c>
      <c r="F407" t="str">
        <f>Config!$B$7</f>
        <v>SCH/Connector.SchLib</v>
      </c>
      <c r="G407" t="s">
        <v>14932</v>
      </c>
      <c r="H407" t="s">
        <v>15270</v>
      </c>
      <c r="I407" t="s">
        <v>15715</v>
      </c>
      <c r="K407" s="47" t="s">
        <v>16208</v>
      </c>
      <c r="L407" t="s">
        <v>16213</v>
      </c>
      <c r="M407" t="s">
        <v>16229</v>
      </c>
    </row>
    <row r="408" spans="1:13">
      <c r="A408" t="s">
        <v>15953</v>
      </c>
      <c r="B408" t="s">
        <v>15953</v>
      </c>
      <c r="C408" t="s">
        <v>15954</v>
      </c>
      <c r="D408" t="s">
        <v>4310</v>
      </c>
      <c r="F408" t="str">
        <f>Config!$B$7</f>
        <v>SCH/Connector.SchLib</v>
      </c>
      <c r="G408" t="s">
        <v>14932</v>
      </c>
      <c r="H408" t="s">
        <v>15270</v>
      </c>
      <c r="I408" t="s">
        <v>15716</v>
      </c>
      <c r="K408" s="47" t="s">
        <v>16208</v>
      </c>
      <c r="L408" t="s">
        <v>16218</v>
      </c>
      <c r="M408" t="s">
        <v>16229</v>
      </c>
    </row>
    <row r="410" spans="1:13">
      <c r="A410" t="s">
        <v>15207</v>
      </c>
      <c r="B410" t="s">
        <v>15207</v>
      </c>
      <c r="C410" t="s">
        <v>15208</v>
      </c>
      <c r="D410" t="s">
        <v>4310</v>
      </c>
      <c r="F410" t="str">
        <f>Config!$B$7</f>
        <v>SCH/Connector.SchLib</v>
      </c>
      <c r="G410" t="s">
        <v>14932</v>
      </c>
      <c r="H410" t="s">
        <v>15209</v>
      </c>
      <c r="I410" t="s">
        <v>14962</v>
      </c>
      <c r="K410" s="47" t="s">
        <v>16198</v>
      </c>
      <c r="L410" t="s">
        <v>16198</v>
      </c>
      <c r="M410" t="s">
        <v>16230</v>
      </c>
    </row>
    <row r="411" spans="1:13">
      <c r="A411" t="s">
        <v>15210</v>
      </c>
      <c r="B411" t="s">
        <v>15210</v>
      </c>
      <c r="C411" t="s">
        <v>15211</v>
      </c>
      <c r="D411" t="s">
        <v>4310</v>
      </c>
      <c r="F411" t="str">
        <f>Config!$B$7</f>
        <v>SCH/Connector.SchLib</v>
      </c>
      <c r="G411" t="s">
        <v>14932</v>
      </c>
      <c r="H411" t="s">
        <v>15209</v>
      </c>
      <c r="I411" t="s">
        <v>14963</v>
      </c>
      <c r="K411" s="47" t="s">
        <v>16198</v>
      </c>
      <c r="L411" t="s">
        <v>16199</v>
      </c>
      <c r="M411" t="s">
        <v>16230</v>
      </c>
    </row>
    <row r="412" spans="1:13">
      <c r="A412" t="s">
        <v>15212</v>
      </c>
      <c r="B412" t="s">
        <v>15212</v>
      </c>
      <c r="C412" t="s">
        <v>15213</v>
      </c>
      <c r="D412" t="s">
        <v>4310</v>
      </c>
      <c r="F412" t="str">
        <f>Config!$B$7</f>
        <v>SCH/Connector.SchLib</v>
      </c>
      <c r="G412" t="s">
        <v>14932</v>
      </c>
      <c r="H412" t="s">
        <v>15209</v>
      </c>
      <c r="I412" t="s">
        <v>14934</v>
      </c>
      <c r="K412" s="47" t="s">
        <v>16199</v>
      </c>
      <c r="L412" t="s">
        <v>16198</v>
      </c>
      <c r="M412" t="s">
        <v>16230</v>
      </c>
    </row>
    <row r="413" spans="1:13">
      <c r="A413" t="s">
        <v>15214</v>
      </c>
      <c r="B413" t="s">
        <v>15214</v>
      </c>
      <c r="C413" t="s">
        <v>15215</v>
      </c>
      <c r="D413" t="s">
        <v>4310</v>
      </c>
      <c r="F413" t="str">
        <f>Config!$B$7</f>
        <v>SCH/Connector.SchLib</v>
      </c>
      <c r="G413" t="s">
        <v>14932</v>
      </c>
      <c r="H413" t="s">
        <v>15209</v>
      </c>
      <c r="I413" t="s">
        <v>14935</v>
      </c>
      <c r="K413" s="47" t="s">
        <v>16199</v>
      </c>
      <c r="L413" t="s">
        <v>16199</v>
      </c>
      <c r="M413" t="s">
        <v>16230</v>
      </c>
    </row>
    <row r="414" spans="1:13">
      <c r="A414" t="s">
        <v>15216</v>
      </c>
      <c r="B414" t="s">
        <v>15216</v>
      </c>
      <c r="C414" t="s">
        <v>15217</v>
      </c>
      <c r="D414" t="s">
        <v>4310</v>
      </c>
      <c r="F414" t="str">
        <f>Config!$B$7</f>
        <v>SCH/Connector.SchLib</v>
      </c>
      <c r="G414" t="s">
        <v>14932</v>
      </c>
      <c r="H414" t="s">
        <v>15209</v>
      </c>
      <c r="I414" t="s">
        <v>14936</v>
      </c>
      <c r="K414" s="47" t="s">
        <v>16199</v>
      </c>
      <c r="L414" t="s">
        <v>16200</v>
      </c>
      <c r="M414" t="s">
        <v>16230</v>
      </c>
    </row>
    <row r="415" spans="1:13">
      <c r="A415" t="s">
        <v>15218</v>
      </c>
      <c r="B415" t="s">
        <v>15218</v>
      </c>
      <c r="C415" t="s">
        <v>15219</v>
      </c>
      <c r="D415" t="s">
        <v>4310</v>
      </c>
      <c r="F415" t="str">
        <f>Config!$B$7</f>
        <v>SCH/Connector.SchLib</v>
      </c>
      <c r="G415" t="s">
        <v>14932</v>
      </c>
      <c r="H415" t="s">
        <v>15209</v>
      </c>
      <c r="I415" t="s">
        <v>14937</v>
      </c>
      <c r="K415" s="47" t="s">
        <v>16200</v>
      </c>
      <c r="L415" t="s">
        <v>16198</v>
      </c>
      <c r="M415" t="s">
        <v>16230</v>
      </c>
    </row>
    <row r="416" spans="1:13">
      <c r="A416" t="s">
        <v>15220</v>
      </c>
      <c r="B416" t="s">
        <v>15220</v>
      </c>
      <c r="C416" t="s">
        <v>15221</v>
      </c>
      <c r="D416" t="s">
        <v>4310</v>
      </c>
      <c r="F416" t="str">
        <f>Config!$B$7</f>
        <v>SCH/Connector.SchLib</v>
      </c>
      <c r="G416" t="s">
        <v>14932</v>
      </c>
      <c r="H416" t="s">
        <v>15209</v>
      </c>
      <c r="I416" t="s">
        <v>14938</v>
      </c>
      <c r="K416" s="47" t="s">
        <v>16200</v>
      </c>
      <c r="L416" t="s">
        <v>16199</v>
      </c>
      <c r="M416" t="s">
        <v>16230</v>
      </c>
    </row>
    <row r="417" spans="1:13">
      <c r="A417" t="s">
        <v>15222</v>
      </c>
      <c r="B417" t="s">
        <v>15222</v>
      </c>
      <c r="C417" t="s">
        <v>15223</v>
      </c>
      <c r="D417" t="s">
        <v>4310</v>
      </c>
      <c r="F417" t="str">
        <f>Config!$B$7</f>
        <v>SCH/Connector.SchLib</v>
      </c>
      <c r="G417" t="s">
        <v>14932</v>
      </c>
      <c r="H417" t="s">
        <v>15209</v>
      </c>
      <c r="I417" t="s">
        <v>14939</v>
      </c>
      <c r="K417" s="47" t="s">
        <v>16200</v>
      </c>
      <c r="L417" t="s">
        <v>16200</v>
      </c>
      <c r="M417" t="s">
        <v>16230</v>
      </c>
    </row>
    <row r="418" spans="1:13">
      <c r="A418" t="s">
        <v>15224</v>
      </c>
      <c r="B418" t="s">
        <v>15224</v>
      </c>
      <c r="C418" t="s">
        <v>15225</v>
      </c>
      <c r="D418" t="s">
        <v>4310</v>
      </c>
      <c r="F418" t="str">
        <f>Config!$B$7</f>
        <v>SCH/Connector.SchLib</v>
      </c>
      <c r="G418" t="s">
        <v>14932</v>
      </c>
      <c r="H418" t="s">
        <v>15209</v>
      </c>
      <c r="I418" t="s">
        <v>14940</v>
      </c>
      <c r="K418" s="47" t="s">
        <v>16200</v>
      </c>
      <c r="L418" t="s">
        <v>16202</v>
      </c>
      <c r="M418" t="s">
        <v>16230</v>
      </c>
    </row>
    <row r="419" spans="1:13">
      <c r="A419" t="s">
        <v>15226</v>
      </c>
      <c r="B419" t="s">
        <v>15226</v>
      </c>
      <c r="C419" t="s">
        <v>15227</v>
      </c>
      <c r="D419" t="s">
        <v>4310</v>
      </c>
      <c r="F419" t="str">
        <f>Config!$B$7</f>
        <v>SCH/Connector.SchLib</v>
      </c>
      <c r="G419" t="s">
        <v>14932</v>
      </c>
      <c r="H419" t="s">
        <v>15209</v>
      </c>
      <c r="I419" t="s">
        <v>14941</v>
      </c>
      <c r="K419" s="47" t="s">
        <v>16201</v>
      </c>
      <c r="L419" t="s">
        <v>16209</v>
      </c>
      <c r="M419" t="s">
        <v>16230</v>
      </c>
    </row>
    <row r="420" spans="1:13">
      <c r="A420" t="s">
        <v>15228</v>
      </c>
      <c r="B420" t="s">
        <v>15228</v>
      </c>
      <c r="C420" t="s">
        <v>15229</v>
      </c>
      <c r="D420" t="s">
        <v>4310</v>
      </c>
      <c r="F420" t="str">
        <f>Config!$B$7</f>
        <v>SCH/Connector.SchLib</v>
      </c>
      <c r="G420" t="s">
        <v>14932</v>
      </c>
      <c r="H420" t="s">
        <v>15209</v>
      </c>
      <c r="I420" t="s">
        <v>14942</v>
      </c>
      <c r="K420" s="47" t="s">
        <v>16201</v>
      </c>
      <c r="L420" t="s">
        <v>16201</v>
      </c>
      <c r="M420" t="s">
        <v>16230</v>
      </c>
    </row>
    <row r="421" spans="1:13">
      <c r="A421" t="s">
        <v>15230</v>
      </c>
      <c r="B421" t="s">
        <v>15230</v>
      </c>
      <c r="C421" t="s">
        <v>15231</v>
      </c>
      <c r="D421" t="s">
        <v>4310</v>
      </c>
      <c r="F421" t="str">
        <f>Config!$B$7</f>
        <v>SCH/Connector.SchLib</v>
      </c>
      <c r="G421" t="s">
        <v>14932</v>
      </c>
      <c r="H421" t="s">
        <v>15209</v>
      </c>
      <c r="I421" t="s">
        <v>14943</v>
      </c>
      <c r="K421" s="47" t="s">
        <v>16201</v>
      </c>
      <c r="L421" t="s">
        <v>16203</v>
      </c>
      <c r="M421" t="s">
        <v>16230</v>
      </c>
    </row>
    <row r="422" spans="1:13">
      <c r="A422" t="s">
        <v>15232</v>
      </c>
      <c r="B422" t="s">
        <v>15232</v>
      </c>
      <c r="C422" t="s">
        <v>15233</v>
      </c>
      <c r="D422" t="s">
        <v>4310</v>
      </c>
      <c r="F422" t="str">
        <f>Config!$B$7</f>
        <v>SCH/Connector.SchLib</v>
      </c>
      <c r="G422" t="s">
        <v>14932</v>
      </c>
      <c r="H422" t="s">
        <v>15209</v>
      </c>
      <c r="I422" t="s">
        <v>14944</v>
      </c>
      <c r="K422" s="47" t="s">
        <v>16202</v>
      </c>
      <c r="L422" t="s">
        <v>16199</v>
      </c>
      <c r="M422" t="s">
        <v>16230</v>
      </c>
    </row>
    <row r="423" spans="1:13">
      <c r="A423" t="s">
        <v>15234</v>
      </c>
      <c r="B423" t="s">
        <v>15234</v>
      </c>
      <c r="C423" t="s">
        <v>15235</v>
      </c>
      <c r="D423" t="s">
        <v>4310</v>
      </c>
      <c r="F423" t="str">
        <f>Config!$B$7</f>
        <v>SCH/Connector.SchLib</v>
      </c>
      <c r="G423" t="s">
        <v>14932</v>
      </c>
      <c r="H423" t="s">
        <v>15209</v>
      </c>
      <c r="I423" t="s">
        <v>14945</v>
      </c>
      <c r="K423" s="47" t="s">
        <v>16202</v>
      </c>
      <c r="L423" t="s">
        <v>16200</v>
      </c>
      <c r="M423" t="s">
        <v>16230</v>
      </c>
    </row>
    <row r="424" spans="1:13">
      <c r="A424" t="s">
        <v>15236</v>
      </c>
      <c r="B424" t="s">
        <v>15236</v>
      </c>
      <c r="C424" t="s">
        <v>15237</v>
      </c>
      <c r="D424" t="s">
        <v>4310</v>
      </c>
      <c r="F424" t="str">
        <f>Config!$B$7</f>
        <v>SCH/Connector.SchLib</v>
      </c>
      <c r="G424" t="s">
        <v>14932</v>
      </c>
      <c r="H424" t="s">
        <v>15209</v>
      </c>
      <c r="I424" t="s">
        <v>14946</v>
      </c>
      <c r="K424" s="47" t="s">
        <v>16202</v>
      </c>
      <c r="L424" t="s">
        <v>16202</v>
      </c>
      <c r="M424" t="s">
        <v>16230</v>
      </c>
    </row>
    <row r="425" spans="1:13">
      <c r="A425" t="s">
        <v>15238</v>
      </c>
      <c r="B425" t="s">
        <v>15238</v>
      </c>
      <c r="C425" t="s">
        <v>15239</v>
      </c>
      <c r="D425" t="s">
        <v>4310</v>
      </c>
      <c r="F425" t="str">
        <f>Config!$B$7</f>
        <v>SCH/Connector.SchLib</v>
      </c>
      <c r="G425" t="s">
        <v>14932</v>
      </c>
      <c r="H425" t="s">
        <v>15209</v>
      </c>
      <c r="I425" t="s">
        <v>14947</v>
      </c>
      <c r="K425" s="47" t="s">
        <v>16202</v>
      </c>
      <c r="L425" t="s">
        <v>16204</v>
      </c>
      <c r="M425" t="s">
        <v>16230</v>
      </c>
    </row>
    <row r="426" spans="1:13">
      <c r="A426" t="s">
        <v>15240</v>
      </c>
      <c r="B426" t="s">
        <v>15240</v>
      </c>
      <c r="C426" t="s">
        <v>15241</v>
      </c>
      <c r="D426" t="s">
        <v>4310</v>
      </c>
      <c r="F426" t="str">
        <f>Config!$B$7</f>
        <v>SCH/Connector.SchLib</v>
      </c>
      <c r="G426" t="s">
        <v>14932</v>
      </c>
      <c r="H426" t="s">
        <v>15209</v>
      </c>
      <c r="I426" t="s">
        <v>14948</v>
      </c>
      <c r="K426" s="47" t="s">
        <v>16203</v>
      </c>
      <c r="L426" t="s">
        <v>16209</v>
      </c>
      <c r="M426" t="s">
        <v>16230</v>
      </c>
    </row>
    <row r="427" spans="1:13">
      <c r="A427" t="s">
        <v>15242</v>
      </c>
      <c r="B427" t="s">
        <v>15242</v>
      </c>
      <c r="C427" t="s">
        <v>15243</v>
      </c>
      <c r="D427" t="s">
        <v>4310</v>
      </c>
      <c r="F427" t="str">
        <f>Config!$B$7</f>
        <v>SCH/Connector.SchLib</v>
      </c>
      <c r="G427" t="s">
        <v>14932</v>
      </c>
      <c r="H427" t="s">
        <v>15209</v>
      </c>
      <c r="I427" t="s">
        <v>14949</v>
      </c>
      <c r="K427" s="47" t="s">
        <v>16203</v>
      </c>
      <c r="L427" t="s">
        <v>16201</v>
      </c>
      <c r="M427" t="s">
        <v>16230</v>
      </c>
    </row>
    <row r="428" spans="1:13">
      <c r="A428" t="s">
        <v>15244</v>
      </c>
      <c r="B428" t="s">
        <v>15244</v>
      </c>
      <c r="C428" t="s">
        <v>15245</v>
      </c>
      <c r="D428" t="s">
        <v>4310</v>
      </c>
      <c r="F428" t="str">
        <f>Config!$B$7</f>
        <v>SCH/Connector.SchLib</v>
      </c>
      <c r="G428" t="s">
        <v>14932</v>
      </c>
      <c r="H428" t="s">
        <v>15209</v>
      </c>
      <c r="I428" t="s">
        <v>14950</v>
      </c>
      <c r="K428" s="47" t="s">
        <v>16203</v>
      </c>
      <c r="L428" t="s">
        <v>16203</v>
      </c>
      <c r="M428" t="s">
        <v>16230</v>
      </c>
    </row>
    <row r="429" spans="1:13">
      <c r="A429" t="s">
        <v>15246</v>
      </c>
      <c r="B429" t="s">
        <v>15246</v>
      </c>
      <c r="C429" t="s">
        <v>15247</v>
      </c>
      <c r="D429" t="s">
        <v>4310</v>
      </c>
      <c r="F429" t="str">
        <f>Config!$B$7</f>
        <v>SCH/Connector.SchLib</v>
      </c>
      <c r="G429" t="s">
        <v>14932</v>
      </c>
      <c r="H429" t="s">
        <v>15209</v>
      </c>
      <c r="I429" t="s">
        <v>14951</v>
      </c>
      <c r="K429" s="47" t="s">
        <v>16203</v>
      </c>
      <c r="L429" t="s">
        <v>16206</v>
      </c>
      <c r="M429" t="s">
        <v>16230</v>
      </c>
    </row>
    <row r="430" spans="1:13">
      <c r="A430" t="s">
        <v>15248</v>
      </c>
      <c r="B430" t="s">
        <v>15248</v>
      </c>
      <c r="C430" t="s">
        <v>15249</v>
      </c>
      <c r="D430" t="s">
        <v>4310</v>
      </c>
      <c r="F430" t="str">
        <f>Config!$B$7</f>
        <v>SCH/Connector.SchLib</v>
      </c>
      <c r="G430" t="s">
        <v>14932</v>
      </c>
      <c r="H430" t="s">
        <v>15209</v>
      </c>
      <c r="I430" t="s">
        <v>14952</v>
      </c>
      <c r="K430" s="47" t="s">
        <v>16204</v>
      </c>
      <c r="L430" t="s">
        <v>16210</v>
      </c>
      <c r="M430" t="s">
        <v>16230</v>
      </c>
    </row>
    <row r="431" spans="1:13">
      <c r="A431" t="s">
        <v>15250</v>
      </c>
      <c r="B431" t="s">
        <v>15250</v>
      </c>
      <c r="C431" t="s">
        <v>15251</v>
      </c>
      <c r="D431" t="s">
        <v>4310</v>
      </c>
      <c r="F431" t="str">
        <f>Config!$B$7</f>
        <v>SCH/Connector.SchLib</v>
      </c>
      <c r="G431" t="s">
        <v>14932</v>
      </c>
      <c r="H431" t="s">
        <v>15209</v>
      </c>
      <c r="I431" t="s">
        <v>14953</v>
      </c>
      <c r="K431" s="47" t="s">
        <v>16204</v>
      </c>
      <c r="L431" t="s">
        <v>16200</v>
      </c>
      <c r="M431" t="s">
        <v>16230</v>
      </c>
    </row>
    <row r="432" spans="1:13">
      <c r="A432" t="s">
        <v>15252</v>
      </c>
      <c r="B432" t="s">
        <v>15252</v>
      </c>
      <c r="C432" t="s">
        <v>15253</v>
      </c>
      <c r="D432" t="s">
        <v>4310</v>
      </c>
      <c r="F432" t="str">
        <f>Config!$B$7</f>
        <v>SCH/Connector.SchLib</v>
      </c>
      <c r="G432" t="s">
        <v>14932</v>
      </c>
      <c r="H432" t="s">
        <v>15209</v>
      </c>
      <c r="I432" t="s">
        <v>14954</v>
      </c>
      <c r="K432" s="47" t="s">
        <v>16204</v>
      </c>
      <c r="L432" t="s">
        <v>16202</v>
      </c>
      <c r="M432" t="s">
        <v>16230</v>
      </c>
    </row>
    <row r="433" spans="1:13">
      <c r="A433" t="s">
        <v>15254</v>
      </c>
      <c r="B433" t="s">
        <v>15254</v>
      </c>
      <c r="C433" t="s">
        <v>15255</v>
      </c>
      <c r="D433" t="s">
        <v>4310</v>
      </c>
      <c r="F433" t="str">
        <f>Config!$B$7</f>
        <v>SCH/Connector.SchLib</v>
      </c>
      <c r="G433" t="s">
        <v>14932</v>
      </c>
      <c r="H433" t="s">
        <v>15209</v>
      </c>
      <c r="I433" t="s">
        <v>14955</v>
      </c>
      <c r="K433" s="47" t="s">
        <v>16204</v>
      </c>
      <c r="L433" t="s">
        <v>16204</v>
      </c>
      <c r="M433" t="s">
        <v>16230</v>
      </c>
    </row>
    <row r="434" spans="1:13">
      <c r="A434" t="s">
        <v>15256</v>
      </c>
      <c r="B434" t="s">
        <v>15256</v>
      </c>
      <c r="C434" t="s">
        <v>15257</v>
      </c>
      <c r="D434" t="s">
        <v>4310</v>
      </c>
      <c r="F434" t="str">
        <f>Config!$B$7</f>
        <v>SCH/Connector.SchLib</v>
      </c>
      <c r="G434" t="s">
        <v>14932</v>
      </c>
      <c r="H434" t="s">
        <v>15209</v>
      </c>
      <c r="I434" t="s">
        <v>14956</v>
      </c>
      <c r="K434" s="47" t="s">
        <v>16204</v>
      </c>
      <c r="L434" t="s">
        <v>16207</v>
      </c>
      <c r="M434" t="s">
        <v>16230</v>
      </c>
    </row>
    <row r="435" spans="1:13">
      <c r="A435" t="s">
        <v>15258</v>
      </c>
      <c r="B435" t="s">
        <v>15258</v>
      </c>
      <c r="C435" t="s">
        <v>15259</v>
      </c>
      <c r="D435" t="s">
        <v>4310</v>
      </c>
      <c r="F435" t="str">
        <f>Config!$B$7</f>
        <v>SCH/Connector.SchLib</v>
      </c>
      <c r="G435" t="s">
        <v>14932</v>
      </c>
      <c r="H435" t="s">
        <v>15209</v>
      </c>
      <c r="I435" t="s">
        <v>14957</v>
      </c>
      <c r="K435" s="47" t="s">
        <v>16205</v>
      </c>
      <c r="L435" t="s">
        <v>16199</v>
      </c>
      <c r="M435" t="s">
        <v>16230</v>
      </c>
    </row>
    <row r="436" spans="1:13">
      <c r="A436" t="s">
        <v>15875</v>
      </c>
      <c r="B436" t="s">
        <v>15875</v>
      </c>
      <c r="C436" t="s">
        <v>15876</v>
      </c>
      <c r="D436" t="s">
        <v>4310</v>
      </c>
      <c r="F436" t="str">
        <f>Config!$B$7</f>
        <v>SCH/Connector.SchLib</v>
      </c>
      <c r="G436" t="s">
        <v>14932</v>
      </c>
      <c r="H436" t="s">
        <v>15209</v>
      </c>
      <c r="I436" t="s">
        <v>15695</v>
      </c>
      <c r="K436" s="47" t="s">
        <v>16205</v>
      </c>
      <c r="L436" t="s">
        <v>16200</v>
      </c>
      <c r="M436" t="s">
        <v>16230</v>
      </c>
    </row>
    <row r="437" spans="1:13">
      <c r="A437" t="s">
        <v>15260</v>
      </c>
      <c r="B437" t="s">
        <v>15260</v>
      </c>
      <c r="C437" t="s">
        <v>15261</v>
      </c>
      <c r="D437" t="s">
        <v>4310</v>
      </c>
      <c r="F437" t="str">
        <f>Config!$B$7</f>
        <v>SCH/Connector.SchLib</v>
      </c>
      <c r="G437" t="s">
        <v>14932</v>
      </c>
      <c r="H437" t="s">
        <v>15209</v>
      </c>
      <c r="I437" t="s">
        <v>14958</v>
      </c>
      <c r="K437" s="47" t="s">
        <v>16205</v>
      </c>
      <c r="L437" t="s">
        <v>16211</v>
      </c>
      <c r="M437" t="s">
        <v>16230</v>
      </c>
    </row>
    <row r="438" spans="1:13">
      <c r="A438" t="s">
        <v>15262</v>
      </c>
      <c r="B438" t="s">
        <v>15262</v>
      </c>
      <c r="C438" t="s">
        <v>15263</v>
      </c>
      <c r="D438" t="s">
        <v>4310</v>
      </c>
      <c r="F438" t="str">
        <f>Config!$B$7</f>
        <v>SCH/Connector.SchLib</v>
      </c>
      <c r="G438" t="s">
        <v>14932</v>
      </c>
      <c r="H438" t="s">
        <v>15209</v>
      </c>
      <c r="I438" t="s">
        <v>14959</v>
      </c>
      <c r="K438" s="47" t="s">
        <v>16205</v>
      </c>
      <c r="L438" t="s">
        <v>16212</v>
      </c>
      <c r="M438" t="s">
        <v>16230</v>
      </c>
    </row>
    <row r="439" spans="1:13">
      <c r="A439" t="s">
        <v>15264</v>
      </c>
      <c r="B439" t="s">
        <v>15264</v>
      </c>
      <c r="C439" t="s">
        <v>15265</v>
      </c>
      <c r="D439" t="s">
        <v>4310</v>
      </c>
      <c r="F439" t="str">
        <f>Config!$B$7</f>
        <v>SCH/Connector.SchLib</v>
      </c>
      <c r="G439" t="s">
        <v>14932</v>
      </c>
      <c r="H439" t="s">
        <v>15209</v>
      </c>
      <c r="I439" t="s">
        <v>14960</v>
      </c>
      <c r="K439" s="47" t="s">
        <v>16205</v>
      </c>
      <c r="L439" t="s">
        <v>16205</v>
      </c>
      <c r="M439" t="s">
        <v>16230</v>
      </c>
    </row>
    <row r="440" spans="1:13">
      <c r="A440" t="s">
        <v>15266</v>
      </c>
      <c r="B440" t="s">
        <v>15266</v>
      </c>
      <c r="C440" t="s">
        <v>15267</v>
      </c>
      <c r="D440" t="s">
        <v>4310</v>
      </c>
      <c r="F440" t="str">
        <f>Config!$B$7</f>
        <v>SCH/Connector.SchLib</v>
      </c>
      <c r="G440" t="s">
        <v>14932</v>
      </c>
      <c r="H440" t="s">
        <v>15209</v>
      </c>
      <c r="I440" t="s">
        <v>14961</v>
      </c>
      <c r="K440" s="47" t="s">
        <v>16205</v>
      </c>
      <c r="L440" t="s">
        <v>16213</v>
      </c>
      <c r="M440" t="s">
        <v>16230</v>
      </c>
    </row>
    <row r="441" spans="1:13">
      <c r="A441" t="s">
        <v>15877</v>
      </c>
      <c r="B441" t="s">
        <v>15877</v>
      </c>
      <c r="C441" t="s">
        <v>15878</v>
      </c>
      <c r="D441" t="s">
        <v>4310</v>
      </c>
      <c r="F441" t="str">
        <f>Config!$B$7</f>
        <v>SCH/Connector.SchLib</v>
      </c>
      <c r="G441" t="s">
        <v>14932</v>
      </c>
      <c r="H441" t="s">
        <v>15209</v>
      </c>
      <c r="I441" t="s">
        <v>15698</v>
      </c>
      <c r="K441" s="47" t="s">
        <v>16206</v>
      </c>
      <c r="L441" t="s">
        <v>16214</v>
      </c>
      <c r="M441" t="s">
        <v>16230</v>
      </c>
    </row>
    <row r="442" spans="1:13">
      <c r="A442" t="s">
        <v>15879</v>
      </c>
      <c r="B442" t="s">
        <v>15879</v>
      </c>
      <c r="C442" t="s">
        <v>15880</v>
      </c>
      <c r="D442" t="s">
        <v>4310</v>
      </c>
      <c r="F442" t="str">
        <f>Config!$B$7</f>
        <v>SCH/Connector.SchLib</v>
      </c>
      <c r="G442" t="s">
        <v>14932</v>
      </c>
      <c r="H442" t="s">
        <v>15209</v>
      </c>
      <c r="I442" t="s">
        <v>15699</v>
      </c>
      <c r="K442" s="47" t="s">
        <v>16206</v>
      </c>
      <c r="L442" t="s">
        <v>16200</v>
      </c>
      <c r="M442" t="s">
        <v>16230</v>
      </c>
    </row>
    <row r="443" spans="1:13">
      <c r="A443" t="s">
        <v>15881</v>
      </c>
      <c r="B443" t="s">
        <v>15881</v>
      </c>
      <c r="C443" t="s">
        <v>15882</v>
      </c>
      <c r="D443" t="s">
        <v>4310</v>
      </c>
      <c r="F443" t="str">
        <f>Config!$B$7</f>
        <v>SCH/Connector.SchLib</v>
      </c>
      <c r="G443" t="s">
        <v>14932</v>
      </c>
      <c r="H443" t="s">
        <v>15209</v>
      </c>
      <c r="I443" t="s">
        <v>15700</v>
      </c>
      <c r="K443" s="47" t="s">
        <v>16206</v>
      </c>
      <c r="L443" t="s">
        <v>16201</v>
      </c>
      <c r="M443" t="s">
        <v>16230</v>
      </c>
    </row>
    <row r="444" spans="1:13">
      <c r="A444" t="s">
        <v>15883</v>
      </c>
      <c r="B444" t="s">
        <v>15883</v>
      </c>
      <c r="C444" t="s">
        <v>15884</v>
      </c>
      <c r="D444" t="s">
        <v>4310</v>
      </c>
      <c r="F444" t="str">
        <f>Config!$B$7</f>
        <v>SCH/Connector.SchLib</v>
      </c>
      <c r="G444" t="s">
        <v>14932</v>
      </c>
      <c r="H444" t="s">
        <v>15209</v>
      </c>
      <c r="I444" t="s">
        <v>15701</v>
      </c>
      <c r="K444" s="47" t="s">
        <v>16206</v>
      </c>
      <c r="L444" t="s">
        <v>16203</v>
      </c>
      <c r="M444" t="s">
        <v>16230</v>
      </c>
    </row>
    <row r="445" spans="1:13">
      <c r="A445" t="s">
        <v>15885</v>
      </c>
      <c r="B445" t="s">
        <v>15885</v>
      </c>
      <c r="C445" t="s">
        <v>15886</v>
      </c>
      <c r="D445" t="s">
        <v>4310</v>
      </c>
      <c r="F445" t="str">
        <f>Config!$B$7</f>
        <v>SCH/Connector.SchLib</v>
      </c>
      <c r="G445" t="s">
        <v>14932</v>
      </c>
      <c r="H445" t="s">
        <v>15209</v>
      </c>
      <c r="I445" t="s">
        <v>15702</v>
      </c>
      <c r="K445" s="47" t="s">
        <v>16206</v>
      </c>
      <c r="L445" t="s">
        <v>16206</v>
      </c>
      <c r="M445" t="s">
        <v>16230</v>
      </c>
    </row>
    <row r="446" spans="1:13">
      <c r="A446" t="s">
        <v>15887</v>
      </c>
      <c r="B446" t="s">
        <v>15887</v>
      </c>
      <c r="C446" t="s">
        <v>15888</v>
      </c>
      <c r="D446" t="s">
        <v>4310</v>
      </c>
      <c r="F446" t="str">
        <f>Config!$B$7</f>
        <v>SCH/Connector.SchLib</v>
      </c>
      <c r="G446" t="s">
        <v>14932</v>
      </c>
      <c r="H446" t="s">
        <v>15209</v>
      </c>
      <c r="I446" t="s">
        <v>15703</v>
      </c>
      <c r="K446" s="47" t="s">
        <v>16206</v>
      </c>
      <c r="L446" t="s">
        <v>16215</v>
      </c>
      <c r="M446" t="s">
        <v>16230</v>
      </c>
    </row>
    <row r="447" spans="1:13">
      <c r="A447" t="s">
        <v>15889</v>
      </c>
      <c r="B447" t="s">
        <v>15889</v>
      </c>
      <c r="C447" t="s">
        <v>15890</v>
      </c>
      <c r="D447" t="s">
        <v>4310</v>
      </c>
      <c r="F447" t="str">
        <f>Config!$B$7</f>
        <v>SCH/Connector.SchLib</v>
      </c>
      <c r="G447" t="s">
        <v>14932</v>
      </c>
      <c r="H447" t="s">
        <v>15209</v>
      </c>
      <c r="I447" t="s">
        <v>15704</v>
      </c>
      <c r="K447" s="47" t="s">
        <v>16207</v>
      </c>
      <c r="L447" t="s">
        <v>16199</v>
      </c>
      <c r="M447" t="s">
        <v>16230</v>
      </c>
    </row>
    <row r="448" spans="1:13">
      <c r="A448" t="s">
        <v>15891</v>
      </c>
      <c r="B448" t="s">
        <v>15891</v>
      </c>
      <c r="C448" t="s">
        <v>15892</v>
      </c>
      <c r="D448" t="s">
        <v>4310</v>
      </c>
      <c r="F448" t="str">
        <f>Config!$B$7</f>
        <v>SCH/Connector.SchLib</v>
      </c>
      <c r="G448" t="s">
        <v>14932</v>
      </c>
      <c r="H448" t="s">
        <v>15209</v>
      </c>
      <c r="I448" t="s">
        <v>15705</v>
      </c>
      <c r="K448" s="47" t="s">
        <v>16207</v>
      </c>
      <c r="L448" t="s">
        <v>16216</v>
      </c>
      <c r="M448" t="s">
        <v>16230</v>
      </c>
    </row>
    <row r="449" spans="1:13">
      <c r="A449" t="s">
        <v>15893</v>
      </c>
      <c r="B449" t="s">
        <v>15893</v>
      </c>
      <c r="C449" t="s">
        <v>15894</v>
      </c>
      <c r="D449" t="s">
        <v>4310</v>
      </c>
      <c r="F449" t="str">
        <f>Config!$B$7</f>
        <v>SCH/Connector.SchLib</v>
      </c>
      <c r="G449" t="s">
        <v>14932</v>
      </c>
      <c r="H449" t="s">
        <v>15209</v>
      </c>
      <c r="I449" t="s">
        <v>15706</v>
      </c>
      <c r="K449" s="47" t="s">
        <v>16207</v>
      </c>
      <c r="L449" t="s">
        <v>16200</v>
      </c>
      <c r="M449" t="s">
        <v>16230</v>
      </c>
    </row>
    <row r="450" spans="1:13">
      <c r="A450" t="s">
        <v>15895</v>
      </c>
      <c r="B450" t="s">
        <v>15895</v>
      </c>
      <c r="C450" t="s">
        <v>15896</v>
      </c>
      <c r="D450" t="s">
        <v>4310</v>
      </c>
      <c r="F450" t="str">
        <f>Config!$B$7</f>
        <v>SCH/Connector.SchLib</v>
      </c>
      <c r="G450" t="s">
        <v>14932</v>
      </c>
      <c r="H450" t="s">
        <v>15209</v>
      </c>
      <c r="I450" t="s">
        <v>15707</v>
      </c>
      <c r="K450" s="47" t="s">
        <v>16207</v>
      </c>
      <c r="L450" t="s">
        <v>16202</v>
      </c>
      <c r="M450" t="s">
        <v>16230</v>
      </c>
    </row>
    <row r="451" spans="1:13">
      <c r="A451" t="s">
        <v>15897</v>
      </c>
      <c r="B451" t="s">
        <v>15897</v>
      </c>
      <c r="C451" t="s">
        <v>15898</v>
      </c>
      <c r="D451" t="s">
        <v>4310</v>
      </c>
      <c r="F451" t="str">
        <f>Config!$B$7</f>
        <v>SCH/Connector.SchLib</v>
      </c>
      <c r="G451" t="s">
        <v>14932</v>
      </c>
      <c r="H451" t="s">
        <v>15209</v>
      </c>
      <c r="I451" t="s">
        <v>15708</v>
      </c>
      <c r="K451" s="47" t="s">
        <v>16207</v>
      </c>
      <c r="L451" t="s">
        <v>16204</v>
      </c>
      <c r="M451" t="s">
        <v>16230</v>
      </c>
    </row>
    <row r="452" spans="1:13">
      <c r="A452" t="s">
        <v>15899</v>
      </c>
      <c r="B452" t="s">
        <v>15899</v>
      </c>
      <c r="C452" t="s">
        <v>15900</v>
      </c>
      <c r="D452" t="s">
        <v>4310</v>
      </c>
      <c r="F452" t="str">
        <f>Config!$B$7</f>
        <v>SCH/Connector.SchLib</v>
      </c>
      <c r="G452" t="s">
        <v>14932</v>
      </c>
      <c r="H452" t="s">
        <v>15209</v>
      </c>
      <c r="I452" t="s">
        <v>15709</v>
      </c>
      <c r="K452" s="47" t="s">
        <v>16207</v>
      </c>
      <c r="L452" t="s">
        <v>16207</v>
      </c>
      <c r="M452" t="s">
        <v>16230</v>
      </c>
    </row>
    <row r="453" spans="1:13">
      <c r="A453" t="s">
        <v>15901</v>
      </c>
      <c r="B453" t="s">
        <v>15901</v>
      </c>
      <c r="C453" t="s">
        <v>15902</v>
      </c>
      <c r="D453" t="s">
        <v>4310</v>
      </c>
      <c r="F453" t="str">
        <f>Config!$B$7</f>
        <v>SCH/Connector.SchLib</v>
      </c>
      <c r="G453" t="s">
        <v>14932</v>
      </c>
      <c r="H453" t="s">
        <v>15209</v>
      </c>
      <c r="I453" t="s">
        <v>15710</v>
      </c>
      <c r="K453" s="47" t="s">
        <v>16207</v>
      </c>
      <c r="L453" t="s">
        <v>16217</v>
      </c>
      <c r="M453" t="s">
        <v>16230</v>
      </c>
    </row>
    <row r="454" spans="1:13">
      <c r="A454" t="s">
        <v>15903</v>
      </c>
      <c r="B454" t="s">
        <v>15903</v>
      </c>
      <c r="C454" t="s">
        <v>15904</v>
      </c>
      <c r="D454" t="s">
        <v>4310</v>
      </c>
      <c r="F454" t="str">
        <f>Config!$B$7</f>
        <v>SCH/Connector.SchLib</v>
      </c>
      <c r="G454" t="s">
        <v>14932</v>
      </c>
      <c r="H454" t="s">
        <v>15209</v>
      </c>
      <c r="I454" t="s">
        <v>15711</v>
      </c>
      <c r="K454" s="47" t="s">
        <v>16208</v>
      </c>
      <c r="L454" t="s">
        <v>16199</v>
      </c>
      <c r="M454" t="s">
        <v>16230</v>
      </c>
    </row>
    <row r="455" spans="1:13">
      <c r="A455" t="s">
        <v>15905</v>
      </c>
      <c r="B455" t="s">
        <v>15905</v>
      </c>
      <c r="C455" t="s">
        <v>15906</v>
      </c>
      <c r="D455" t="s">
        <v>4310</v>
      </c>
      <c r="F455" t="str">
        <f>Config!$B$7</f>
        <v>SCH/Connector.SchLib</v>
      </c>
      <c r="G455" t="s">
        <v>14932</v>
      </c>
      <c r="H455" t="s">
        <v>15209</v>
      </c>
      <c r="I455" t="s">
        <v>15712</v>
      </c>
      <c r="K455" s="47" t="s">
        <v>16208</v>
      </c>
      <c r="L455" t="s">
        <v>16200</v>
      </c>
      <c r="M455" t="s">
        <v>16230</v>
      </c>
    </row>
    <row r="456" spans="1:13">
      <c r="A456" t="s">
        <v>15907</v>
      </c>
      <c r="B456" t="s">
        <v>15907</v>
      </c>
      <c r="C456" t="s">
        <v>15908</v>
      </c>
      <c r="D456" t="s">
        <v>4310</v>
      </c>
      <c r="F456" t="str">
        <f>Config!$B$7</f>
        <v>SCH/Connector.SchLib</v>
      </c>
      <c r="G456" t="s">
        <v>14932</v>
      </c>
      <c r="H456" t="s">
        <v>15209</v>
      </c>
      <c r="I456" t="s">
        <v>15713</v>
      </c>
      <c r="K456" s="47" t="s">
        <v>16208</v>
      </c>
      <c r="L456" t="s">
        <v>16212</v>
      </c>
      <c r="M456" t="s">
        <v>16230</v>
      </c>
    </row>
    <row r="457" spans="1:13">
      <c r="A457" t="s">
        <v>15909</v>
      </c>
      <c r="B457" t="s">
        <v>15909</v>
      </c>
      <c r="C457" t="s">
        <v>15910</v>
      </c>
      <c r="D457" t="s">
        <v>4310</v>
      </c>
      <c r="F457" t="str">
        <f>Config!$B$7</f>
        <v>SCH/Connector.SchLib</v>
      </c>
      <c r="G457" t="s">
        <v>14932</v>
      </c>
      <c r="H457" t="s">
        <v>15209</v>
      </c>
      <c r="I457" t="s">
        <v>15714</v>
      </c>
      <c r="K457" s="47" t="s">
        <v>16208</v>
      </c>
      <c r="L457" t="s">
        <v>16205</v>
      </c>
      <c r="M457" t="s">
        <v>16230</v>
      </c>
    </row>
    <row r="458" spans="1:13">
      <c r="A458" t="s">
        <v>15911</v>
      </c>
      <c r="B458" t="s">
        <v>15911</v>
      </c>
      <c r="C458" t="s">
        <v>15912</v>
      </c>
      <c r="D458" t="s">
        <v>4310</v>
      </c>
      <c r="F458" t="str">
        <f>Config!$B$7</f>
        <v>SCH/Connector.SchLib</v>
      </c>
      <c r="G458" t="s">
        <v>14932</v>
      </c>
      <c r="H458" t="s">
        <v>15209</v>
      </c>
      <c r="I458" t="s">
        <v>15715</v>
      </c>
      <c r="K458" s="47" t="s">
        <v>16208</v>
      </c>
      <c r="L458" t="s">
        <v>16213</v>
      </c>
      <c r="M458" t="s">
        <v>16230</v>
      </c>
    </row>
    <row r="459" spans="1:13">
      <c r="A459" t="s">
        <v>15913</v>
      </c>
      <c r="B459" t="s">
        <v>15913</v>
      </c>
      <c r="C459" t="s">
        <v>15914</v>
      </c>
      <c r="D459" t="s">
        <v>4310</v>
      </c>
      <c r="F459" t="str">
        <f>Config!$B$7</f>
        <v>SCH/Connector.SchLib</v>
      </c>
      <c r="G459" t="s">
        <v>14932</v>
      </c>
      <c r="H459" t="s">
        <v>15209</v>
      </c>
      <c r="I459" t="s">
        <v>15716</v>
      </c>
      <c r="K459" s="47" t="s">
        <v>16208</v>
      </c>
      <c r="L459" t="s">
        <v>16218</v>
      </c>
      <c r="M459" t="s">
        <v>16230</v>
      </c>
    </row>
    <row r="461" spans="1:13">
      <c r="A461" t="s">
        <v>14994</v>
      </c>
      <c r="B461" t="s">
        <v>14994</v>
      </c>
      <c r="C461" t="s">
        <v>15054</v>
      </c>
      <c r="D461" t="s">
        <v>4310</v>
      </c>
      <c r="F461" t="str">
        <f>Config!$B$7</f>
        <v>SCH/Connector.SchLib</v>
      </c>
      <c r="G461" t="s">
        <v>14932</v>
      </c>
      <c r="H461" t="s">
        <v>15084</v>
      </c>
      <c r="I461" t="s">
        <v>14962</v>
      </c>
      <c r="K461" s="47" t="s">
        <v>16198</v>
      </c>
      <c r="L461" t="s">
        <v>16198</v>
      </c>
      <c r="M461" t="s">
        <v>16222</v>
      </c>
    </row>
    <row r="462" spans="1:13">
      <c r="A462" t="s">
        <v>14995</v>
      </c>
      <c r="B462" t="s">
        <v>14995</v>
      </c>
      <c r="C462" t="s">
        <v>15055</v>
      </c>
      <c r="D462" t="s">
        <v>4310</v>
      </c>
      <c r="F462" t="str">
        <f>Config!$B$7</f>
        <v>SCH/Connector.SchLib</v>
      </c>
      <c r="G462" t="s">
        <v>14932</v>
      </c>
      <c r="H462" t="s">
        <v>15084</v>
      </c>
      <c r="I462" t="s">
        <v>14963</v>
      </c>
      <c r="K462" s="47" t="s">
        <v>16198</v>
      </c>
      <c r="L462" t="s">
        <v>16199</v>
      </c>
      <c r="M462" t="s">
        <v>16222</v>
      </c>
    </row>
    <row r="463" spans="1:13">
      <c r="A463" t="s">
        <v>14996</v>
      </c>
      <c r="B463" t="s">
        <v>14996</v>
      </c>
      <c r="C463" t="s">
        <v>15056</v>
      </c>
      <c r="D463" t="s">
        <v>4310</v>
      </c>
      <c r="F463" t="str">
        <f>Config!$B$7</f>
        <v>SCH/Connector.SchLib</v>
      </c>
      <c r="G463" t="s">
        <v>14932</v>
      </c>
      <c r="H463" t="s">
        <v>15084</v>
      </c>
      <c r="I463" t="s">
        <v>14934</v>
      </c>
      <c r="K463" s="47" t="s">
        <v>16199</v>
      </c>
      <c r="L463" t="s">
        <v>16198</v>
      </c>
      <c r="M463" t="s">
        <v>16222</v>
      </c>
    </row>
    <row r="464" spans="1:13">
      <c r="A464" t="s">
        <v>14997</v>
      </c>
      <c r="B464" t="s">
        <v>14997</v>
      </c>
      <c r="C464" t="s">
        <v>15057</v>
      </c>
      <c r="D464" t="s">
        <v>4310</v>
      </c>
      <c r="F464" t="str">
        <f>Config!$B$7</f>
        <v>SCH/Connector.SchLib</v>
      </c>
      <c r="G464" t="s">
        <v>14932</v>
      </c>
      <c r="H464" t="s">
        <v>15084</v>
      </c>
      <c r="I464" t="s">
        <v>14935</v>
      </c>
      <c r="K464" s="47" t="s">
        <v>16199</v>
      </c>
      <c r="L464" t="s">
        <v>16199</v>
      </c>
      <c r="M464" t="s">
        <v>16222</v>
      </c>
    </row>
    <row r="465" spans="1:13">
      <c r="A465" t="s">
        <v>14998</v>
      </c>
      <c r="B465" t="s">
        <v>14998</v>
      </c>
      <c r="C465" t="s">
        <v>15058</v>
      </c>
      <c r="D465" t="s">
        <v>4310</v>
      </c>
      <c r="F465" t="str">
        <f>Config!$B$7</f>
        <v>SCH/Connector.SchLib</v>
      </c>
      <c r="G465" t="s">
        <v>14932</v>
      </c>
      <c r="H465" t="s">
        <v>15084</v>
      </c>
      <c r="I465" t="s">
        <v>14936</v>
      </c>
      <c r="K465" s="47" t="s">
        <v>16199</v>
      </c>
      <c r="L465" t="s">
        <v>16200</v>
      </c>
      <c r="M465" t="s">
        <v>16222</v>
      </c>
    </row>
    <row r="466" spans="1:13">
      <c r="A466" t="s">
        <v>14999</v>
      </c>
      <c r="B466" t="s">
        <v>14999</v>
      </c>
      <c r="C466" t="s">
        <v>15059</v>
      </c>
      <c r="D466" t="s">
        <v>4310</v>
      </c>
      <c r="F466" t="str">
        <f>Config!$B$7</f>
        <v>SCH/Connector.SchLib</v>
      </c>
      <c r="G466" t="s">
        <v>14932</v>
      </c>
      <c r="H466" t="s">
        <v>15084</v>
      </c>
      <c r="I466" t="s">
        <v>14937</v>
      </c>
      <c r="K466" s="47" t="s">
        <v>16200</v>
      </c>
      <c r="L466" t="s">
        <v>16198</v>
      </c>
      <c r="M466" t="s">
        <v>16222</v>
      </c>
    </row>
    <row r="467" spans="1:13">
      <c r="A467" t="s">
        <v>15000</v>
      </c>
      <c r="B467" t="s">
        <v>15000</v>
      </c>
      <c r="C467" t="s">
        <v>15060</v>
      </c>
      <c r="D467" t="s">
        <v>4310</v>
      </c>
      <c r="F467" t="str">
        <f>Config!$B$7</f>
        <v>SCH/Connector.SchLib</v>
      </c>
      <c r="G467" t="s">
        <v>14932</v>
      </c>
      <c r="H467" t="s">
        <v>15084</v>
      </c>
      <c r="I467" t="s">
        <v>14938</v>
      </c>
      <c r="K467" s="47" t="s">
        <v>16200</v>
      </c>
      <c r="L467" t="s">
        <v>16199</v>
      </c>
      <c r="M467" t="s">
        <v>16222</v>
      </c>
    </row>
    <row r="468" spans="1:13">
      <c r="A468" t="s">
        <v>15001</v>
      </c>
      <c r="B468" t="s">
        <v>15001</v>
      </c>
      <c r="C468" t="s">
        <v>15061</v>
      </c>
      <c r="D468" t="s">
        <v>4310</v>
      </c>
      <c r="F468" t="str">
        <f>Config!$B$7</f>
        <v>SCH/Connector.SchLib</v>
      </c>
      <c r="G468" t="s">
        <v>14932</v>
      </c>
      <c r="H468" t="s">
        <v>15084</v>
      </c>
      <c r="I468" t="s">
        <v>14939</v>
      </c>
      <c r="K468" s="47" t="s">
        <v>16200</v>
      </c>
      <c r="L468" t="s">
        <v>16200</v>
      </c>
      <c r="M468" t="s">
        <v>16222</v>
      </c>
    </row>
    <row r="469" spans="1:13">
      <c r="A469" t="s">
        <v>15002</v>
      </c>
      <c r="B469" t="s">
        <v>15002</v>
      </c>
      <c r="C469" t="s">
        <v>15062</v>
      </c>
      <c r="D469" t="s">
        <v>4310</v>
      </c>
      <c r="F469" t="str">
        <f>Config!$B$7</f>
        <v>SCH/Connector.SchLib</v>
      </c>
      <c r="G469" t="s">
        <v>14932</v>
      </c>
      <c r="H469" t="s">
        <v>15084</v>
      </c>
      <c r="I469" t="s">
        <v>14940</v>
      </c>
      <c r="K469" s="47" t="s">
        <v>16200</v>
      </c>
      <c r="L469" t="s">
        <v>16202</v>
      </c>
      <c r="M469" t="s">
        <v>16222</v>
      </c>
    </row>
    <row r="470" spans="1:13">
      <c r="A470" t="s">
        <v>15003</v>
      </c>
      <c r="B470" t="s">
        <v>15003</v>
      </c>
      <c r="C470" t="s">
        <v>15063</v>
      </c>
      <c r="D470" t="s">
        <v>4310</v>
      </c>
      <c r="F470" t="str">
        <f>Config!$B$7</f>
        <v>SCH/Connector.SchLib</v>
      </c>
      <c r="G470" t="s">
        <v>14932</v>
      </c>
      <c r="H470" t="s">
        <v>15084</v>
      </c>
      <c r="I470" t="s">
        <v>14941</v>
      </c>
      <c r="K470" s="47" t="s">
        <v>16201</v>
      </c>
      <c r="L470" t="s">
        <v>16209</v>
      </c>
      <c r="M470" t="s">
        <v>16222</v>
      </c>
    </row>
    <row r="471" spans="1:13">
      <c r="A471" t="s">
        <v>15004</v>
      </c>
      <c r="B471" t="s">
        <v>15004</v>
      </c>
      <c r="C471" t="s">
        <v>15064</v>
      </c>
      <c r="D471" t="s">
        <v>4310</v>
      </c>
      <c r="F471" t="str">
        <f>Config!$B$7</f>
        <v>SCH/Connector.SchLib</v>
      </c>
      <c r="G471" t="s">
        <v>14932</v>
      </c>
      <c r="H471" t="s">
        <v>15084</v>
      </c>
      <c r="I471" t="s">
        <v>14942</v>
      </c>
      <c r="K471" s="47" t="s">
        <v>16201</v>
      </c>
      <c r="L471" t="s">
        <v>16201</v>
      </c>
      <c r="M471" t="s">
        <v>16222</v>
      </c>
    </row>
    <row r="472" spans="1:13">
      <c r="A472" t="s">
        <v>15005</v>
      </c>
      <c r="B472" t="s">
        <v>15005</v>
      </c>
      <c r="C472" t="s">
        <v>15065</v>
      </c>
      <c r="D472" t="s">
        <v>4310</v>
      </c>
      <c r="F472" t="str">
        <f>Config!$B$7</f>
        <v>SCH/Connector.SchLib</v>
      </c>
      <c r="G472" t="s">
        <v>14932</v>
      </c>
      <c r="H472" t="s">
        <v>15084</v>
      </c>
      <c r="I472" t="s">
        <v>14943</v>
      </c>
      <c r="K472" s="47" t="s">
        <v>16201</v>
      </c>
      <c r="L472" t="s">
        <v>16203</v>
      </c>
      <c r="M472" t="s">
        <v>16222</v>
      </c>
    </row>
    <row r="473" spans="1:13">
      <c r="A473" t="s">
        <v>15006</v>
      </c>
      <c r="B473" t="s">
        <v>15006</v>
      </c>
      <c r="C473" t="s">
        <v>15066</v>
      </c>
      <c r="D473" t="s">
        <v>4310</v>
      </c>
      <c r="F473" t="str">
        <f>Config!$B$7</f>
        <v>SCH/Connector.SchLib</v>
      </c>
      <c r="G473" t="s">
        <v>14932</v>
      </c>
      <c r="H473" t="s">
        <v>15084</v>
      </c>
      <c r="I473" t="s">
        <v>14944</v>
      </c>
      <c r="K473" s="47" t="s">
        <v>16202</v>
      </c>
      <c r="L473" t="s">
        <v>16199</v>
      </c>
      <c r="M473" t="s">
        <v>16222</v>
      </c>
    </row>
    <row r="474" spans="1:13">
      <c r="A474" t="s">
        <v>15007</v>
      </c>
      <c r="B474" t="s">
        <v>15007</v>
      </c>
      <c r="C474" t="s">
        <v>15067</v>
      </c>
      <c r="D474" t="s">
        <v>4310</v>
      </c>
      <c r="F474" t="str">
        <f>Config!$B$7</f>
        <v>SCH/Connector.SchLib</v>
      </c>
      <c r="G474" t="s">
        <v>14932</v>
      </c>
      <c r="H474" t="s">
        <v>15084</v>
      </c>
      <c r="I474" t="s">
        <v>14945</v>
      </c>
      <c r="K474" s="47" t="s">
        <v>16202</v>
      </c>
      <c r="L474" t="s">
        <v>16200</v>
      </c>
      <c r="M474" t="s">
        <v>16222</v>
      </c>
    </row>
    <row r="475" spans="1:13">
      <c r="A475" t="s">
        <v>15008</v>
      </c>
      <c r="B475" t="s">
        <v>15008</v>
      </c>
      <c r="C475" t="s">
        <v>15068</v>
      </c>
      <c r="D475" t="s">
        <v>4310</v>
      </c>
      <c r="F475" t="str">
        <f>Config!$B$7</f>
        <v>SCH/Connector.SchLib</v>
      </c>
      <c r="G475" t="s">
        <v>14932</v>
      </c>
      <c r="H475" t="s">
        <v>15084</v>
      </c>
      <c r="I475" t="s">
        <v>14946</v>
      </c>
      <c r="K475" s="47" t="s">
        <v>16202</v>
      </c>
      <c r="L475" t="s">
        <v>16202</v>
      </c>
      <c r="M475" t="s">
        <v>16222</v>
      </c>
    </row>
    <row r="476" spans="1:13">
      <c r="A476" t="s">
        <v>15009</v>
      </c>
      <c r="B476" t="s">
        <v>15009</v>
      </c>
      <c r="C476" t="s">
        <v>15069</v>
      </c>
      <c r="D476" t="s">
        <v>4310</v>
      </c>
      <c r="F476" t="str">
        <f>Config!$B$7</f>
        <v>SCH/Connector.SchLib</v>
      </c>
      <c r="G476" t="s">
        <v>14932</v>
      </c>
      <c r="H476" t="s">
        <v>15084</v>
      </c>
      <c r="I476" t="s">
        <v>14947</v>
      </c>
      <c r="K476" s="47" t="s">
        <v>16202</v>
      </c>
      <c r="L476" t="s">
        <v>16204</v>
      </c>
      <c r="M476" t="s">
        <v>16222</v>
      </c>
    </row>
    <row r="477" spans="1:13">
      <c r="A477" t="s">
        <v>15010</v>
      </c>
      <c r="B477" t="s">
        <v>15010</v>
      </c>
      <c r="C477" t="s">
        <v>15070</v>
      </c>
      <c r="D477" t="s">
        <v>4310</v>
      </c>
      <c r="F477" t="str">
        <f>Config!$B$7</f>
        <v>SCH/Connector.SchLib</v>
      </c>
      <c r="G477" t="s">
        <v>14932</v>
      </c>
      <c r="H477" t="s">
        <v>15084</v>
      </c>
      <c r="I477" t="s">
        <v>14948</v>
      </c>
      <c r="K477" s="47" t="s">
        <v>16203</v>
      </c>
      <c r="L477" t="s">
        <v>16209</v>
      </c>
      <c r="M477" t="s">
        <v>16222</v>
      </c>
    </row>
    <row r="478" spans="1:13">
      <c r="A478" t="s">
        <v>15011</v>
      </c>
      <c r="B478" t="s">
        <v>15011</v>
      </c>
      <c r="C478" t="s">
        <v>15071</v>
      </c>
      <c r="D478" t="s">
        <v>4310</v>
      </c>
      <c r="F478" t="str">
        <f>Config!$B$7</f>
        <v>SCH/Connector.SchLib</v>
      </c>
      <c r="G478" t="s">
        <v>14932</v>
      </c>
      <c r="H478" t="s">
        <v>15084</v>
      </c>
      <c r="I478" t="s">
        <v>14949</v>
      </c>
      <c r="K478" s="47" t="s">
        <v>16203</v>
      </c>
      <c r="L478" t="s">
        <v>16201</v>
      </c>
      <c r="M478" t="s">
        <v>16222</v>
      </c>
    </row>
    <row r="479" spans="1:13">
      <c r="A479" t="s">
        <v>15012</v>
      </c>
      <c r="B479" t="s">
        <v>15012</v>
      </c>
      <c r="C479" t="s">
        <v>15072</v>
      </c>
      <c r="D479" t="s">
        <v>4310</v>
      </c>
      <c r="F479" t="str">
        <f>Config!$B$7</f>
        <v>SCH/Connector.SchLib</v>
      </c>
      <c r="G479" t="s">
        <v>14932</v>
      </c>
      <c r="H479" t="s">
        <v>15084</v>
      </c>
      <c r="I479" t="s">
        <v>14950</v>
      </c>
      <c r="K479" s="47" t="s">
        <v>16203</v>
      </c>
      <c r="L479" t="s">
        <v>16203</v>
      </c>
      <c r="M479" t="s">
        <v>16222</v>
      </c>
    </row>
    <row r="480" spans="1:13">
      <c r="A480" t="s">
        <v>15013</v>
      </c>
      <c r="B480" t="s">
        <v>15013</v>
      </c>
      <c r="C480" t="s">
        <v>15073</v>
      </c>
      <c r="D480" t="s">
        <v>4310</v>
      </c>
      <c r="F480" t="str">
        <f>Config!$B$7</f>
        <v>SCH/Connector.SchLib</v>
      </c>
      <c r="G480" t="s">
        <v>14932</v>
      </c>
      <c r="H480" t="s">
        <v>15084</v>
      </c>
      <c r="I480" t="s">
        <v>14951</v>
      </c>
      <c r="K480" s="47" t="s">
        <v>16203</v>
      </c>
      <c r="L480" t="s">
        <v>16206</v>
      </c>
      <c r="M480" t="s">
        <v>16222</v>
      </c>
    </row>
    <row r="481" spans="1:13">
      <c r="A481" t="s">
        <v>15014</v>
      </c>
      <c r="B481" t="s">
        <v>15014</v>
      </c>
      <c r="C481" t="s">
        <v>15074</v>
      </c>
      <c r="D481" t="s">
        <v>4310</v>
      </c>
      <c r="F481" t="str">
        <f>Config!$B$7</f>
        <v>SCH/Connector.SchLib</v>
      </c>
      <c r="G481" t="s">
        <v>14932</v>
      </c>
      <c r="H481" t="s">
        <v>15084</v>
      </c>
      <c r="I481" t="s">
        <v>14952</v>
      </c>
      <c r="K481" s="47" t="s">
        <v>16204</v>
      </c>
      <c r="L481" t="s">
        <v>16210</v>
      </c>
      <c r="M481" t="s">
        <v>16222</v>
      </c>
    </row>
    <row r="482" spans="1:13">
      <c r="A482" t="s">
        <v>15015</v>
      </c>
      <c r="B482" t="s">
        <v>15015</v>
      </c>
      <c r="C482" t="s">
        <v>15075</v>
      </c>
      <c r="D482" t="s">
        <v>4310</v>
      </c>
      <c r="F482" t="str">
        <f>Config!$B$7</f>
        <v>SCH/Connector.SchLib</v>
      </c>
      <c r="G482" t="s">
        <v>14932</v>
      </c>
      <c r="H482" t="s">
        <v>15084</v>
      </c>
      <c r="I482" t="s">
        <v>14953</v>
      </c>
      <c r="K482" s="47" t="s">
        <v>16204</v>
      </c>
      <c r="L482" t="s">
        <v>16200</v>
      </c>
      <c r="M482" t="s">
        <v>16222</v>
      </c>
    </row>
    <row r="483" spans="1:13">
      <c r="A483" t="s">
        <v>15016</v>
      </c>
      <c r="B483" t="s">
        <v>15016</v>
      </c>
      <c r="C483" t="s">
        <v>15076</v>
      </c>
      <c r="D483" t="s">
        <v>4310</v>
      </c>
      <c r="F483" t="str">
        <f>Config!$B$7</f>
        <v>SCH/Connector.SchLib</v>
      </c>
      <c r="G483" t="s">
        <v>14932</v>
      </c>
      <c r="H483" t="s">
        <v>15084</v>
      </c>
      <c r="I483" t="s">
        <v>14954</v>
      </c>
      <c r="K483" s="47" t="s">
        <v>16204</v>
      </c>
      <c r="L483" t="s">
        <v>16202</v>
      </c>
      <c r="M483" t="s">
        <v>16222</v>
      </c>
    </row>
    <row r="484" spans="1:13">
      <c r="A484" t="s">
        <v>15017</v>
      </c>
      <c r="B484" t="s">
        <v>15017</v>
      </c>
      <c r="C484" t="s">
        <v>15077</v>
      </c>
      <c r="D484" t="s">
        <v>4310</v>
      </c>
      <c r="F484" t="str">
        <f>Config!$B$7</f>
        <v>SCH/Connector.SchLib</v>
      </c>
      <c r="G484" t="s">
        <v>14932</v>
      </c>
      <c r="H484" t="s">
        <v>15084</v>
      </c>
      <c r="I484" t="s">
        <v>14955</v>
      </c>
      <c r="K484" s="47" t="s">
        <v>16204</v>
      </c>
      <c r="L484" t="s">
        <v>16204</v>
      </c>
      <c r="M484" t="s">
        <v>16222</v>
      </c>
    </row>
    <row r="485" spans="1:13">
      <c r="A485" t="s">
        <v>15018</v>
      </c>
      <c r="B485" t="s">
        <v>15018</v>
      </c>
      <c r="C485" t="s">
        <v>15078</v>
      </c>
      <c r="D485" t="s">
        <v>4310</v>
      </c>
      <c r="F485" t="str">
        <f>Config!$B$7</f>
        <v>SCH/Connector.SchLib</v>
      </c>
      <c r="G485" t="s">
        <v>14932</v>
      </c>
      <c r="H485" t="s">
        <v>15084</v>
      </c>
      <c r="I485" t="s">
        <v>14956</v>
      </c>
      <c r="K485" s="47" t="s">
        <v>16204</v>
      </c>
      <c r="L485" t="s">
        <v>16207</v>
      </c>
      <c r="M485" t="s">
        <v>16222</v>
      </c>
    </row>
    <row r="486" spans="1:13">
      <c r="A486" t="s">
        <v>15019</v>
      </c>
      <c r="B486" t="s">
        <v>15019</v>
      </c>
      <c r="C486" t="s">
        <v>15079</v>
      </c>
      <c r="D486" t="s">
        <v>4310</v>
      </c>
      <c r="F486" t="str">
        <f>Config!$B$7</f>
        <v>SCH/Connector.SchLib</v>
      </c>
      <c r="G486" t="s">
        <v>14932</v>
      </c>
      <c r="H486" t="s">
        <v>15084</v>
      </c>
      <c r="I486" t="s">
        <v>14957</v>
      </c>
      <c r="K486" s="47" t="s">
        <v>16205</v>
      </c>
      <c r="L486" t="s">
        <v>16199</v>
      </c>
      <c r="M486" t="s">
        <v>16222</v>
      </c>
    </row>
    <row r="487" spans="1:13">
      <c r="A487" t="s">
        <v>15755</v>
      </c>
      <c r="B487" t="s">
        <v>15755</v>
      </c>
      <c r="C487" t="s">
        <v>15775</v>
      </c>
      <c r="D487" t="s">
        <v>4310</v>
      </c>
      <c r="F487" t="str">
        <f>Config!$B$7</f>
        <v>SCH/Connector.SchLib</v>
      </c>
      <c r="G487" t="s">
        <v>14932</v>
      </c>
      <c r="H487" t="s">
        <v>15084</v>
      </c>
      <c r="I487" t="s">
        <v>15695</v>
      </c>
      <c r="K487" s="47" t="s">
        <v>16205</v>
      </c>
      <c r="L487" t="s">
        <v>16200</v>
      </c>
      <c r="M487" t="s">
        <v>16222</v>
      </c>
    </row>
    <row r="488" spans="1:13">
      <c r="A488" t="s">
        <v>15020</v>
      </c>
      <c r="B488" t="s">
        <v>15020</v>
      </c>
      <c r="C488" t="s">
        <v>15080</v>
      </c>
      <c r="D488" t="s">
        <v>4310</v>
      </c>
      <c r="F488" t="str">
        <f>Config!$B$7</f>
        <v>SCH/Connector.SchLib</v>
      </c>
      <c r="G488" t="s">
        <v>14932</v>
      </c>
      <c r="H488" t="s">
        <v>15084</v>
      </c>
      <c r="I488" t="s">
        <v>14958</v>
      </c>
      <c r="K488" s="47" t="s">
        <v>16205</v>
      </c>
      <c r="L488" t="s">
        <v>16211</v>
      </c>
      <c r="M488" t="s">
        <v>16222</v>
      </c>
    </row>
    <row r="489" spans="1:13">
      <c r="A489" t="s">
        <v>15021</v>
      </c>
      <c r="B489" t="s">
        <v>15021</v>
      </c>
      <c r="C489" t="s">
        <v>15081</v>
      </c>
      <c r="D489" t="s">
        <v>4310</v>
      </c>
      <c r="F489" t="str">
        <f>Config!$B$7</f>
        <v>SCH/Connector.SchLib</v>
      </c>
      <c r="G489" t="s">
        <v>14932</v>
      </c>
      <c r="H489" t="s">
        <v>15084</v>
      </c>
      <c r="I489" t="s">
        <v>14959</v>
      </c>
      <c r="K489" s="47" t="s">
        <v>16205</v>
      </c>
      <c r="L489" t="s">
        <v>16212</v>
      </c>
      <c r="M489" t="s">
        <v>16222</v>
      </c>
    </row>
    <row r="490" spans="1:13">
      <c r="A490" t="s">
        <v>15022</v>
      </c>
      <c r="B490" t="s">
        <v>15022</v>
      </c>
      <c r="C490" t="s">
        <v>15082</v>
      </c>
      <c r="D490" t="s">
        <v>4310</v>
      </c>
      <c r="F490" t="str">
        <f>Config!$B$7</f>
        <v>SCH/Connector.SchLib</v>
      </c>
      <c r="G490" t="s">
        <v>14932</v>
      </c>
      <c r="H490" t="s">
        <v>15084</v>
      </c>
      <c r="I490" t="s">
        <v>14960</v>
      </c>
      <c r="K490" s="47" t="s">
        <v>16205</v>
      </c>
      <c r="L490" t="s">
        <v>16205</v>
      </c>
      <c r="M490" t="s">
        <v>16222</v>
      </c>
    </row>
    <row r="491" spans="1:13">
      <c r="A491" t="s">
        <v>15023</v>
      </c>
      <c r="B491" t="s">
        <v>15023</v>
      </c>
      <c r="C491" t="s">
        <v>15083</v>
      </c>
      <c r="D491" t="s">
        <v>4310</v>
      </c>
      <c r="F491" t="str">
        <f>Config!$B$7</f>
        <v>SCH/Connector.SchLib</v>
      </c>
      <c r="G491" t="s">
        <v>14932</v>
      </c>
      <c r="H491" t="s">
        <v>15084</v>
      </c>
      <c r="I491" t="s">
        <v>14961</v>
      </c>
      <c r="K491" s="47" t="s">
        <v>16205</v>
      </c>
      <c r="L491" t="s">
        <v>16213</v>
      </c>
      <c r="M491" t="s">
        <v>16222</v>
      </c>
    </row>
    <row r="492" spans="1:13">
      <c r="A492" t="s">
        <v>15756</v>
      </c>
      <c r="B492" t="s">
        <v>15756</v>
      </c>
      <c r="C492" t="s">
        <v>15776</v>
      </c>
      <c r="D492" t="s">
        <v>4310</v>
      </c>
      <c r="F492" t="str">
        <f>Config!$B$7</f>
        <v>SCH/Connector.SchLib</v>
      </c>
      <c r="G492" t="s">
        <v>14932</v>
      </c>
      <c r="H492" t="s">
        <v>15084</v>
      </c>
      <c r="I492" t="s">
        <v>15698</v>
      </c>
      <c r="K492" s="47" t="s">
        <v>16206</v>
      </c>
      <c r="L492" t="s">
        <v>16214</v>
      </c>
      <c r="M492" t="s">
        <v>16222</v>
      </c>
    </row>
    <row r="493" spans="1:13">
      <c r="A493" t="s">
        <v>15757</v>
      </c>
      <c r="B493" t="s">
        <v>15757</v>
      </c>
      <c r="C493" t="s">
        <v>15777</v>
      </c>
      <c r="D493" t="s">
        <v>4310</v>
      </c>
      <c r="F493" t="str">
        <f>Config!$B$7</f>
        <v>SCH/Connector.SchLib</v>
      </c>
      <c r="G493" t="s">
        <v>14932</v>
      </c>
      <c r="H493" t="s">
        <v>15084</v>
      </c>
      <c r="I493" t="s">
        <v>15699</v>
      </c>
      <c r="K493" s="47" t="s">
        <v>16206</v>
      </c>
      <c r="L493" t="s">
        <v>16200</v>
      </c>
      <c r="M493" t="s">
        <v>16222</v>
      </c>
    </row>
    <row r="494" spans="1:13">
      <c r="A494" t="s">
        <v>15758</v>
      </c>
      <c r="B494" t="s">
        <v>15758</v>
      </c>
      <c r="C494" t="s">
        <v>15778</v>
      </c>
      <c r="D494" t="s">
        <v>4310</v>
      </c>
      <c r="F494" t="str">
        <f>Config!$B$7</f>
        <v>SCH/Connector.SchLib</v>
      </c>
      <c r="G494" t="s">
        <v>14932</v>
      </c>
      <c r="H494" t="s">
        <v>15084</v>
      </c>
      <c r="I494" t="s">
        <v>15700</v>
      </c>
      <c r="K494" s="47" t="s">
        <v>16206</v>
      </c>
      <c r="L494" t="s">
        <v>16201</v>
      </c>
      <c r="M494" t="s">
        <v>16222</v>
      </c>
    </row>
    <row r="495" spans="1:13">
      <c r="A495" t="s">
        <v>15759</v>
      </c>
      <c r="B495" t="s">
        <v>15759</v>
      </c>
      <c r="C495" t="s">
        <v>15779</v>
      </c>
      <c r="D495" t="s">
        <v>4310</v>
      </c>
      <c r="F495" t="str">
        <f>Config!$B$7</f>
        <v>SCH/Connector.SchLib</v>
      </c>
      <c r="G495" t="s">
        <v>14932</v>
      </c>
      <c r="H495" t="s">
        <v>15084</v>
      </c>
      <c r="I495" t="s">
        <v>15701</v>
      </c>
      <c r="K495" s="47" t="s">
        <v>16206</v>
      </c>
      <c r="L495" t="s">
        <v>16203</v>
      </c>
      <c r="M495" t="s">
        <v>16222</v>
      </c>
    </row>
    <row r="496" spans="1:13">
      <c r="A496" t="s">
        <v>15760</v>
      </c>
      <c r="B496" t="s">
        <v>15760</v>
      </c>
      <c r="C496" t="s">
        <v>15780</v>
      </c>
      <c r="D496" t="s">
        <v>4310</v>
      </c>
      <c r="F496" t="str">
        <f>Config!$B$7</f>
        <v>SCH/Connector.SchLib</v>
      </c>
      <c r="G496" t="s">
        <v>14932</v>
      </c>
      <c r="H496" t="s">
        <v>15084</v>
      </c>
      <c r="I496" t="s">
        <v>15702</v>
      </c>
      <c r="K496" s="47" t="s">
        <v>16206</v>
      </c>
      <c r="L496" t="s">
        <v>16206</v>
      </c>
      <c r="M496" t="s">
        <v>16222</v>
      </c>
    </row>
    <row r="497" spans="1:13">
      <c r="A497" t="s">
        <v>15761</v>
      </c>
      <c r="B497" t="s">
        <v>15761</v>
      </c>
      <c r="C497" t="s">
        <v>15781</v>
      </c>
      <c r="D497" t="s">
        <v>4310</v>
      </c>
      <c r="F497" t="str">
        <f>Config!$B$7</f>
        <v>SCH/Connector.SchLib</v>
      </c>
      <c r="G497" t="s">
        <v>14932</v>
      </c>
      <c r="H497" t="s">
        <v>15084</v>
      </c>
      <c r="I497" t="s">
        <v>15703</v>
      </c>
      <c r="K497" s="47" t="s">
        <v>16206</v>
      </c>
      <c r="L497" t="s">
        <v>16215</v>
      </c>
      <c r="M497" t="s">
        <v>16222</v>
      </c>
    </row>
    <row r="498" spans="1:13">
      <c r="A498" t="s">
        <v>15762</v>
      </c>
      <c r="B498" t="s">
        <v>15762</v>
      </c>
      <c r="C498" t="s">
        <v>15782</v>
      </c>
      <c r="D498" t="s">
        <v>4310</v>
      </c>
      <c r="F498" t="str">
        <f>Config!$B$7</f>
        <v>SCH/Connector.SchLib</v>
      </c>
      <c r="G498" t="s">
        <v>14932</v>
      </c>
      <c r="H498" t="s">
        <v>15084</v>
      </c>
      <c r="I498" t="s">
        <v>15704</v>
      </c>
      <c r="K498" s="47" t="s">
        <v>16207</v>
      </c>
      <c r="L498" t="s">
        <v>16199</v>
      </c>
      <c r="M498" t="s">
        <v>16222</v>
      </c>
    </row>
    <row r="499" spans="1:13">
      <c r="A499" t="s">
        <v>15763</v>
      </c>
      <c r="B499" t="s">
        <v>15763</v>
      </c>
      <c r="C499" t="s">
        <v>15783</v>
      </c>
      <c r="D499" t="s">
        <v>4310</v>
      </c>
      <c r="F499" t="str">
        <f>Config!$B$7</f>
        <v>SCH/Connector.SchLib</v>
      </c>
      <c r="G499" t="s">
        <v>14932</v>
      </c>
      <c r="H499" t="s">
        <v>15084</v>
      </c>
      <c r="I499" t="s">
        <v>15705</v>
      </c>
      <c r="K499" s="47" t="s">
        <v>16207</v>
      </c>
      <c r="L499" t="s">
        <v>16216</v>
      </c>
      <c r="M499" t="s">
        <v>16222</v>
      </c>
    </row>
    <row r="500" spans="1:13">
      <c r="A500" t="s">
        <v>15764</v>
      </c>
      <c r="B500" t="s">
        <v>15764</v>
      </c>
      <c r="C500" t="s">
        <v>15784</v>
      </c>
      <c r="D500" t="s">
        <v>4310</v>
      </c>
      <c r="F500" t="str">
        <f>Config!$B$7</f>
        <v>SCH/Connector.SchLib</v>
      </c>
      <c r="G500" t="s">
        <v>14932</v>
      </c>
      <c r="H500" t="s">
        <v>15084</v>
      </c>
      <c r="I500" t="s">
        <v>15706</v>
      </c>
      <c r="K500" s="47" t="s">
        <v>16207</v>
      </c>
      <c r="L500" t="s">
        <v>16200</v>
      </c>
      <c r="M500" t="s">
        <v>16222</v>
      </c>
    </row>
    <row r="501" spans="1:13">
      <c r="A501" t="s">
        <v>15765</v>
      </c>
      <c r="B501" t="s">
        <v>15765</v>
      </c>
      <c r="C501" t="s">
        <v>15785</v>
      </c>
      <c r="D501" t="s">
        <v>4310</v>
      </c>
      <c r="F501" t="str">
        <f>Config!$B$7</f>
        <v>SCH/Connector.SchLib</v>
      </c>
      <c r="G501" t="s">
        <v>14932</v>
      </c>
      <c r="H501" t="s">
        <v>15084</v>
      </c>
      <c r="I501" t="s">
        <v>15707</v>
      </c>
      <c r="K501" s="47" t="s">
        <v>16207</v>
      </c>
      <c r="L501" t="s">
        <v>16202</v>
      </c>
      <c r="M501" t="s">
        <v>16222</v>
      </c>
    </row>
    <row r="502" spans="1:13">
      <c r="A502" t="s">
        <v>15766</v>
      </c>
      <c r="B502" t="s">
        <v>15766</v>
      </c>
      <c r="C502" t="s">
        <v>15786</v>
      </c>
      <c r="D502" t="s">
        <v>4310</v>
      </c>
      <c r="F502" t="str">
        <f>Config!$B$7</f>
        <v>SCH/Connector.SchLib</v>
      </c>
      <c r="G502" t="s">
        <v>14932</v>
      </c>
      <c r="H502" t="s">
        <v>15084</v>
      </c>
      <c r="I502" t="s">
        <v>15708</v>
      </c>
      <c r="K502" s="47" t="s">
        <v>16207</v>
      </c>
      <c r="L502" t="s">
        <v>16204</v>
      </c>
      <c r="M502" t="s">
        <v>16222</v>
      </c>
    </row>
    <row r="503" spans="1:13">
      <c r="A503" t="s">
        <v>15767</v>
      </c>
      <c r="B503" t="s">
        <v>15767</v>
      </c>
      <c r="C503" t="s">
        <v>15787</v>
      </c>
      <c r="D503" t="s">
        <v>4310</v>
      </c>
      <c r="F503" t="str">
        <f>Config!$B$7</f>
        <v>SCH/Connector.SchLib</v>
      </c>
      <c r="G503" t="s">
        <v>14932</v>
      </c>
      <c r="H503" t="s">
        <v>15084</v>
      </c>
      <c r="I503" t="s">
        <v>15709</v>
      </c>
      <c r="K503" s="47" t="s">
        <v>16207</v>
      </c>
      <c r="L503" t="s">
        <v>16207</v>
      </c>
      <c r="M503" t="s">
        <v>16222</v>
      </c>
    </row>
    <row r="504" spans="1:13">
      <c r="A504" t="s">
        <v>15768</v>
      </c>
      <c r="B504" t="s">
        <v>15768</v>
      </c>
      <c r="C504" t="s">
        <v>15788</v>
      </c>
      <c r="D504" t="s">
        <v>4310</v>
      </c>
      <c r="F504" t="str">
        <f>Config!$B$7</f>
        <v>SCH/Connector.SchLib</v>
      </c>
      <c r="G504" t="s">
        <v>14932</v>
      </c>
      <c r="H504" t="s">
        <v>15084</v>
      </c>
      <c r="I504" t="s">
        <v>15710</v>
      </c>
      <c r="K504" s="47" t="s">
        <v>16207</v>
      </c>
      <c r="L504" t="s">
        <v>16217</v>
      </c>
      <c r="M504" t="s">
        <v>16222</v>
      </c>
    </row>
    <row r="505" spans="1:13">
      <c r="A505" t="s">
        <v>15769</v>
      </c>
      <c r="B505" t="s">
        <v>15769</v>
      </c>
      <c r="C505" t="s">
        <v>15789</v>
      </c>
      <c r="D505" t="s">
        <v>4310</v>
      </c>
      <c r="F505" t="str">
        <f>Config!$B$7</f>
        <v>SCH/Connector.SchLib</v>
      </c>
      <c r="G505" t="s">
        <v>14932</v>
      </c>
      <c r="H505" t="s">
        <v>15084</v>
      </c>
      <c r="I505" t="s">
        <v>15711</v>
      </c>
      <c r="K505" s="47" t="s">
        <v>16208</v>
      </c>
      <c r="L505" t="s">
        <v>16199</v>
      </c>
      <c r="M505" t="s">
        <v>16222</v>
      </c>
    </row>
    <row r="506" spans="1:13">
      <c r="A506" t="s">
        <v>15770</v>
      </c>
      <c r="B506" t="s">
        <v>15770</v>
      </c>
      <c r="C506" t="s">
        <v>15790</v>
      </c>
      <c r="D506" t="s">
        <v>4310</v>
      </c>
      <c r="F506" t="str">
        <f>Config!$B$7</f>
        <v>SCH/Connector.SchLib</v>
      </c>
      <c r="G506" t="s">
        <v>14932</v>
      </c>
      <c r="H506" t="s">
        <v>15084</v>
      </c>
      <c r="I506" t="s">
        <v>15712</v>
      </c>
      <c r="K506" s="47" t="s">
        <v>16208</v>
      </c>
      <c r="L506" t="s">
        <v>16200</v>
      </c>
      <c r="M506" t="s">
        <v>16222</v>
      </c>
    </row>
    <row r="507" spans="1:13">
      <c r="A507" t="s">
        <v>15771</v>
      </c>
      <c r="B507" t="s">
        <v>15771</v>
      </c>
      <c r="C507" t="s">
        <v>15791</v>
      </c>
      <c r="D507" t="s">
        <v>4310</v>
      </c>
      <c r="F507" t="str">
        <f>Config!$B$7</f>
        <v>SCH/Connector.SchLib</v>
      </c>
      <c r="G507" t="s">
        <v>14932</v>
      </c>
      <c r="H507" t="s">
        <v>15084</v>
      </c>
      <c r="I507" t="s">
        <v>15713</v>
      </c>
      <c r="K507" s="47" t="s">
        <v>16208</v>
      </c>
      <c r="L507" t="s">
        <v>16212</v>
      </c>
      <c r="M507" t="s">
        <v>16222</v>
      </c>
    </row>
    <row r="508" spans="1:13">
      <c r="A508" t="s">
        <v>15772</v>
      </c>
      <c r="B508" t="s">
        <v>15772</v>
      </c>
      <c r="C508" t="s">
        <v>15792</v>
      </c>
      <c r="D508" t="s">
        <v>4310</v>
      </c>
      <c r="F508" t="str">
        <f>Config!$B$7</f>
        <v>SCH/Connector.SchLib</v>
      </c>
      <c r="G508" t="s">
        <v>14932</v>
      </c>
      <c r="H508" t="s">
        <v>15084</v>
      </c>
      <c r="I508" t="s">
        <v>15714</v>
      </c>
      <c r="K508" s="47" t="s">
        <v>16208</v>
      </c>
      <c r="L508" t="s">
        <v>16205</v>
      </c>
      <c r="M508" t="s">
        <v>16222</v>
      </c>
    </row>
    <row r="509" spans="1:13">
      <c r="A509" t="s">
        <v>15773</v>
      </c>
      <c r="B509" t="s">
        <v>15773</v>
      </c>
      <c r="C509" t="s">
        <v>15793</v>
      </c>
      <c r="D509" t="s">
        <v>4310</v>
      </c>
      <c r="F509" t="str">
        <f>Config!$B$7</f>
        <v>SCH/Connector.SchLib</v>
      </c>
      <c r="G509" t="s">
        <v>14932</v>
      </c>
      <c r="H509" t="s">
        <v>15084</v>
      </c>
      <c r="I509" t="s">
        <v>15715</v>
      </c>
      <c r="K509" s="47" t="s">
        <v>16208</v>
      </c>
      <c r="L509" t="s">
        <v>16213</v>
      </c>
      <c r="M509" t="s">
        <v>16222</v>
      </c>
    </row>
    <row r="510" spans="1:13">
      <c r="A510" t="s">
        <v>15774</v>
      </c>
      <c r="B510" t="s">
        <v>15774</v>
      </c>
      <c r="C510" t="s">
        <v>15794</v>
      </c>
      <c r="D510" t="s">
        <v>4310</v>
      </c>
      <c r="F510" t="str">
        <f>Config!$B$7</f>
        <v>SCH/Connector.SchLib</v>
      </c>
      <c r="G510" t="s">
        <v>14932</v>
      </c>
      <c r="H510" t="s">
        <v>15084</v>
      </c>
      <c r="I510" t="s">
        <v>15716</v>
      </c>
      <c r="K510" s="47" t="s">
        <v>16208</v>
      </c>
      <c r="L510" t="s">
        <v>16218</v>
      </c>
      <c r="M510" t="s">
        <v>16222</v>
      </c>
    </row>
    <row r="512" spans="1:13">
      <c r="A512" t="s">
        <v>15146</v>
      </c>
      <c r="B512" t="s">
        <v>15146</v>
      </c>
      <c r="C512" t="s">
        <v>15147</v>
      </c>
      <c r="D512" t="s">
        <v>4310</v>
      </c>
      <c r="F512" t="str">
        <f>Config!$B$7</f>
        <v>SCH/Connector.SchLib</v>
      </c>
      <c r="G512" t="s">
        <v>14932</v>
      </c>
      <c r="H512" t="s">
        <v>15148</v>
      </c>
      <c r="I512" t="s">
        <v>14962</v>
      </c>
      <c r="K512" s="47" t="s">
        <v>16198</v>
      </c>
      <c r="L512" t="s">
        <v>16198</v>
      </c>
      <c r="M512" t="s">
        <v>16221</v>
      </c>
    </row>
    <row r="513" spans="1:13">
      <c r="A513" t="s">
        <v>15149</v>
      </c>
      <c r="B513" t="s">
        <v>15149</v>
      </c>
      <c r="C513" t="s">
        <v>15150</v>
      </c>
      <c r="D513" t="s">
        <v>4310</v>
      </c>
      <c r="F513" t="str">
        <f>Config!$B$7</f>
        <v>SCH/Connector.SchLib</v>
      </c>
      <c r="G513" t="s">
        <v>14932</v>
      </c>
      <c r="H513" t="s">
        <v>15148</v>
      </c>
      <c r="I513" t="s">
        <v>14963</v>
      </c>
      <c r="K513" s="47" t="s">
        <v>16198</v>
      </c>
      <c r="L513" t="s">
        <v>16199</v>
      </c>
      <c r="M513" t="s">
        <v>16221</v>
      </c>
    </row>
    <row r="514" spans="1:13">
      <c r="A514" t="s">
        <v>15151</v>
      </c>
      <c r="B514" t="s">
        <v>15151</v>
      </c>
      <c r="C514" t="s">
        <v>15152</v>
      </c>
      <c r="D514" t="s">
        <v>4310</v>
      </c>
      <c r="F514" t="str">
        <f>Config!$B$7</f>
        <v>SCH/Connector.SchLib</v>
      </c>
      <c r="G514" t="s">
        <v>14932</v>
      </c>
      <c r="H514" t="s">
        <v>15148</v>
      </c>
      <c r="I514" t="s">
        <v>14934</v>
      </c>
      <c r="K514" s="47" t="s">
        <v>16199</v>
      </c>
      <c r="L514" t="s">
        <v>16198</v>
      </c>
      <c r="M514" t="s">
        <v>16221</v>
      </c>
    </row>
    <row r="515" spans="1:13">
      <c r="A515" t="s">
        <v>15153</v>
      </c>
      <c r="B515" t="s">
        <v>15153</v>
      </c>
      <c r="C515" t="s">
        <v>15154</v>
      </c>
      <c r="D515" t="s">
        <v>4310</v>
      </c>
      <c r="F515" t="str">
        <f>Config!$B$7</f>
        <v>SCH/Connector.SchLib</v>
      </c>
      <c r="G515" t="s">
        <v>14932</v>
      </c>
      <c r="H515" t="s">
        <v>15148</v>
      </c>
      <c r="I515" t="s">
        <v>14935</v>
      </c>
      <c r="K515" s="47" t="s">
        <v>16199</v>
      </c>
      <c r="L515" t="s">
        <v>16199</v>
      </c>
      <c r="M515" t="s">
        <v>16221</v>
      </c>
    </row>
    <row r="516" spans="1:13">
      <c r="A516" t="s">
        <v>15155</v>
      </c>
      <c r="B516" t="s">
        <v>15155</v>
      </c>
      <c r="C516" t="s">
        <v>15156</v>
      </c>
      <c r="D516" t="s">
        <v>4310</v>
      </c>
      <c r="F516" t="str">
        <f>Config!$B$7</f>
        <v>SCH/Connector.SchLib</v>
      </c>
      <c r="G516" t="s">
        <v>14932</v>
      </c>
      <c r="H516" t="s">
        <v>15148</v>
      </c>
      <c r="I516" t="s">
        <v>14936</v>
      </c>
      <c r="K516" s="47" t="s">
        <v>16199</v>
      </c>
      <c r="L516" t="s">
        <v>16200</v>
      </c>
      <c r="M516" t="s">
        <v>16221</v>
      </c>
    </row>
    <row r="517" spans="1:13">
      <c r="A517" t="s">
        <v>15157</v>
      </c>
      <c r="B517" t="s">
        <v>15157</v>
      </c>
      <c r="C517" t="s">
        <v>15158</v>
      </c>
      <c r="D517" t="s">
        <v>4310</v>
      </c>
      <c r="F517" t="str">
        <f>Config!$B$7</f>
        <v>SCH/Connector.SchLib</v>
      </c>
      <c r="G517" t="s">
        <v>14932</v>
      </c>
      <c r="H517" t="s">
        <v>15148</v>
      </c>
      <c r="I517" t="s">
        <v>14937</v>
      </c>
      <c r="K517" s="47" t="s">
        <v>16200</v>
      </c>
      <c r="L517" t="s">
        <v>16198</v>
      </c>
      <c r="M517" t="s">
        <v>16221</v>
      </c>
    </row>
    <row r="518" spans="1:13">
      <c r="A518" t="s">
        <v>15159</v>
      </c>
      <c r="B518" t="s">
        <v>15159</v>
      </c>
      <c r="C518" t="s">
        <v>15160</v>
      </c>
      <c r="D518" t="s">
        <v>4310</v>
      </c>
      <c r="F518" t="str">
        <f>Config!$B$7</f>
        <v>SCH/Connector.SchLib</v>
      </c>
      <c r="G518" t="s">
        <v>14932</v>
      </c>
      <c r="H518" t="s">
        <v>15148</v>
      </c>
      <c r="I518" t="s">
        <v>14938</v>
      </c>
      <c r="K518" s="47" t="s">
        <v>16200</v>
      </c>
      <c r="L518" t="s">
        <v>16199</v>
      </c>
      <c r="M518" t="s">
        <v>16221</v>
      </c>
    </row>
    <row r="519" spans="1:13">
      <c r="A519" t="s">
        <v>15161</v>
      </c>
      <c r="B519" t="s">
        <v>15161</v>
      </c>
      <c r="C519" t="s">
        <v>15162</v>
      </c>
      <c r="D519" t="s">
        <v>4310</v>
      </c>
      <c r="F519" t="str">
        <f>Config!$B$7</f>
        <v>SCH/Connector.SchLib</v>
      </c>
      <c r="G519" t="s">
        <v>14932</v>
      </c>
      <c r="H519" t="s">
        <v>15148</v>
      </c>
      <c r="I519" t="s">
        <v>14939</v>
      </c>
      <c r="K519" s="47" t="s">
        <v>16200</v>
      </c>
      <c r="L519" t="s">
        <v>16200</v>
      </c>
      <c r="M519" t="s">
        <v>16221</v>
      </c>
    </row>
    <row r="520" spans="1:13">
      <c r="A520" t="s">
        <v>15163</v>
      </c>
      <c r="B520" t="s">
        <v>15163</v>
      </c>
      <c r="C520" t="s">
        <v>15164</v>
      </c>
      <c r="D520" t="s">
        <v>4310</v>
      </c>
      <c r="F520" t="str">
        <f>Config!$B$7</f>
        <v>SCH/Connector.SchLib</v>
      </c>
      <c r="G520" t="s">
        <v>14932</v>
      </c>
      <c r="H520" t="s">
        <v>15148</v>
      </c>
      <c r="I520" t="s">
        <v>14940</v>
      </c>
      <c r="K520" s="47" t="s">
        <v>16200</v>
      </c>
      <c r="L520" t="s">
        <v>16202</v>
      </c>
      <c r="M520" t="s">
        <v>16221</v>
      </c>
    </row>
    <row r="521" spans="1:13">
      <c r="A521" t="s">
        <v>15165</v>
      </c>
      <c r="B521" t="s">
        <v>15165</v>
      </c>
      <c r="C521" t="s">
        <v>15166</v>
      </c>
      <c r="D521" t="s">
        <v>4310</v>
      </c>
      <c r="F521" t="str">
        <f>Config!$B$7</f>
        <v>SCH/Connector.SchLib</v>
      </c>
      <c r="G521" t="s">
        <v>14932</v>
      </c>
      <c r="H521" t="s">
        <v>15148</v>
      </c>
      <c r="I521" t="s">
        <v>14941</v>
      </c>
      <c r="K521" s="47" t="s">
        <v>16201</v>
      </c>
      <c r="L521" t="s">
        <v>16209</v>
      </c>
      <c r="M521" t="s">
        <v>16221</v>
      </c>
    </row>
    <row r="522" spans="1:13">
      <c r="A522" t="s">
        <v>15167</v>
      </c>
      <c r="B522" t="s">
        <v>15167</v>
      </c>
      <c r="C522" t="s">
        <v>15168</v>
      </c>
      <c r="D522" t="s">
        <v>4310</v>
      </c>
      <c r="F522" t="str">
        <f>Config!$B$7</f>
        <v>SCH/Connector.SchLib</v>
      </c>
      <c r="G522" t="s">
        <v>14932</v>
      </c>
      <c r="H522" t="s">
        <v>15148</v>
      </c>
      <c r="I522" t="s">
        <v>14942</v>
      </c>
      <c r="K522" s="47" t="s">
        <v>16201</v>
      </c>
      <c r="L522" t="s">
        <v>16201</v>
      </c>
      <c r="M522" t="s">
        <v>16221</v>
      </c>
    </row>
    <row r="523" spans="1:13">
      <c r="A523" t="s">
        <v>15169</v>
      </c>
      <c r="B523" t="s">
        <v>15169</v>
      </c>
      <c r="C523" t="s">
        <v>15170</v>
      </c>
      <c r="D523" t="s">
        <v>4310</v>
      </c>
      <c r="F523" t="str">
        <f>Config!$B$7</f>
        <v>SCH/Connector.SchLib</v>
      </c>
      <c r="G523" t="s">
        <v>14932</v>
      </c>
      <c r="H523" t="s">
        <v>15148</v>
      </c>
      <c r="I523" t="s">
        <v>14943</v>
      </c>
      <c r="K523" s="47" t="s">
        <v>16201</v>
      </c>
      <c r="L523" t="s">
        <v>16203</v>
      </c>
      <c r="M523" t="s">
        <v>16221</v>
      </c>
    </row>
    <row r="524" spans="1:13">
      <c r="A524" t="s">
        <v>15171</v>
      </c>
      <c r="B524" t="s">
        <v>15171</v>
      </c>
      <c r="C524" t="s">
        <v>15172</v>
      </c>
      <c r="D524" t="s">
        <v>4310</v>
      </c>
      <c r="F524" t="str">
        <f>Config!$B$7</f>
        <v>SCH/Connector.SchLib</v>
      </c>
      <c r="G524" t="s">
        <v>14932</v>
      </c>
      <c r="H524" t="s">
        <v>15148</v>
      </c>
      <c r="I524" t="s">
        <v>14944</v>
      </c>
      <c r="K524" s="47" t="s">
        <v>16202</v>
      </c>
      <c r="L524" t="s">
        <v>16199</v>
      </c>
      <c r="M524" t="s">
        <v>16221</v>
      </c>
    </row>
    <row r="525" spans="1:13">
      <c r="A525" t="s">
        <v>15173</v>
      </c>
      <c r="B525" t="s">
        <v>15173</v>
      </c>
      <c r="C525" t="s">
        <v>15174</v>
      </c>
      <c r="D525" t="s">
        <v>4310</v>
      </c>
      <c r="F525" t="str">
        <f>Config!$B$7</f>
        <v>SCH/Connector.SchLib</v>
      </c>
      <c r="G525" t="s">
        <v>14932</v>
      </c>
      <c r="H525" t="s">
        <v>15148</v>
      </c>
      <c r="I525" t="s">
        <v>14945</v>
      </c>
      <c r="K525" s="47" t="s">
        <v>16202</v>
      </c>
      <c r="L525" t="s">
        <v>16200</v>
      </c>
      <c r="M525" t="s">
        <v>16221</v>
      </c>
    </row>
    <row r="526" spans="1:13">
      <c r="A526" t="s">
        <v>15175</v>
      </c>
      <c r="B526" t="s">
        <v>15175</v>
      </c>
      <c r="C526" t="s">
        <v>15176</v>
      </c>
      <c r="D526" t="s">
        <v>4310</v>
      </c>
      <c r="F526" t="str">
        <f>Config!$B$7</f>
        <v>SCH/Connector.SchLib</v>
      </c>
      <c r="G526" t="s">
        <v>14932</v>
      </c>
      <c r="H526" t="s">
        <v>15148</v>
      </c>
      <c r="I526" t="s">
        <v>14946</v>
      </c>
      <c r="K526" s="47" t="s">
        <v>16202</v>
      </c>
      <c r="L526" t="s">
        <v>16202</v>
      </c>
      <c r="M526" t="s">
        <v>16221</v>
      </c>
    </row>
    <row r="527" spans="1:13">
      <c r="A527" t="s">
        <v>15177</v>
      </c>
      <c r="B527" t="s">
        <v>15177</v>
      </c>
      <c r="C527" t="s">
        <v>15178</v>
      </c>
      <c r="D527" t="s">
        <v>4310</v>
      </c>
      <c r="F527" t="str">
        <f>Config!$B$7</f>
        <v>SCH/Connector.SchLib</v>
      </c>
      <c r="G527" t="s">
        <v>14932</v>
      </c>
      <c r="H527" t="s">
        <v>15148</v>
      </c>
      <c r="I527" t="s">
        <v>14947</v>
      </c>
      <c r="K527" s="47" t="s">
        <v>16202</v>
      </c>
      <c r="L527" t="s">
        <v>16204</v>
      </c>
      <c r="M527" t="s">
        <v>16221</v>
      </c>
    </row>
    <row r="528" spans="1:13">
      <c r="A528" t="s">
        <v>15179</v>
      </c>
      <c r="B528" t="s">
        <v>15179</v>
      </c>
      <c r="C528" t="s">
        <v>15180</v>
      </c>
      <c r="D528" t="s">
        <v>4310</v>
      </c>
      <c r="F528" t="str">
        <f>Config!$B$7</f>
        <v>SCH/Connector.SchLib</v>
      </c>
      <c r="G528" t="s">
        <v>14932</v>
      </c>
      <c r="H528" t="s">
        <v>15148</v>
      </c>
      <c r="I528" t="s">
        <v>14948</v>
      </c>
      <c r="K528" s="47" t="s">
        <v>16203</v>
      </c>
      <c r="L528" t="s">
        <v>16209</v>
      </c>
      <c r="M528" t="s">
        <v>16221</v>
      </c>
    </row>
    <row r="529" spans="1:13">
      <c r="A529" t="s">
        <v>15181</v>
      </c>
      <c r="B529" t="s">
        <v>15181</v>
      </c>
      <c r="C529" t="s">
        <v>15182</v>
      </c>
      <c r="D529" t="s">
        <v>4310</v>
      </c>
      <c r="F529" t="str">
        <f>Config!$B$7</f>
        <v>SCH/Connector.SchLib</v>
      </c>
      <c r="G529" t="s">
        <v>14932</v>
      </c>
      <c r="H529" t="s">
        <v>15148</v>
      </c>
      <c r="I529" t="s">
        <v>14949</v>
      </c>
      <c r="K529" s="47" t="s">
        <v>16203</v>
      </c>
      <c r="L529" t="s">
        <v>16201</v>
      </c>
      <c r="M529" t="s">
        <v>16221</v>
      </c>
    </row>
    <row r="530" spans="1:13">
      <c r="A530" t="s">
        <v>15183</v>
      </c>
      <c r="B530" t="s">
        <v>15183</v>
      </c>
      <c r="C530" t="s">
        <v>15184</v>
      </c>
      <c r="D530" t="s">
        <v>4310</v>
      </c>
      <c r="F530" t="str">
        <f>Config!$B$7</f>
        <v>SCH/Connector.SchLib</v>
      </c>
      <c r="G530" t="s">
        <v>14932</v>
      </c>
      <c r="H530" t="s">
        <v>15148</v>
      </c>
      <c r="I530" t="s">
        <v>14950</v>
      </c>
      <c r="K530" s="47" t="s">
        <v>16203</v>
      </c>
      <c r="L530" t="s">
        <v>16203</v>
      </c>
      <c r="M530" t="s">
        <v>16221</v>
      </c>
    </row>
    <row r="531" spans="1:13">
      <c r="A531" t="s">
        <v>15185</v>
      </c>
      <c r="B531" t="s">
        <v>15185</v>
      </c>
      <c r="C531" t="s">
        <v>15186</v>
      </c>
      <c r="D531" t="s">
        <v>4310</v>
      </c>
      <c r="F531" t="str">
        <f>Config!$B$7</f>
        <v>SCH/Connector.SchLib</v>
      </c>
      <c r="G531" t="s">
        <v>14932</v>
      </c>
      <c r="H531" t="s">
        <v>15148</v>
      </c>
      <c r="I531" t="s">
        <v>14951</v>
      </c>
      <c r="K531" s="47" t="s">
        <v>16203</v>
      </c>
      <c r="L531" t="s">
        <v>16206</v>
      </c>
      <c r="M531" t="s">
        <v>16221</v>
      </c>
    </row>
    <row r="532" spans="1:13">
      <c r="A532" t="s">
        <v>15187</v>
      </c>
      <c r="B532" t="s">
        <v>15187</v>
      </c>
      <c r="C532" t="s">
        <v>15188</v>
      </c>
      <c r="D532" t="s">
        <v>4310</v>
      </c>
      <c r="F532" t="str">
        <f>Config!$B$7</f>
        <v>SCH/Connector.SchLib</v>
      </c>
      <c r="G532" t="s">
        <v>14932</v>
      </c>
      <c r="H532" t="s">
        <v>15148</v>
      </c>
      <c r="I532" t="s">
        <v>14952</v>
      </c>
      <c r="K532" s="47" t="s">
        <v>16204</v>
      </c>
      <c r="L532" t="s">
        <v>16210</v>
      </c>
      <c r="M532" t="s">
        <v>16221</v>
      </c>
    </row>
    <row r="533" spans="1:13">
      <c r="A533" t="s">
        <v>15189</v>
      </c>
      <c r="B533" t="s">
        <v>15189</v>
      </c>
      <c r="C533" t="s">
        <v>15190</v>
      </c>
      <c r="D533" t="s">
        <v>4310</v>
      </c>
      <c r="F533" t="str">
        <f>Config!$B$7</f>
        <v>SCH/Connector.SchLib</v>
      </c>
      <c r="G533" t="s">
        <v>14932</v>
      </c>
      <c r="H533" t="s">
        <v>15148</v>
      </c>
      <c r="I533" t="s">
        <v>14953</v>
      </c>
      <c r="K533" s="47" t="s">
        <v>16204</v>
      </c>
      <c r="L533" t="s">
        <v>16200</v>
      </c>
      <c r="M533" t="s">
        <v>16221</v>
      </c>
    </row>
    <row r="534" spans="1:13">
      <c r="A534" t="s">
        <v>15191</v>
      </c>
      <c r="B534" t="s">
        <v>15191</v>
      </c>
      <c r="C534" t="s">
        <v>15192</v>
      </c>
      <c r="D534" t="s">
        <v>4310</v>
      </c>
      <c r="F534" t="str">
        <f>Config!$B$7</f>
        <v>SCH/Connector.SchLib</v>
      </c>
      <c r="G534" t="s">
        <v>14932</v>
      </c>
      <c r="H534" t="s">
        <v>15148</v>
      </c>
      <c r="I534" t="s">
        <v>14954</v>
      </c>
      <c r="K534" s="47" t="s">
        <v>16204</v>
      </c>
      <c r="L534" t="s">
        <v>16202</v>
      </c>
      <c r="M534" t="s">
        <v>16221</v>
      </c>
    </row>
    <row r="535" spans="1:13">
      <c r="A535" t="s">
        <v>15193</v>
      </c>
      <c r="B535" t="s">
        <v>15193</v>
      </c>
      <c r="C535" t="s">
        <v>15194</v>
      </c>
      <c r="D535" t="s">
        <v>4310</v>
      </c>
      <c r="F535" t="str">
        <f>Config!$B$7</f>
        <v>SCH/Connector.SchLib</v>
      </c>
      <c r="G535" t="s">
        <v>14932</v>
      </c>
      <c r="H535" t="s">
        <v>15148</v>
      </c>
      <c r="I535" t="s">
        <v>14955</v>
      </c>
      <c r="K535" s="47" t="s">
        <v>16204</v>
      </c>
      <c r="L535" t="s">
        <v>16204</v>
      </c>
      <c r="M535" t="s">
        <v>16221</v>
      </c>
    </row>
    <row r="536" spans="1:13">
      <c r="A536" t="s">
        <v>15195</v>
      </c>
      <c r="B536" t="s">
        <v>15195</v>
      </c>
      <c r="C536" t="s">
        <v>15196</v>
      </c>
      <c r="D536" t="s">
        <v>4310</v>
      </c>
      <c r="F536" t="str">
        <f>Config!$B$7</f>
        <v>SCH/Connector.SchLib</v>
      </c>
      <c r="G536" t="s">
        <v>14932</v>
      </c>
      <c r="H536" t="s">
        <v>15148</v>
      </c>
      <c r="I536" t="s">
        <v>14956</v>
      </c>
      <c r="K536" s="47" t="s">
        <v>16204</v>
      </c>
      <c r="L536" t="s">
        <v>16207</v>
      </c>
      <c r="M536" t="s">
        <v>16221</v>
      </c>
    </row>
    <row r="537" spans="1:13">
      <c r="A537" t="s">
        <v>15197</v>
      </c>
      <c r="B537" t="s">
        <v>15197</v>
      </c>
      <c r="C537" t="s">
        <v>15198</v>
      </c>
      <c r="D537" t="s">
        <v>4310</v>
      </c>
      <c r="F537" t="str">
        <f>Config!$B$7</f>
        <v>SCH/Connector.SchLib</v>
      </c>
      <c r="G537" t="s">
        <v>14932</v>
      </c>
      <c r="H537" t="s">
        <v>15148</v>
      </c>
      <c r="I537" t="s">
        <v>14957</v>
      </c>
      <c r="K537" s="47" t="s">
        <v>16205</v>
      </c>
      <c r="L537" t="s">
        <v>16199</v>
      </c>
      <c r="M537" t="s">
        <v>16221</v>
      </c>
    </row>
    <row r="538" spans="1:13">
      <c r="A538" t="s">
        <v>15835</v>
      </c>
      <c r="B538" t="s">
        <v>15835</v>
      </c>
      <c r="C538" t="s">
        <v>15836</v>
      </c>
      <c r="D538" t="s">
        <v>4310</v>
      </c>
      <c r="F538" t="str">
        <f>Config!$B$7</f>
        <v>SCH/Connector.SchLib</v>
      </c>
      <c r="G538" t="s">
        <v>14932</v>
      </c>
      <c r="H538" t="s">
        <v>15148</v>
      </c>
      <c r="I538" t="s">
        <v>15695</v>
      </c>
      <c r="K538" s="47" t="s">
        <v>16205</v>
      </c>
      <c r="L538" t="s">
        <v>16200</v>
      </c>
      <c r="M538" t="s">
        <v>16221</v>
      </c>
    </row>
    <row r="539" spans="1:13">
      <c r="A539" t="s">
        <v>15199</v>
      </c>
      <c r="B539" t="s">
        <v>15199</v>
      </c>
      <c r="C539" t="s">
        <v>15200</v>
      </c>
      <c r="D539" t="s">
        <v>4310</v>
      </c>
      <c r="F539" t="str">
        <f>Config!$B$7</f>
        <v>SCH/Connector.SchLib</v>
      </c>
      <c r="G539" t="s">
        <v>14932</v>
      </c>
      <c r="H539" t="s">
        <v>15148</v>
      </c>
      <c r="I539" t="s">
        <v>14958</v>
      </c>
      <c r="K539" s="47" t="s">
        <v>16205</v>
      </c>
      <c r="L539" t="s">
        <v>16211</v>
      </c>
      <c r="M539" t="s">
        <v>16221</v>
      </c>
    </row>
    <row r="540" spans="1:13">
      <c r="A540" t="s">
        <v>15201</v>
      </c>
      <c r="B540" t="s">
        <v>15201</v>
      </c>
      <c r="C540" t="s">
        <v>15202</v>
      </c>
      <c r="D540" t="s">
        <v>4310</v>
      </c>
      <c r="F540" t="str">
        <f>Config!$B$7</f>
        <v>SCH/Connector.SchLib</v>
      </c>
      <c r="G540" t="s">
        <v>14932</v>
      </c>
      <c r="H540" t="s">
        <v>15148</v>
      </c>
      <c r="I540" t="s">
        <v>14959</v>
      </c>
      <c r="K540" s="47" t="s">
        <v>16205</v>
      </c>
      <c r="L540" t="s">
        <v>16212</v>
      </c>
      <c r="M540" t="s">
        <v>16221</v>
      </c>
    </row>
    <row r="541" spans="1:13">
      <c r="A541" t="s">
        <v>15203</v>
      </c>
      <c r="B541" t="s">
        <v>15203</v>
      </c>
      <c r="C541" t="s">
        <v>15204</v>
      </c>
      <c r="D541" t="s">
        <v>4310</v>
      </c>
      <c r="F541" t="str">
        <f>Config!$B$7</f>
        <v>SCH/Connector.SchLib</v>
      </c>
      <c r="G541" t="s">
        <v>14932</v>
      </c>
      <c r="H541" t="s">
        <v>15148</v>
      </c>
      <c r="I541" t="s">
        <v>14960</v>
      </c>
      <c r="K541" s="47" t="s">
        <v>16205</v>
      </c>
      <c r="L541" t="s">
        <v>16205</v>
      </c>
      <c r="M541" t="s">
        <v>16221</v>
      </c>
    </row>
    <row r="542" spans="1:13">
      <c r="A542" t="s">
        <v>15205</v>
      </c>
      <c r="B542" t="s">
        <v>15205</v>
      </c>
      <c r="C542" t="s">
        <v>15206</v>
      </c>
      <c r="D542" t="s">
        <v>4310</v>
      </c>
      <c r="F542" t="str">
        <f>Config!$B$7</f>
        <v>SCH/Connector.SchLib</v>
      </c>
      <c r="G542" t="s">
        <v>14932</v>
      </c>
      <c r="H542" t="s">
        <v>15148</v>
      </c>
      <c r="I542" t="s">
        <v>14961</v>
      </c>
      <c r="K542" s="47" t="s">
        <v>16205</v>
      </c>
      <c r="L542" t="s">
        <v>16213</v>
      </c>
      <c r="M542" t="s">
        <v>16221</v>
      </c>
    </row>
    <row r="543" spans="1:13">
      <c r="A543" t="s">
        <v>15837</v>
      </c>
      <c r="B543" t="s">
        <v>15837</v>
      </c>
      <c r="C543" t="s">
        <v>15838</v>
      </c>
      <c r="D543" t="s">
        <v>4310</v>
      </c>
      <c r="F543" t="str">
        <f>Config!$B$7</f>
        <v>SCH/Connector.SchLib</v>
      </c>
      <c r="G543" t="s">
        <v>14932</v>
      </c>
      <c r="H543" t="s">
        <v>15148</v>
      </c>
      <c r="I543" t="s">
        <v>15698</v>
      </c>
      <c r="K543" s="47" t="s">
        <v>16206</v>
      </c>
      <c r="L543" t="s">
        <v>16214</v>
      </c>
      <c r="M543" t="s">
        <v>16221</v>
      </c>
    </row>
    <row r="544" spans="1:13">
      <c r="A544" t="s">
        <v>15839</v>
      </c>
      <c r="B544" t="s">
        <v>15839</v>
      </c>
      <c r="C544" t="s">
        <v>15840</v>
      </c>
      <c r="D544" t="s">
        <v>4310</v>
      </c>
      <c r="F544" t="str">
        <f>Config!$B$7</f>
        <v>SCH/Connector.SchLib</v>
      </c>
      <c r="G544" t="s">
        <v>14932</v>
      </c>
      <c r="H544" t="s">
        <v>15148</v>
      </c>
      <c r="I544" t="s">
        <v>15699</v>
      </c>
      <c r="K544" s="47" t="s">
        <v>16206</v>
      </c>
      <c r="L544" t="s">
        <v>16200</v>
      </c>
      <c r="M544" t="s">
        <v>16221</v>
      </c>
    </row>
    <row r="545" spans="1:13">
      <c r="A545" t="s">
        <v>15841</v>
      </c>
      <c r="B545" t="s">
        <v>15841</v>
      </c>
      <c r="C545" t="s">
        <v>15842</v>
      </c>
      <c r="D545" t="s">
        <v>4310</v>
      </c>
      <c r="F545" t="str">
        <f>Config!$B$7</f>
        <v>SCH/Connector.SchLib</v>
      </c>
      <c r="G545" t="s">
        <v>14932</v>
      </c>
      <c r="H545" t="s">
        <v>15148</v>
      </c>
      <c r="I545" t="s">
        <v>15700</v>
      </c>
      <c r="K545" s="47" t="s">
        <v>16206</v>
      </c>
      <c r="L545" t="s">
        <v>16201</v>
      </c>
      <c r="M545" t="s">
        <v>16221</v>
      </c>
    </row>
    <row r="546" spans="1:13">
      <c r="A546" t="s">
        <v>15843</v>
      </c>
      <c r="B546" t="s">
        <v>15843</v>
      </c>
      <c r="C546" t="s">
        <v>15844</v>
      </c>
      <c r="D546" t="s">
        <v>4310</v>
      </c>
      <c r="F546" t="str">
        <f>Config!$B$7</f>
        <v>SCH/Connector.SchLib</v>
      </c>
      <c r="G546" t="s">
        <v>14932</v>
      </c>
      <c r="H546" t="s">
        <v>15148</v>
      </c>
      <c r="I546" t="s">
        <v>15701</v>
      </c>
      <c r="K546" s="47" t="s">
        <v>16206</v>
      </c>
      <c r="L546" t="s">
        <v>16203</v>
      </c>
      <c r="M546" t="s">
        <v>16221</v>
      </c>
    </row>
    <row r="547" spans="1:13">
      <c r="A547" t="s">
        <v>15845</v>
      </c>
      <c r="B547" t="s">
        <v>15845</v>
      </c>
      <c r="C547" t="s">
        <v>15846</v>
      </c>
      <c r="D547" t="s">
        <v>4310</v>
      </c>
      <c r="F547" t="str">
        <f>Config!$B$7</f>
        <v>SCH/Connector.SchLib</v>
      </c>
      <c r="G547" t="s">
        <v>14932</v>
      </c>
      <c r="H547" t="s">
        <v>15148</v>
      </c>
      <c r="I547" t="s">
        <v>15702</v>
      </c>
      <c r="K547" s="47" t="s">
        <v>16206</v>
      </c>
      <c r="L547" t="s">
        <v>16206</v>
      </c>
      <c r="M547" t="s">
        <v>16221</v>
      </c>
    </row>
    <row r="548" spans="1:13">
      <c r="A548" t="s">
        <v>15847</v>
      </c>
      <c r="B548" t="s">
        <v>15847</v>
      </c>
      <c r="C548" t="s">
        <v>15848</v>
      </c>
      <c r="D548" t="s">
        <v>4310</v>
      </c>
      <c r="F548" t="str">
        <f>Config!$B$7</f>
        <v>SCH/Connector.SchLib</v>
      </c>
      <c r="G548" t="s">
        <v>14932</v>
      </c>
      <c r="H548" t="s">
        <v>15148</v>
      </c>
      <c r="I548" t="s">
        <v>15703</v>
      </c>
      <c r="K548" s="47" t="s">
        <v>16206</v>
      </c>
      <c r="L548" t="s">
        <v>16215</v>
      </c>
      <c r="M548" t="s">
        <v>16221</v>
      </c>
    </row>
    <row r="549" spans="1:13">
      <c r="A549" t="s">
        <v>15849</v>
      </c>
      <c r="B549" t="s">
        <v>15849</v>
      </c>
      <c r="C549" t="s">
        <v>15850</v>
      </c>
      <c r="D549" t="s">
        <v>4310</v>
      </c>
      <c r="F549" t="str">
        <f>Config!$B$7</f>
        <v>SCH/Connector.SchLib</v>
      </c>
      <c r="G549" t="s">
        <v>14932</v>
      </c>
      <c r="H549" t="s">
        <v>15148</v>
      </c>
      <c r="I549" t="s">
        <v>15704</v>
      </c>
      <c r="K549" s="47" t="s">
        <v>16207</v>
      </c>
      <c r="L549" t="s">
        <v>16199</v>
      </c>
      <c r="M549" t="s">
        <v>16221</v>
      </c>
    </row>
    <row r="550" spans="1:13">
      <c r="A550" t="s">
        <v>15851</v>
      </c>
      <c r="B550" t="s">
        <v>15851</v>
      </c>
      <c r="C550" t="s">
        <v>15852</v>
      </c>
      <c r="D550" t="s">
        <v>4310</v>
      </c>
      <c r="F550" t="str">
        <f>Config!$B$7</f>
        <v>SCH/Connector.SchLib</v>
      </c>
      <c r="G550" t="s">
        <v>14932</v>
      </c>
      <c r="H550" t="s">
        <v>15148</v>
      </c>
      <c r="I550" t="s">
        <v>15705</v>
      </c>
      <c r="K550" s="47" t="s">
        <v>16207</v>
      </c>
      <c r="L550" t="s">
        <v>16216</v>
      </c>
      <c r="M550" t="s">
        <v>16221</v>
      </c>
    </row>
    <row r="551" spans="1:13">
      <c r="A551" t="s">
        <v>15853</v>
      </c>
      <c r="B551" t="s">
        <v>15853</v>
      </c>
      <c r="C551" t="s">
        <v>15854</v>
      </c>
      <c r="D551" t="s">
        <v>4310</v>
      </c>
      <c r="F551" t="str">
        <f>Config!$B$7</f>
        <v>SCH/Connector.SchLib</v>
      </c>
      <c r="G551" t="s">
        <v>14932</v>
      </c>
      <c r="H551" t="s">
        <v>15148</v>
      </c>
      <c r="I551" t="s">
        <v>15706</v>
      </c>
      <c r="K551" s="47" t="s">
        <v>16207</v>
      </c>
      <c r="L551" t="s">
        <v>16200</v>
      </c>
      <c r="M551" t="s">
        <v>16221</v>
      </c>
    </row>
    <row r="552" spans="1:13">
      <c r="A552" t="s">
        <v>15855</v>
      </c>
      <c r="B552" t="s">
        <v>15855</v>
      </c>
      <c r="C552" t="s">
        <v>15856</v>
      </c>
      <c r="D552" t="s">
        <v>4310</v>
      </c>
      <c r="F552" t="str">
        <f>Config!$B$7</f>
        <v>SCH/Connector.SchLib</v>
      </c>
      <c r="G552" t="s">
        <v>14932</v>
      </c>
      <c r="H552" t="s">
        <v>15148</v>
      </c>
      <c r="I552" t="s">
        <v>15707</v>
      </c>
      <c r="K552" s="47" t="s">
        <v>16207</v>
      </c>
      <c r="L552" t="s">
        <v>16202</v>
      </c>
      <c r="M552" t="s">
        <v>16221</v>
      </c>
    </row>
    <row r="553" spans="1:13">
      <c r="A553" t="s">
        <v>15857</v>
      </c>
      <c r="B553" t="s">
        <v>15857</v>
      </c>
      <c r="C553" t="s">
        <v>15858</v>
      </c>
      <c r="D553" t="s">
        <v>4310</v>
      </c>
      <c r="F553" t="str">
        <f>Config!$B$7</f>
        <v>SCH/Connector.SchLib</v>
      </c>
      <c r="G553" t="s">
        <v>14932</v>
      </c>
      <c r="H553" t="s">
        <v>15148</v>
      </c>
      <c r="I553" t="s">
        <v>15708</v>
      </c>
      <c r="K553" s="47" t="s">
        <v>16207</v>
      </c>
      <c r="L553" t="s">
        <v>16204</v>
      </c>
      <c r="M553" t="s">
        <v>16221</v>
      </c>
    </row>
    <row r="554" spans="1:13">
      <c r="A554" t="s">
        <v>15859</v>
      </c>
      <c r="B554" t="s">
        <v>15859</v>
      </c>
      <c r="C554" t="s">
        <v>15860</v>
      </c>
      <c r="D554" t="s">
        <v>4310</v>
      </c>
      <c r="F554" t="str">
        <f>Config!$B$7</f>
        <v>SCH/Connector.SchLib</v>
      </c>
      <c r="G554" t="s">
        <v>14932</v>
      </c>
      <c r="H554" t="s">
        <v>15148</v>
      </c>
      <c r="I554" t="s">
        <v>15709</v>
      </c>
      <c r="K554" s="47" t="s">
        <v>16207</v>
      </c>
      <c r="L554" t="s">
        <v>16207</v>
      </c>
      <c r="M554" t="s">
        <v>16221</v>
      </c>
    </row>
    <row r="555" spans="1:13">
      <c r="A555" t="s">
        <v>15861</v>
      </c>
      <c r="B555" t="s">
        <v>15861</v>
      </c>
      <c r="C555" t="s">
        <v>15862</v>
      </c>
      <c r="D555" t="s">
        <v>4310</v>
      </c>
      <c r="F555" t="str">
        <f>Config!$B$7</f>
        <v>SCH/Connector.SchLib</v>
      </c>
      <c r="G555" t="s">
        <v>14932</v>
      </c>
      <c r="H555" t="s">
        <v>15148</v>
      </c>
      <c r="I555" t="s">
        <v>15710</v>
      </c>
      <c r="K555" s="47" t="s">
        <v>16207</v>
      </c>
      <c r="L555" t="s">
        <v>16217</v>
      </c>
      <c r="M555" t="s">
        <v>16221</v>
      </c>
    </row>
    <row r="556" spans="1:13">
      <c r="A556" t="s">
        <v>15863</v>
      </c>
      <c r="B556" t="s">
        <v>15863</v>
      </c>
      <c r="C556" t="s">
        <v>15864</v>
      </c>
      <c r="D556" t="s">
        <v>4310</v>
      </c>
      <c r="F556" t="str">
        <f>Config!$B$7</f>
        <v>SCH/Connector.SchLib</v>
      </c>
      <c r="G556" t="s">
        <v>14932</v>
      </c>
      <c r="H556" t="s">
        <v>15148</v>
      </c>
      <c r="I556" t="s">
        <v>15711</v>
      </c>
      <c r="K556" s="47" t="s">
        <v>16208</v>
      </c>
      <c r="L556" t="s">
        <v>16199</v>
      </c>
      <c r="M556" t="s">
        <v>16221</v>
      </c>
    </row>
    <row r="557" spans="1:13">
      <c r="A557" t="s">
        <v>15865</v>
      </c>
      <c r="B557" t="s">
        <v>15865</v>
      </c>
      <c r="C557" t="s">
        <v>15866</v>
      </c>
      <c r="D557" t="s">
        <v>4310</v>
      </c>
      <c r="F557" t="str">
        <f>Config!$B$7</f>
        <v>SCH/Connector.SchLib</v>
      </c>
      <c r="G557" t="s">
        <v>14932</v>
      </c>
      <c r="H557" t="s">
        <v>15148</v>
      </c>
      <c r="I557" t="s">
        <v>15712</v>
      </c>
      <c r="K557" s="47" t="s">
        <v>16208</v>
      </c>
      <c r="L557" t="s">
        <v>16200</v>
      </c>
      <c r="M557" t="s">
        <v>16221</v>
      </c>
    </row>
    <row r="558" spans="1:13">
      <c r="A558" t="s">
        <v>15867</v>
      </c>
      <c r="B558" t="s">
        <v>15867</v>
      </c>
      <c r="C558" t="s">
        <v>15868</v>
      </c>
      <c r="D558" t="s">
        <v>4310</v>
      </c>
      <c r="F558" t="str">
        <f>Config!$B$7</f>
        <v>SCH/Connector.SchLib</v>
      </c>
      <c r="G558" t="s">
        <v>14932</v>
      </c>
      <c r="H558" t="s">
        <v>15148</v>
      </c>
      <c r="I558" t="s">
        <v>15713</v>
      </c>
      <c r="K558" s="47" t="s">
        <v>16208</v>
      </c>
      <c r="L558" t="s">
        <v>16212</v>
      </c>
      <c r="M558" t="s">
        <v>16221</v>
      </c>
    </row>
    <row r="559" spans="1:13">
      <c r="A559" t="s">
        <v>15869</v>
      </c>
      <c r="B559" t="s">
        <v>15869</v>
      </c>
      <c r="C559" t="s">
        <v>15870</v>
      </c>
      <c r="D559" t="s">
        <v>4310</v>
      </c>
      <c r="F559" t="str">
        <f>Config!$B$7</f>
        <v>SCH/Connector.SchLib</v>
      </c>
      <c r="G559" t="s">
        <v>14932</v>
      </c>
      <c r="H559" t="s">
        <v>15148</v>
      </c>
      <c r="I559" t="s">
        <v>15714</v>
      </c>
      <c r="K559" s="47" t="s">
        <v>16208</v>
      </c>
      <c r="L559" t="s">
        <v>16205</v>
      </c>
      <c r="M559" t="s">
        <v>16221</v>
      </c>
    </row>
    <row r="560" spans="1:13">
      <c r="A560" t="s">
        <v>15871</v>
      </c>
      <c r="B560" t="s">
        <v>15871</v>
      </c>
      <c r="C560" t="s">
        <v>15872</v>
      </c>
      <c r="D560" t="s">
        <v>4310</v>
      </c>
      <c r="F560" t="str">
        <f>Config!$B$7</f>
        <v>SCH/Connector.SchLib</v>
      </c>
      <c r="G560" t="s">
        <v>14932</v>
      </c>
      <c r="H560" t="s">
        <v>15148</v>
      </c>
      <c r="I560" t="s">
        <v>15715</v>
      </c>
      <c r="K560" s="47" t="s">
        <v>16208</v>
      </c>
      <c r="L560" t="s">
        <v>16213</v>
      </c>
      <c r="M560" t="s">
        <v>16221</v>
      </c>
    </row>
    <row r="561" spans="1:13">
      <c r="A561" t="s">
        <v>15873</v>
      </c>
      <c r="B561" t="s">
        <v>15873</v>
      </c>
      <c r="C561" t="s">
        <v>15874</v>
      </c>
      <c r="D561" t="s">
        <v>4310</v>
      </c>
      <c r="F561" t="str">
        <f>Config!$B$7</f>
        <v>SCH/Connector.SchLib</v>
      </c>
      <c r="G561" t="s">
        <v>14932</v>
      </c>
      <c r="H561" t="s">
        <v>15148</v>
      </c>
      <c r="I561" t="s">
        <v>15716</v>
      </c>
      <c r="K561" s="47" t="s">
        <v>16208</v>
      </c>
      <c r="L561" t="s">
        <v>16218</v>
      </c>
      <c r="M561" t="s">
        <v>16221</v>
      </c>
    </row>
    <row r="563" spans="1:13">
      <c r="A563" t="s">
        <v>15085</v>
      </c>
      <c r="B563" t="s">
        <v>15085</v>
      </c>
      <c r="C563" t="s">
        <v>15115</v>
      </c>
      <c r="D563" t="s">
        <v>4310</v>
      </c>
      <c r="F563" t="str">
        <f>Config!$B$7</f>
        <v>SCH/Connector.SchLib</v>
      </c>
      <c r="G563" t="s">
        <v>14932</v>
      </c>
      <c r="H563" t="s">
        <v>15145</v>
      </c>
      <c r="I563" t="s">
        <v>14962</v>
      </c>
      <c r="K563" s="47" t="s">
        <v>16198</v>
      </c>
      <c r="L563" t="s">
        <v>16198</v>
      </c>
      <c r="M563" t="s">
        <v>16220</v>
      </c>
    </row>
    <row r="564" spans="1:13">
      <c r="A564" t="s">
        <v>15086</v>
      </c>
      <c r="B564" t="s">
        <v>15086</v>
      </c>
      <c r="C564" t="s">
        <v>15116</v>
      </c>
      <c r="D564" t="s">
        <v>4310</v>
      </c>
      <c r="F564" t="str">
        <f>Config!$B$7</f>
        <v>SCH/Connector.SchLib</v>
      </c>
      <c r="G564" t="s">
        <v>14932</v>
      </c>
      <c r="H564" t="s">
        <v>15145</v>
      </c>
      <c r="I564" t="s">
        <v>14963</v>
      </c>
      <c r="K564" s="47" t="s">
        <v>16198</v>
      </c>
      <c r="L564" t="s">
        <v>16199</v>
      </c>
      <c r="M564" t="s">
        <v>16220</v>
      </c>
    </row>
    <row r="565" spans="1:13">
      <c r="A565" t="s">
        <v>15087</v>
      </c>
      <c r="B565" t="s">
        <v>15087</v>
      </c>
      <c r="C565" t="s">
        <v>15117</v>
      </c>
      <c r="D565" t="s">
        <v>4310</v>
      </c>
      <c r="F565" t="str">
        <f>Config!$B$7</f>
        <v>SCH/Connector.SchLib</v>
      </c>
      <c r="G565" t="s">
        <v>14932</v>
      </c>
      <c r="H565" t="s">
        <v>15145</v>
      </c>
      <c r="I565" t="s">
        <v>14934</v>
      </c>
      <c r="K565" s="47" t="s">
        <v>16199</v>
      </c>
      <c r="L565" t="s">
        <v>16198</v>
      </c>
      <c r="M565" t="s">
        <v>16220</v>
      </c>
    </row>
    <row r="566" spans="1:13">
      <c r="A566" t="s">
        <v>15088</v>
      </c>
      <c r="B566" t="s">
        <v>15088</v>
      </c>
      <c r="C566" t="s">
        <v>15118</v>
      </c>
      <c r="D566" t="s">
        <v>4310</v>
      </c>
      <c r="F566" t="str">
        <f>Config!$B$7</f>
        <v>SCH/Connector.SchLib</v>
      </c>
      <c r="G566" t="s">
        <v>14932</v>
      </c>
      <c r="H566" t="s">
        <v>15145</v>
      </c>
      <c r="I566" t="s">
        <v>14935</v>
      </c>
      <c r="K566" s="47" t="s">
        <v>16199</v>
      </c>
      <c r="L566" t="s">
        <v>16199</v>
      </c>
      <c r="M566" t="s">
        <v>16220</v>
      </c>
    </row>
    <row r="567" spans="1:13">
      <c r="A567" t="s">
        <v>15089</v>
      </c>
      <c r="B567" t="s">
        <v>15089</v>
      </c>
      <c r="C567" t="s">
        <v>15119</v>
      </c>
      <c r="D567" t="s">
        <v>4310</v>
      </c>
      <c r="F567" t="str">
        <f>Config!$B$7</f>
        <v>SCH/Connector.SchLib</v>
      </c>
      <c r="G567" t="s">
        <v>14932</v>
      </c>
      <c r="H567" t="s">
        <v>15145</v>
      </c>
      <c r="I567" t="s">
        <v>14936</v>
      </c>
      <c r="K567" s="47" t="s">
        <v>16199</v>
      </c>
      <c r="L567" t="s">
        <v>16200</v>
      </c>
      <c r="M567" t="s">
        <v>16220</v>
      </c>
    </row>
    <row r="568" spans="1:13">
      <c r="A568" t="s">
        <v>15090</v>
      </c>
      <c r="B568" t="s">
        <v>15090</v>
      </c>
      <c r="C568" t="s">
        <v>15120</v>
      </c>
      <c r="D568" t="s">
        <v>4310</v>
      </c>
      <c r="F568" t="str">
        <f>Config!$B$7</f>
        <v>SCH/Connector.SchLib</v>
      </c>
      <c r="G568" t="s">
        <v>14932</v>
      </c>
      <c r="H568" t="s">
        <v>15145</v>
      </c>
      <c r="I568" t="s">
        <v>14937</v>
      </c>
      <c r="K568" s="47" t="s">
        <v>16200</v>
      </c>
      <c r="L568" t="s">
        <v>16198</v>
      </c>
      <c r="M568" t="s">
        <v>16220</v>
      </c>
    </row>
    <row r="569" spans="1:13">
      <c r="A569" t="s">
        <v>15091</v>
      </c>
      <c r="B569" t="s">
        <v>15091</v>
      </c>
      <c r="C569" t="s">
        <v>15121</v>
      </c>
      <c r="D569" t="s">
        <v>4310</v>
      </c>
      <c r="F569" t="str">
        <f>Config!$B$7</f>
        <v>SCH/Connector.SchLib</v>
      </c>
      <c r="G569" t="s">
        <v>14932</v>
      </c>
      <c r="H569" t="s">
        <v>15145</v>
      </c>
      <c r="I569" t="s">
        <v>14938</v>
      </c>
      <c r="K569" s="47" t="s">
        <v>16200</v>
      </c>
      <c r="L569" t="s">
        <v>16199</v>
      </c>
      <c r="M569" t="s">
        <v>16220</v>
      </c>
    </row>
    <row r="570" spans="1:13">
      <c r="A570" t="s">
        <v>15092</v>
      </c>
      <c r="B570" t="s">
        <v>15092</v>
      </c>
      <c r="C570" t="s">
        <v>15122</v>
      </c>
      <c r="D570" t="s">
        <v>4310</v>
      </c>
      <c r="F570" t="str">
        <f>Config!$B$7</f>
        <v>SCH/Connector.SchLib</v>
      </c>
      <c r="G570" t="s">
        <v>14932</v>
      </c>
      <c r="H570" t="s">
        <v>15145</v>
      </c>
      <c r="I570" t="s">
        <v>14939</v>
      </c>
      <c r="K570" s="47" t="s">
        <v>16200</v>
      </c>
      <c r="L570" t="s">
        <v>16200</v>
      </c>
      <c r="M570" t="s">
        <v>16220</v>
      </c>
    </row>
    <row r="571" spans="1:13">
      <c r="A571" t="s">
        <v>15093</v>
      </c>
      <c r="B571" t="s">
        <v>15093</v>
      </c>
      <c r="C571" t="s">
        <v>15123</v>
      </c>
      <c r="D571" t="s">
        <v>4310</v>
      </c>
      <c r="F571" t="str">
        <f>Config!$B$7</f>
        <v>SCH/Connector.SchLib</v>
      </c>
      <c r="G571" t="s">
        <v>14932</v>
      </c>
      <c r="H571" t="s">
        <v>15145</v>
      </c>
      <c r="I571" t="s">
        <v>14940</v>
      </c>
      <c r="K571" s="47" t="s">
        <v>16200</v>
      </c>
      <c r="L571" t="s">
        <v>16202</v>
      </c>
      <c r="M571" t="s">
        <v>16220</v>
      </c>
    </row>
    <row r="572" spans="1:13">
      <c r="A572" t="s">
        <v>15094</v>
      </c>
      <c r="B572" t="s">
        <v>15094</v>
      </c>
      <c r="C572" t="s">
        <v>15124</v>
      </c>
      <c r="D572" t="s">
        <v>4310</v>
      </c>
      <c r="F572" t="str">
        <f>Config!$B$7</f>
        <v>SCH/Connector.SchLib</v>
      </c>
      <c r="G572" t="s">
        <v>14932</v>
      </c>
      <c r="H572" t="s">
        <v>15145</v>
      </c>
      <c r="I572" t="s">
        <v>14941</v>
      </c>
      <c r="K572" s="47" t="s">
        <v>16201</v>
      </c>
      <c r="L572" t="s">
        <v>16209</v>
      </c>
      <c r="M572" t="s">
        <v>16220</v>
      </c>
    </row>
    <row r="573" spans="1:13">
      <c r="A573" t="s">
        <v>15095</v>
      </c>
      <c r="B573" t="s">
        <v>15095</v>
      </c>
      <c r="C573" t="s">
        <v>15125</v>
      </c>
      <c r="D573" t="s">
        <v>4310</v>
      </c>
      <c r="F573" t="str">
        <f>Config!$B$7</f>
        <v>SCH/Connector.SchLib</v>
      </c>
      <c r="G573" t="s">
        <v>14932</v>
      </c>
      <c r="H573" t="s">
        <v>15145</v>
      </c>
      <c r="I573" t="s">
        <v>14942</v>
      </c>
      <c r="K573" s="47" t="s">
        <v>16201</v>
      </c>
      <c r="L573" t="s">
        <v>16201</v>
      </c>
      <c r="M573" t="s">
        <v>16220</v>
      </c>
    </row>
    <row r="574" spans="1:13">
      <c r="A574" t="s">
        <v>15096</v>
      </c>
      <c r="B574" t="s">
        <v>15096</v>
      </c>
      <c r="C574" t="s">
        <v>15126</v>
      </c>
      <c r="D574" t="s">
        <v>4310</v>
      </c>
      <c r="F574" t="str">
        <f>Config!$B$7</f>
        <v>SCH/Connector.SchLib</v>
      </c>
      <c r="G574" t="s">
        <v>14932</v>
      </c>
      <c r="H574" t="s">
        <v>15145</v>
      </c>
      <c r="I574" t="s">
        <v>14943</v>
      </c>
      <c r="K574" s="47" t="s">
        <v>16201</v>
      </c>
      <c r="L574" t="s">
        <v>16203</v>
      </c>
      <c r="M574" t="s">
        <v>16220</v>
      </c>
    </row>
    <row r="575" spans="1:13">
      <c r="A575" t="s">
        <v>15097</v>
      </c>
      <c r="B575" t="s">
        <v>15097</v>
      </c>
      <c r="C575" t="s">
        <v>15127</v>
      </c>
      <c r="D575" t="s">
        <v>4310</v>
      </c>
      <c r="F575" t="str">
        <f>Config!$B$7</f>
        <v>SCH/Connector.SchLib</v>
      </c>
      <c r="G575" t="s">
        <v>14932</v>
      </c>
      <c r="H575" t="s">
        <v>15145</v>
      </c>
      <c r="I575" t="s">
        <v>14944</v>
      </c>
      <c r="K575" s="47" t="s">
        <v>16202</v>
      </c>
      <c r="L575" t="s">
        <v>16199</v>
      </c>
      <c r="M575" t="s">
        <v>16220</v>
      </c>
    </row>
    <row r="576" spans="1:13">
      <c r="A576" t="s">
        <v>15098</v>
      </c>
      <c r="B576" t="s">
        <v>15098</v>
      </c>
      <c r="C576" t="s">
        <v>15128</v>
      </c>
      <c r="D576" t="s">
        <v>4310</v>
      </c>
      <c r="F576" t="str">
        <f>Config!$B$7</f>
        <v>SCH/Connector.SchLib</v>
      </c>
      <c r="G576" t="s">
        <v>14932</v>
      </c>
      <c r="H576" t="s">
        <v>15145</v>
      </c>
      <c r="I576" t="s">
        <v>14945</v>
      </c>
      <c r="K576" s="47" t="s">
        <v>16202</v>
      </c>
      <c r="L576" t="s">
        <v>16200</v>
      </c>
      <c r="M576" t="s">
        <v>16220</v>
      </c>
    </row>
    <row r="577" spans="1:13">
      <c r="A577" t="s">
        <v>15099</v>
      </c>
      <c r="B577" t="s">
        <v>15099</v>
      </c>
      <c r="C577" t="s">
        <v>15129</v>
      </c>
      <c r="D577" t="s">
        <v>4310</v>
      </c>
      <c r="F577" t="str">
        <f>Config!$B$7</f>
        <v>SCH/Connector.SchLib</v>
      </c>
      <c r="G577" t="s">
        <v>14932</v>
      </c>
      <c r="H577" t="s">
        <v>15145</v>
      </c>
      <c r="I577" t="s">
        <v>14946</v>
      </c>
      <c r="K577" s="47" t="s">
        <v>16202</v>
      </c>
      <c r="L577" t="s">
        <v>16202</v>
      </c>
      <c r="M577" t="s">
        <v>16220</v>
      </c>
    </row>
    <row r="578" spans="1:13">
      <c r="A578" t="s">
        <v>15100</v>
      </c>
      <c r="B578" t="s">
        <v>15100</v>
      </c>
      <c r="C578" t="s">
        <v>15130</v>
      </c>
      <c r="D578" t="s">
        <v>4310</v>
      </c>
      <c r="F578" t="str">
        <f>Config!$B$7</f>
        <v>SCH/Connector.SchLib</v>
      </c>
      <c r="G578" t="s">
        <v>14932</v>
      </c>
      <c r="H578" t="s">
        <v>15145</v>
      </c>
      <c r="I578" t="s">
        <v>14947</v>
      </c>
      <c r="K578" s="47" t="s">
        <v>16202</v>
      </c>
      <c r="L578" t="s">
        <v>16204</v>
      </c>
      <c r="M578" t="s">
        <v>16220</v>
      </c>
    </row>
    <row r="579" spans="1:13">
      <c r="A579" t="s">
        <v>15101</v>
      </c>
      <c r="B579" t="s">
        <v>15101</v>
      </c>
      <c r="C579" t="s">
        <v>15131</v>
      </c>
      <c r="D579" t="s">
        <v>4310</v>
      </c>
      <c r="F579" t="str">
        <f>Config!$B$7</f>
        <v>SCH/Connector.SchLib</v>
      </c>
      <c r="G579" t="s">
        <v>14932</v>
      </c>
      <c r="H579" t="s">
        <v>15145</v>
      </c>
      <c r="I579" t="s">
        <v>14948</v>
      </c>
      <c r="K579" s="47" t="s">
        <v>16203</v>
      </c>
      <c r="L579" t="s">
        <v>16209</v>
      </c>
      <c r="M579" t="s">
        <v>16220</v>
      </c>
    </row>
    <row r="580" spans="1:13">
      <c r="A580" t="s">
        <v>15102</v>
      </c>
      <c r="B580" t="s">
        <v>15102</v>
      </c>
      <c r="C580" t="s">
        <v>15132</v>
      </c>
      <c r="D580" t="s">
        <v>4310</v>
      </c>
      <c r="F580" t="str">
        <f>Config!$B$7</f>
        <v>SCH/Connector.SchLib</v>
      </c>
      <c r="G580" t="s">
        <v>14932</v>
      </c>
      <c r="H580" t="s">
        <v>15145</v>
      </c>
      <c r="I580" t="s">
        <v>14949</v>
      </c>
      <c r="K580" s="47" t="s">
        <v>16203</v>
      </c>
      <c r="L580" t="s">
        <v>16201</v>
      </c>
      <c r="M580" t="s">
        <v>16220</v>
      </c>
    </row>
    <row r="581" spans="1:13">
      <c r="A581" t="s">
        <v>15103</v>
      </c>
      <c r="B581" t="s">
        <v>15103</v>
      </c>
      <c r="C581" t="s">
        <v>15133</v>
      </c>
      <c r="D581" t="s">
        <v>4310</v>
      </c>
      <c r="F581" t="str">
        <f>Config!$B$7</f>
        <v>SCH/Connector.SchLib</v>
      </c>
      <c r="G581" t="s">
        <v>14932</v>
      </c>
      <c r="H581" t="s">
        <v>15145</v>
      </c>
      <c r="I581" t="s">
        <v>14950</v>
      </c>
      <c r="K581" s="47" t="s">
        <v>16203</v>
      </c>
      <c r="L581" t="s">
        <v>16203</v>
      </c>
      <c r="M581" t="s">
        <v>16220</v>
      </c>
    </row>
    <row r="582" spans="1:13">
      <c r="A582" t="s">
        <v>15104</v>
      </c>
      <c r="B582" t="s">
        <v>15104</v>
      </c>
      <c r="C582" t="s">
        <v>15134</v>
      </c>
      <c r="D582" t="s">
        <v>4310</v>
      </c>
      <c r="F582" t="str">
        <f>Config!$B$7</f>
        <v>SCH/Connector.SchLib</v>
      </c>
      <c r="G582" t="s">
        <v>14932</v>
      </c>
      <c r="H582" t="s">
        <v>15145</v>
      </c>
      <c r="I582" t="s">
        <v>14951</v>
      </c>
      <c r="K582" s="47" t="s">
        <v>16203</v>
      </c>
      <c r="L582" t="s">
        <v>16206</v>
      </c>
      <c r="M582" t="s">
        <v>16220</v>
      </c>
    </row>
    <row r="583" spans="1:13">
      <c r="A583" t="s">
        <v>15105</v>
      </c>
      <c r="B583" t="s">
        <v>15105</v>
      </c>
      <c r="C583" t="s">
        <v>15135</v>
      </c>
      <c r="D583" t="s">
        <v>4310</v>
      </c>
      <c r="F583" t="str">
        <f>Config!$B$7</f>
        <v>SCH/Connector.SchLib</v>
      </c>
      <c r="G583" t="s">
        <v>14932</v>
      </c>
      <c r="H583" t="s">
        <v>15145</v>
      </c>
      <c r="I583" t="s">
        <v>14952</v>
      </c>
      <c r="K583" s="47" t="s">
        <v>16204</v>
      </c>
      <c r="L583" t="s">
        <v>16210</v>
      </c>
      <c r="M583" t="s">
        <v>16220</v>
      </c>
    </row>
    <row r="584" spans="1:13">
      <c r="A584" t="s">
        <v>15106</v>
      </c>
      <c r="B584" t="s">
        <v>15106</v>
      </c>
      <c r="C584" t="s">
        <v>15136</v>
      </c>
      <c r="D584" t="s">
        <v>4310</v>
      </c>
      <c r="F584" t="str">
        <f>Config!$B$7</f>
        <v>SCH/Connector.SchLib</v>
      </c>
      <c r="G584" t="s">
        <v>14932</v>
      </c>
      <c r="H584" t="s">
        <v>15145</v>
      </c>
      <c r="I584" t="s">
        <v>14953</v>
      </c>
      <c r="K584" s="47" t="s">
        <v>16204</v>
      </c>
      <c r="L584" t="s">
        <v>16200</v>
      </c>
      <c r="M584" t="s">
        <v>16220</v>
      </c>
    </row>
    <row r="585" spans="1:13">
      <c r="A585" t="s">
        <v>15107</v>
      </c>
      <c r="B585" t="s">
        <v>15107</v>
      </c>
      <c r="C585" t="s">
        <v>15137</v>
      </c>
      <c r="D585" t="s">
        <v>4310</v>
      </c>
      <c r="F585" t="str">
        <f>Config!$B$7</f>
        <v>SCH/Connector.SchLib</v>
      </c>
      <c r="G585" t="s">
        <v>14932</v>
      </c>
      <c r="H585" t="s">
        <v>15145</v>
      </c>
      <c r="I585" t="s">
        <v>14954</v>
      </c>
      <c r="K585" s="47" t="s">
        <v>16204</v>
      </c>
      <c r="L585" t="s">
        <v>16202</v>
      </c>
      <c r="M585" t="s">
        <v>16220</v>
      </c>
    </row>
    <row r="586" spans="1:13">
      <c r="A586" t="s">
        <v>15108</v>
      </c>
      <c r="B586" t="s">
        <v>15108</v>
      </c>
      <c r="C586" t="s">
        <v>15138</v>
      </c>
      <c r="D586" t="s">
        <v>4310</v>
      </c>
      <c r="F586" t="str">
        <f>Config!$B$7</f>
        <v>SCH/Connector.SchLib</v>
      </c>
      <c r="G586" t="s">
        <v>14932</v>
      </c>
      <c r="H586" t="s">
        <v>15145</v>
      </c>
      <c r="I586" t="s">
        <v>14955</v>
      </c>
      <c r="K586" s="47" t="s">
        <v>16204</v>
      </c>
      <c r="L586" t="s">
        <v>16204</v>
      </c>
      <c r="M586" t="s">
        <v>16220</v>
      </c>
    </row>
    <row r="587" spans="1:13">
      <c r="A587" t="s">
        <v>15109</v>
      </c>
      <c r="B587" t="s">
        <v>15109</v>
      </c>
      <c r="C587" t="s">
        <v>15139</v>
      </c>
      <c r="D587" t="s">
        <v>4310</v>
      </c>
      <c r="F587" t="str">
        <f>Config!$B$7</f>
        <v>SCH/Connector.SchLib</v>
      </c>
      <c r="G587" t="s">
        <v>14932</v>
      </c>
      <c r="H587" t="s">
        <v>15145</v>
      </c>
      <c r="I587" t="s">
        <v>14956</v>
      </c>
      <c r="K587" s="47" t="s">
        <v>16204</v>
      </c>
      <c r="L587" t="s">
        <v>16207</v>
      </c>
      <c r="M587" t="s">
        <v>16220</v>
      </c>
    </row>
    <row r="588" spans="1:13">
      <c r="A588" t="s">
        <v>15110</v>
      </c>
      <c r="B588" t="s">
        <v>15110</v>
      </c>
      <c r="C588" t="s">
        <v>15140</v>
      </c>
      <c r="D588" t="s">
        <v>4310</v>
      </c>
      <c r="F588" t="str">
        <f>Config!$B$7</f>
        <v>SCH/Connector.SchLib</v>
      </c>
      <c r="G588" t="s">
        <v>14932</v>
      </c>
      <c r="H588" t="s">
        <v>15145</v>
      </c>
      <c r="I588" t="s">
        <v>14957</v>
      </c>
      <c r="K588" s="47" t="s">
        <v>16205</v>
      </c>
      <c r="L588" t="s">
        <v>16199</v>
      </c>
      <c r="M588" t="s">
        <v>16220</v>
      </c>
    </row>
    <row r="589" spans="1:13">
      <c r="A589" t="s">
        <v>15795</v>
      </c>
      <c r="B589" t="s">
        <v>15795</v>
      </c>
      <c r="C589" t="s">
        <v>15815</v>
      </c>
      <c r="D589" t="s">
        <v>4310</v>
      </c>
      <c r="F589" t="str">
        <f>Config!$B$7</f>
        <v>SCH/Connector.SchLib</v>
      </c>
      <c r="G589" t="s">
        <v>14932</v>
      </c>
      <c r="H589" t="s">
        <v>15145</v>
      </c>
      <c r="I589" t="s">
        <v>15695</v>
      </c>
      <c r="K589" s="47" t="s">
        <v>16205</v>
      </c>
      <c r="L589" t="s">
        <v>16200</v>
      </c>
      <c r="M589" t="s">
        <v>16220</v>
      </c>
    </row>
    <row r="590" spans="1:13">
      <c r="A590" t="s">
        <v>15111</v>
      </c>
      <c r="B590" t="s">
        <v>15111</v>
      </c>
      <c r="C590" t="s">
        <v>15141</v>
      </c>
      <c r="D590" t="s">
        <v>4310</v>
      </c>
      <c r="F590" t="str">
        <f>Config!$B$7</f>
        <v>SCH/Connector.SchLib</v>
      </c>
      <c r="G590" t="s">
        <v>14932</v>
      </c>
      <c r="H590" t="s">
        <v>15145</v>
      </c>
      <c r="I590" t="s">
        <v>14958</v>
      </c>
      <c r="K590" s="47" t="s">
        <v>16205</v>
      </c>
      <c r="L590" t="s">
        <v>16211</v>
      </c>
      <c r="M590" t="s">
        <v>16220</v>
      </c>
    </row>
    <row r="591" spans="1:13">
      <c r="A591" t="s">
        <v>15112</v>
      </c>
      <c r="B591" t="s">
        <v>15112</v>
      </c>
      <c r="C591" t="s">
        <v>15142</v>
      </c>
      <c r="D591" t="s">
        <v>4310</v>
      </c>
      <c r="F591" t="str">
        <f>Config!$B$7</f>
        <v>SCH/Connector.SchLib</v>
      </c>
      <c r="G591" t="s">
        <v>14932</v>
      </c>
      <c r="H591" t="s">
        <v>15145</v>
      </c>
      <c r="I591" t="s">
        <v>14959</v>
      </c>
      <c r="K591" s="47" t="s">
        <v>16205</v>
      </c>
      <c r="L591" t="s">
        <v>16212</v>
      </c>
      <c r="M591" t="s">
        <v>16220</v>
      </c>
    </row>
    <row r="592" spans="1:13">
      <c r="A592" t="s">
        <v>15113</v>
      </c>
      <c r="B592" t="s">
        <v>15113</v>
      </c>
      <c r="C592" t="s">
        <v>15143</v>
      </c>
      <c r="D592" t="s">
        <v>4310</v>
      </c>
      <c r="F592" t="str">
        <f>Config!$B$7</f>
        <v>SCH/Connector.SchLib</v>
      </c>
      <c r="G592" t="s">
        <v>14932</v>
      </c>
      <c r="H592" t="s">
        <v>15145</v>
      </c>
      <c r="I592" t="s">
        <v>14960</v>
      </c>
      <c r="K592" s="47" t="s">
        <v>16205</v>
      </c>
      <c r="L592" t="s">
        <v>16205</v>
      </c>
      <c r="M592" t="s">
        <v>16220</v>
      </c>
    </row>
    <row r="593" spans="1:13">
      <c r="A593" t="s">
        <v>15114</v>
      </c>
      <c r="B593" t="s">
        <v>15114</v>
      </c>
      <c r="C593" t="s">
        <v>15144</v>
      </c>
      <c r="D593" t="s">
        <v>4310</v>
      </c>
      <c r="F593" t="str">
        <f>Config!$B$7</f>
        <v>SCH/Connector.SchLib</v>
      </c>
      <c r="G593" t="s">
        <v>14932</v>
      </c>
      <c r="H593" t="s">
        <v>15145</v>
      </c>
      <c r="I593" t="s">
        <v>14961</v>
      </c>
      <c r="K593" s="47" t="s">
        <v>16205</v>
      </c>
      <c r="L593" t="s">
        <v>16213</v>
      </c>
      <c r="M593" t="s">
        <v>16220</v>
      </c>
    </row>
    <row r="594" spans="1:13">
      <c r="A594" t="s">
        <v>15796</v>
      </c>
      <c r="B594" t="s">
        <v>15796</v>
      </c>
      <c r="C594" t="s">
        <v>15816</v>
      </c>
      <c r="D594" t="s">
        <v>4310</v>
      </c>
      <c r="F594" t="str">
        <f>Config!$B$7</f>
        <v>SCH/Connector.SchLib</v>
      </c>
      <c r="G594" t="s">
        <v>14932</v>
      </c>
      <c r="H594" t="s">
        <v>15145</v>
      </c>
      <c r="I594" t="s">
        <v>15698</v>
      </c>
      <c r="K594" s="47" t="s">
        <v>16206</v>
      </c>
      <c r="L594" t="s">
        <v>16214</v>
      </c>
      <c r="M594" t="s">
        <v>16220</v>
      </c>
    </row>
    <row r="595" spans="1:13">
      <c r="A595" t="s">
        <v>15797</v>
      </c>
      <c r="B595" t="s">
        <v>15797</v>
      </c>
      <c r="C595" t="s">
        <v>15817</v>
      </c>
      <c r="D595" t="s">
        <v>4310</v>
      </c>
      <c r="F595" t="str">
        <f>Config!$B$7</f>
        <v>SCH/Connector.SchLib</v>
      </c>
      <c r="G595" t="s">
        <v>14932</v>
      </c>
      <c r="H595" t="s">
        <v>15145</v>
      </c>
      <c r="I595" t="s">
        <v>15699</v>
      </c>
      <c r="K595" s="47" t="s">
        <v>16206</v>
      </c>
      <c r="L595" t="s">
        <v>16200</v>
      </c>
      <c r="M595" t="s">
        <v>16220</v>
      </c>
    </row>
    <row r="596" spans="1:13">
      <c r="A596" t="s">
        <v>15798</v>
      </c>
      <c r="B596" t="s">
        <v>15798</v>
      </c>
      <c r="C596" t="s">
        <v>15818</v>
      </c>
      <c r="D596" t="s">
        <v>4310</v>
      </c>
      <c r="F596" t="str">
        <f>Config!$B$7</f>
        <v>SCH/Connector.SchLib</v>
      </c>
      <c r="G596" t="s">
        <v>14932</v>
      </c>
      <c r="H596" t="s">
        <v>15145</v>
      </c>
      <c r="I596" t="s">
        <v>15700</v>
      </c>
      <c r="K596" s="47" t="s">
        <v>16206</v>
      </c>
      <c r="L596" t="s">
        <v>16201</v>
      </c>
      <c r="M596" t="s">
        <v>16220</v>
      </c>
    </row>
    <row r="597" spans="1:13">
      <c r="A597" t="s">
        <v>15799</v>
      </c>
      <c r="B597" t="s">
        <v>15799</v>
      </c>
      <c r="C597" t="s">
        <v>15819</v>
      </c>
      <c r="D597" t="s">
        <v>4310</v>
      </c>
      <c r="F597" t="str">
        <f>Config!$B$7</f>
        <v>SCH/Connector.SchLib</v>
      </c>
      <c r="G597" t="s">
        <v>14932</v>
      </c>
      <c r="H597" t="s">
        <v>15145</v>
      </c>
      <c r="I597" t="s">
        <v>15701</v>
      </c>
      <c r="K597" s="47" t="s">
        <v>16206</v>
      </c>
      <c r="L597" t="s">
        <v>16203</v>
      </c>
      <c r="M597" t="s">
        <v>16220</v>
      </c>
    </row>
    <row r="598" spans="1:13">
      <c r="A598" t="s">
        <v>15800</v>
      </c>
      <c r="B598" t="s">
        <v>15800</v>
      </c>
      <c r="C598" t="s">
        <v>15820</v>
      </c>
      <c r="D598" t="s">
        <v>4310</v>
      </c>
      <c r="F598" t="str">
        <f>Config!$B$7</f>
        <v>SCH/Connector.SchLib</v>
      </c>
      <c r="G598" t="s">
        <v>14932</v>
      </c>
      <c r="H598" t="s">
        <v>15145</v>
      </c>
      <c r="I598" t="s">
        <v>15702</v>
      </c>
      <c r="K598" s="47" t="s">
        <v>16206</v>
      </c>
      <c r="L598" t="s">
        <v>16206</v>
      </c>
      <c r="M598" t="s">
        <v>16220</v>
      </c>
    </row>
    <row r="599" spans="1:13">
      <c r="A599" t="s">
        <v>15801</v>
      </c>
      <c r="B599" t="s">
        <v>15801</v>
      </c>
      <c r="C599" t="s">
        <v>15821</v>
      </c>
      <c r="D599" t="s">
        <v>4310</v>
      </c>
      <c r="F599" t="str">
        <f>Config!$B$7</f>
        <v>SCH/Connector.SchLib</v>
      </c>
      <c r="G599" t="s">
        <v>14932</v>
      </c>
      <c r="H599" t="s">
        <v>15145</v>
      </c>
      <c r="I599" t="s">
        <v>15703</v>
      </c>
      <c r="K599" s="47" t="s">
        <v>16206</v>
      </c>
      <c r="L599" t="s">
        <v>16215</v>
      </c>
      <c r="M599" t="s">
        <v>16220</v>
      </c>
    </row>
    <row r="600" spans="1:13">
      <c r="A600" t="s">
        <v>15802</v>
      </c>
      <c r="B600" t="s">
        <v>15802</v>
      </c>
      <c r="C600" t="s">
        <v>15822</v>
      </c>
      <c r="D600" t="s">
        <v>4310</v>
      </c>
      <c r="F600" t="str">
        <f>Config!$B$7</f>
        <v>SCH/Connector.SchLib</v>
      </c>
      <c r="G600" t="s">
        <v>14932</v>
      </c>
      <c r="H600" t="s">
        <v>15145</v>
      </c>
      <c r="I600" t="s">
        <v>15704</v>
      </c>
      <c r="K600" s="47" t="s">
        <v>16207</v>
      </c>
      <c r="L600" t="s">
        <v>16199</v>
      </c>
      <c r="M600" t="s">
        <v>16220</v>
      </c>
    </row>
    <row r="601" spans="1:13">
      <c r="A601" t="s">
        <v>15803</v>
      </c>
      <c r="B601" t="s">
        <v>15803</v>
      </c>
      <c r="C601" t="s">
        <v>15823</v>
      </c>
      <c r="D601" t="s">
        <v>4310</v>
      </c>
      <c r="F601" t="str">
        <f>Config!$B$7</f>
        <v>SCH/Connector.SchLib</v>
      </c>
      <c r="G601" t="s">
        <v>14932</v>
      </c>
      <c r="H601" t="s">
        <v>15145</v>
      </c>
      <c r="I601" t="s">
        <v>15705</v>
      </c>
      <c r="K601" s="47" t="s">
        <v>16207</v>
      </c>
      <c r="L601" t="s">
        <v>16216</v>
      </c>
      <c r="M601" t="s">
        <v>16220</v>
      </c>
    </row>
    <row r="602" spans="1:13">
      <c r="A602" t="s">
        <v>15804</v>
      </c>
      <c r="B602" t="s">
        <v>15804</v>
      </c>
      <c r="C602" t="s">
        <v>15824</v>
      </c>
      <c r="D602" t="s">
        <v>4310</v>
      </c>
      <c r="F602" t="str">
        <f>Config!$B$7</f>
        <v>SCH/Connector.SchLib</v>
      </c>
      <c r="G602" t="s">
        <v>14932</v>
      </c>
      <c r="H602" t="s">
        <v>15145</v>
      </c>
      <c r="I602" t="s">
        <v>15706</v>
      </c>
      <c r="K602" s="47" t="s">
        <v>16207</v>
      </c>
      <c r="L602" t="s">
        <v>16200</v>
      </c>
      <c r="M602" t="s">
        <v>16220</v>
      </c>
    </row>
    <row r="603" spans="1:13">
      <c r="A603" t="s">
        <v>15805</v>
      </c>
      <c r="B603" t="s">
        <v>15805</v>
      </c>
      <c r="C603" t="s">
        <v>15825</v>
      </c>
      <c r="D603" t="s">
        <v>4310</v>
      </c>
      <c r="F603" t="str">
        <f>Config!$B$7</f>
        <v>SCH/Connector.SchLib</v>
      </c>
      <c r="G603" t="s">
        <v>14932</v>
      </c>
      <c r="H603" t="s">
        <v>15145</v>
      </c>
      <c r="I603" t="s">
        <v>15707</v>
      </c>
      <c r="K603" s="47" t="s">
        <v>16207</v>
      </c>
      <c r="L603" t="s">
        <v>16202</v>
      </c>
      <c r="M603" t="s">
        <v>16220</v>
      </c>
    </row>
    <row r="604" spans="1:13">
      <c r="A604" t="s">
        <v>15806</v>
      </c>
      <c r="B604" t="s">
        <v>15806</v>
      </c>
      <c r="C604" t="s">
        <v>15826</v>
      </c>
      <c r="D604" t="s">
        <v>4310</v>
      </c>
      <c r="F604" t="str">
        <f>Config!$B$7</f>
        <v>SCH/Connector.SchLib</v>
      </c>
      <c r="G604" t="s">
        <v>14932</v>
      </c>
      <c r="H604" t="s">
        <v>15145</v>
      </c>
      <c r="I604" t="s">
        <v>15708</v>
      </c>
      <c r="K604" s="47" t="s">
        <v>16207</v>
      </c>
      <c r="L604" t="s">
        <v>16204</v>
      </c>
      <c r="M604" t="s">
        <v>16220</v>
      </c>
    </row>
    <row r="605" spans="1:13">
      <c r="A605" t="s">
        <v>15807</v>
      </c>
      <c r="B605" t="s">
        <v>15807</v>
      </c>
      <c r="C605" t="s">
        <v>15827</v>
      </c>
      <c r="D605" t="s">
        <v>4310</v>
      </c>
      <c r="F605" t="str">
        <f>Config!$B$7</f>
        <v>SCH/Connector.SchLib</v>
      </c>
      <c r="G605" t="s">
        <v>14932</v>
      </c>
      <c r="H605" t="s">
        <v>15145</v>
      </c>
      <c r="I605" t="s">
        <v>15709</v>
      </c>
      <c r="K605" s="47" t="s">
        <v>16207</v>
      </c>
      <c r="L605" t="s">
        <v>16207</v>
      </c>
      <c r="M605" t="s">
        <v>16220</v>
      </c>
    </row>
    <row r="606" spans="1:13">
      <c r="A606" t="s">
        <v>15808</v>
      </c>
      <c r="B606" t="s">
        <v>15808</v>
      </c>
      <c r="C606" t="s">
        <v>15828</v>
      </c>
      <c r="D606" t="s">
        <v>4310</v>
      </c>
      <c r="F606" t="str">
        <f>Config!$B$7</f>
        <v>SCH/Connector.SchLib</v>
      </c>
      <c r="G606" t="s">
        <v>14932</v>
      </c>
      <c r="H606" t="s">
        <v>15145</v>
      </c>
      <c r="I606" t="s">
        <v>15710</v>
      </c>
      <c r="K606" s="47" t="s">
        <v>16207</v>
      </c>
      <c r="L606" t="s">
        <v>16217</v>
      </c>
      <c r="M606" t="s">
        <v>16220</v>
      </c>
    </row>
    <row r="607" spans="1:13">
      <c r="A607" t="s">
        <v>15809</v>
      </c>
      <c r="B607" t="s">
        <v>15809</v>
      </c>
      <c r="C607" t="s">
        <v>15829</v>
      </c>
      <c r="D607" t="s">
        <v>4310</v>
      </c>
      <c r="F607" t="str">
        <f>Config!$B$7</f>
        <v>SCH/Connector.SchLib</v>
      </c>
      <c r="G607" t="s">
        <v>14932</v>
      </c>
      <c r="H607" t="s">
        <v>15145</v>
      </c>
      <c r="I607" t="s">
        <v>15711</v>
      </c>
      <c r="K607" s="47" t="s">
        <v>16208</v>
      </c>
      <c r="L607" t="s">
        <v>16199</v>
      </c>
      <c r="M607" t="s">
        <v>16220</v>
      </c>
    </row>
    <row r="608" spans="1:13">
      <c r="A608" t="s">
        <v>15810</v>
      </c>
      <c r="B608" t="s">
        <v>15810</v>
      </c>
      <c r="C608" t="s">
        <v>15830</v>
      </c>
      <c r="D608" t="s">
        <v>4310</v>
      </c>
      <c r="F608" t="str">
        <f>Config!$B$7</f>
        <v>SCH/Connector.SchLib</v>
      </c>
      <c r="G608" t="s">
        <v>14932</v>
      </c>
      <c r="H608" t="s">
        <v>15145</v>
      </c>
      <c r="I608" t="s">
        <v>15712</v>
      </c>
      <c r="K608" s="47" t="s">
        <v>16208</v>
      </c>
      <c r="L608" t="s">
        <v>16200</v>
      </c>
      <c r="M608" t="s">
        <v>16220</v>
      </c>
    </row>
    <row r="609" spans="1:13">
      <c r="A609" t="s">
        <v>15811</v>
      </c>
      <c r="B609" t="s">
        <v>15811</v>
      </c>
      <c r="C609" t="s">
        <v>15831</v>
      </c>
      <c r="D609" t="s">
        <v>4310</v>
      </c>
      <c r="F609" t="str">
        <f>Config!$B$7</f>
        <v>SCH/Connector.SchLib</v>
      </c>
      <c r="G609" t="s">
        <v>14932</v>
      </c>
      <c r="H609" t="s">
        <v>15145</v>
      </c>
      <c r="I609" t="s">
        <v>15713</v>
      </c>
      <c r="K609" s="47" t="s">
        <v>16208</v>
      </c>
      <c r="L609" t="s">
        <v>16212</v>
      </c>
      <c r="M609" t="s">
        <v>16220</v>
      </c>
    </row>
    <row r="610" spans="1:13">
      <c r="A610" t="s">
        <v>15812</v>
      </c>
      <c r="B610" t="s">
        <v>15812</v>
      </c>
      <c r="C610" t="s">
        <v>15832</v>
      </c>
      <c r="D610" t="s">
        <v>4310</v>
      </c>
      <c r="F610" t="str">
        <f>Config!$B$7</f>
        <v>SCH/Connector.SchLib</v>
      </c>
      <c r="G610" t="s">
        <v>14932</v>
      </c>
      <c r="H610" t="s">
        <v>15145</v>
      </c>
      <c r="I610" t="s">
        <v>15714</v>
      </c>
      <c r="K610" s="47" t="s">
        <v>16208</v>
      </c>
      <c r="L610" t="s">
        <v>16205</v>
      </c>
      <c r="M610" t="s">
        <v>16220</v>
      </c>
    </row>
    <row r="611" spans="1:13">
      <c r="A611" t="s">
        <v>15813</v>
      </c>
      <c r="B611" t="s">
        <v>15813</v>
      </c>
      <c r="C611" t="s">
        <v>15833</v>
      </c>
      <c r="D611" t="s">
        <v>4310</v>
      </c>
      <c r="F611" t="str">
        <f>Config!$B$7</f>
        <v>SCH/Connector.SchLib</v>
      </c>
      <c r="G611" t="s">
        <v>14932</v>
      </c>
      <c r="H611" t="s">
        <v>15145</v>
      </c>
      <c r="I611" t="s">
        <v>15715</v>
      </c>
      <c r="K611" s="47" t="s">
        <v>16208</v>
      </c>
      <c r="L611" t="s">
        <v>16213</v>
      </c>
      <c r="M611" t="s">
        <v>16220</v>
      </c>
    </row>
    <row r="612" spans="1:13">
      <c r="A612" t="s">
        <v>15814</v>
      </c>
      <c r="B612" t="s">
        <v>15814</v>
      </c>
      <c r="C612" t="s">
        <v>15834</v>
      </c>
      <c r="D612" t="s">
        <v>4310</v>
      </c>
      <c r="F612" t="str">
        <f>Config!$B$7</f>
        <v>SCH/Connector.SchLib</v>
      </c>
      <c r="G612" t="s">
        <v>14932</v>
      </c>
      <c r="H612" t="s">
        <v>15145</v>
      </c>
      <c r="I612" t="s">
        <v>15716</v>
      </c>
      <c r="K612" s="47" t="s">
        <v>16208</v>
      </c>
      <c r="L612" t="s">
        <v>16218</v>
      </c>
      <c r="M612" t="s">
        <v>16220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Horat  Andreas</cp:lastModifiedBy>
  <dcterms:created xsi:type="dcterms:W3CDTF">2023-11-15T06:51:24Z</dcterms:created>
  <dcterms:modified xsi:type="dcterms:W3CDTF">2026-05-07T12:15:34Z</dcterms:modified>
</cp:coreProperties>
</file>