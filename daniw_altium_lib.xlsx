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00_GitRepos\altium_lib\"/>
    </mc:Choice>
  </mc:AlternateContent>
  <xr:revisionPtr revIDLastSave="0" documentId="13_ncr:1_{D804D285-81EE-42E8-97C3-B5A7C70CE8DD}" xr6:coauthVersionLast="47" xr6:coauthVersionMax="47" xr10:uidLastSave="{00000000-0000-0000-0000-000000000000}"/>
  <bookViews>
    <workbookView xWindow="-120" yWindow="-120" windowWidth="38640" windowHeight="21120" activeTab="10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3" i="8" l="1"/>
  <c r="G252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1887" i="7" l="1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8" i="12"/>
  <c r="G677" i="7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73" i="10"/>
  <c r="G7" i="12"/>
  <c r="G186" i="4"/>
  <c r="G342" i="7"/>
  <c r="G530" i="7"/>
  <c r="AB530" i="7"/>
  <c r="G702" i="7"/>
  <c r="G90" i="8"/>
  <c r="G256" i="10"/>
  <c r="G257" i="10"/>
  <c r="G258" i="10"/>
  <c r="G260" i="10"/>
  <c r="G259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2" i="10"/>
  <c r="G98" i="8"/>
  <c r="G185" i="4"/>
  <c r="G272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1" i="10"/>
  <c r="G271" i="10"/>
  <c r="I270" i="10"/>
  <c r="G270" i="10"/>
  <c r="I269" i="10"/>
  <c r="G269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4" i="10"/>
  <c r="G266" i="10"/>
  <c r="G268" i="10"/>
  <c r="G267" i="10"/>
  <c r="G265" i="10"/>
  <c r="G263" i="10"/>
  <c r="G261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89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8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7" i="8"/>
  <c r="G186" i="8"/>
  <c r="G1393" i="7"/>
  <c r="G185" i="8"/>
  <c r="G184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3" i="8"/>
  <c r="G18" i="4"/>
  <c r="G17" i="4"/>
  <c r="G1389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<sst xmlns="http://schemas.openxmlformats.org/spreadsheetml/2006/main" count="63573" uniqueCount="18077">
  <si>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</si>
  <si>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</si>
  <si>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</si>
  <si>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</si>
  <si>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</si>
  <si>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</si>
  <si>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</si>
  <si>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</si>
  <si>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</si>
  <si>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</si>
  <si>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</si>
  <si>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</si>
  <si>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</si>
  <si>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</si>
  <si>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</si>
  <si>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</si>
  <si>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</si>
  <si>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</si>
  <si>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</si>
  <si>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</si>
  <si>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</si>
  <si>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</si>
  <si>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</si>
  <si>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</si>
  <si>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</si>
  <si>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</si>
  <si>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</si>
  <si>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</si>
  <si>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</si>
  <si>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</si>
  <si>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</si>
  <si>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</si>
  <si>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</si>
  <si>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</si>
  <si>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</si>
  <si>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</si>
  <si>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</si>
  <si>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</si>
  <si>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</si>
  <si>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</si>
  <si>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</si>
  <si>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</si>
  <si>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</si>
  <si>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</si>
  <si>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</si>
  <si>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</si>
  <si>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</si>
  <si>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</si>
  <si>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</si>
  <si>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</si>
  <si>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</si>
  <si>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</si>
  <si>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</si>
  <si>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</si>
  <si>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</si>
  <si>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</si>
  <si>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</si>
  <si>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</si>
  <si>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</si>
  <si>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</si>
  <si>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</si>
  <si>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</si>
  <si>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</si>
  <si>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</si>
  <si>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</si>
  <si>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</si>
  <si>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</si>
  <si>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</si>
  <si>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</si>
  <si>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</si>
  <si>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</si>
  <si>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</si>
  <si>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</si>
  <si>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</si>
  <si>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</si>
  <si>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</si>
  <si>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</si>
  <si>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</si>
  <si>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</si>
  <si>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</si>
  <si>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</si>
  <si>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</si>
  <si>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</si>
  <si>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</si>
  <si>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</si>
  <si>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</si>
  <si>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</si>
  <si>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</si>
  <si>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</si>
  <si>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</si>
  <si>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</si>
  <si>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</si>
  <si>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</si>
  <si>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</si>
  <si>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</si>
  <si>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</si>
  <si>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</si>
  <si>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</si>
  <si>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</si>
  <si>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</si>
  <si>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</si>
  <si>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</si>
  <si>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</si>
  <si>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</si>
  <si>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</si>
  <si>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</si>
  <si>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</si>
  <si>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</si>
  <si>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</si>
  <si>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</si>
  <si>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</si>
  <si>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</si>
  <si>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</si>
  <si>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</si>
  <si>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</si>
  <si>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</si>
  <si>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</si>
  <si>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</si>
  <si>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</si>
  <si>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</si>
  <si>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</si>
  <si>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</si>
  <si>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</si>
  <si>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</si>
  <si>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</si>
  <si>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</si>
  <si>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</si>
  <si>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</si>
  <si>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</si>
  <si>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</si>
  <si>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</si>
  <si>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</si>
  <si>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</si>
  <si>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</si>
  <si>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</si>
  <si>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</si>
  <si>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</si>
  <si>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</si>
  <si>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</si>
  <si>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</si>
  <si>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</si>
  <si>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</si>
  <si>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</si>
  <si>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</si>
  <si>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</si>
  <si>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</si>
  <si>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</si>
  <si>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</si>
  <si>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</si>
  <si>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</si>
  <si>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</si>
  <si>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</si>
  <si>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</si>
  <si>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</si>
  <si>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</si>
  <si>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</si>
  <si>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</si>
  <si>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</si>
  <si>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</si>
  <si>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</si>
  <si>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</si>
  <si>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</si>
  <si>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</si>
  <si>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</si>
  <si>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</si>
  <si>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</si>
  <si>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</si>
  <si>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</si>
  <si>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</si>
  <si>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</si>
  <si>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</si>
  <si>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</si>
  <si>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</si>
  <si>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</si>
  <si>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</si>
  <si>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</si>
  <si>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</si>
  <si>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</si>
  <si>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</si>
  <si>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</si>
  <si>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</si>
  <si>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</si>
  <si>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</si>
  <si>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</si>
  <si>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</si>
  <si>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</si>
  <si>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</si>
  <si>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</si>
  <si>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</si>
  <si>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</si>
  <si>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</si>
  <si>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</si>
  <si>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</si>
  <si>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</si>
  <si>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</si>
  <si>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</si>
  <si>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</si>
  <si>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</si>
  <si>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</si>
  <si>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</si>
  <si>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</si>
  <si>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</si>
  <si>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</si>
  <si>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</si>
  <si>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</si>
  <si>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</si>
  <si>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</si>
  <si>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</si>
  <si>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</si>
  <si>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</si>
  <si>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</si>
  <si>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</si>
  <si>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</si>
  <si>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</si>
  <si>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</si>
  <si>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</si>
  <si>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</si>
  <si>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</si>
  <si>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</si>
  <si>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</si>
  <si>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</si>
  <si>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</si>
  <si>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</si>
  <si>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</si>
  <si>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</si>
  <si>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</si>
  <si>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</si>
  <si>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</si>
  <si>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</si>
  <si>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</si>
  <si>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</si>
  <si>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</si>
  <si>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</si>
  <si>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</si>
  <si>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</si>
  <si>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</si>
  <si>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</si>
  <si>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</si>
  <si>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</si>
  <si>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</si>
  <si>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</si>
  <si>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</si>
  <si>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</si>
  <si>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</si>
  <si>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</si>
  <si>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</si>
  <si>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</si>
  <si>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</si>
  <si>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</si>
  <si>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</si>
  <si>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</si>
  <si>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</si>
  <si>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</si>
  <si>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</si>
  <si>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</si>
  <si>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</si>
  <si>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</si>
  <si>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</si>
  <si>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</si>
  <si>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</si>
  <si>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</si>
  <si>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</si>
  <si>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</si>
  <si>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</si>
  <si>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</si>
  <si>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</si>
  <si>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</si>
  <si>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</si>
  <si>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</si>
  <si>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</si>
  <si>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</si>
  <si>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</si>
  <si>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</si>
  <si>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</si>
  <si>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</si>
  <si>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</si>
  <si>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</si>
  <si>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</si>
  <si>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</si>
  <si>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</si>
  <si>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</si>
  <si>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</si>
  <si>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</si>
  <si>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</si>
  <si>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</si>
  <si>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</si>
  <si>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</si>
  <si>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</si>
  <si>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</si>
  <si>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</si>
  <si>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</si>
  <si>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</si>
  <si>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</si>
  <si>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</si>
  <si>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</si>
  <si>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</si>
  <si>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</si>
  <si>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</si>
  <si>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</si>
  <si>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</si>
  <si>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</si>
  <si>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</si>
  <si>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</si>
  <si>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</si>
  <si>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</si>
  <si>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</si>
  <si>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</si>
  <si>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</si>
  <si>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</si>
  <si>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</si>
  <si>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</si>
  <si>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</si>
  <si>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</si>
  <si>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</si>
  <si>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</si>
  <si>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</si>
  <si>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</si>
  <si>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</si>
  <si>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</si>
  <si>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</si>
  <si>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</si>
  <si>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</si>
  <si>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</si>
  <si>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</si>
  <si>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</si>
  <si>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</si>
  <si>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</si>
  <si>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</si>
  <si>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</si>
  <si>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</si>
  <si>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</si>
  <si>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</si>
  <si>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</si>
  <si>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</si>
  <si>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</si>
  <si>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</si>
  <si>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</si>
  <si>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</si>
  <si>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</si>
  <si>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</si>
  <si>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</si>
  <si>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</si>
  <si>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</si>
  <si>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</si>
  <si>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</si>
  <si>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</si>
  <si>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</si>
  <si>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</si>
  <si>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</si>
  <si>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</si>
  <si>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</si>
  <si>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</si>
  <si>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</si>
  <si>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</si>
  <si>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</si>
  <si>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</si>
  <si>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</si>
  <si>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</si>
  <si>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</si>
  <si>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</si>
  <si>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</si>
  <si>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</si>
  <si>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</si>
  <si>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</si>
  <si>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</si>
  <si>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</si>
  <si>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</si>
  <si>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</si>
  <si>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</si>
  <si>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</si>
  <si>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</si>
  <si>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</si>
  <si>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</si>
  <si>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</si>
  <si>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</si>
  <si>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</si>
  <si>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</si>
  <si>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</si>
  <si>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</si>
  <si>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</si>
  <si>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</si>
  <si>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</si>
  <si>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</si>
  <si>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</si>
  <si>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</si>
  <si>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</si>
  <si>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</si>
  <si>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</si>
  <si>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</si>
  <si>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</si>
  <si>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</si>
  <si>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</si>
  <si>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</si>
  <si>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</si>
  <si>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</si>
  <si>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</si>
  <si>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</si>
  <si>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</si>
  <si>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</si>
  <si>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</si>
  <si>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</si>
  <si>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</si>
  <si>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</si>
  <si>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</si>
  <si>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</si>
  <si>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</si>
  <si>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</si>
  <si>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</si>
  <si>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</si>
  <si>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</si>
  <si>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</si>
  <si>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</si>
  <si>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</si>
  <si>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</si>
  <si>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</si>
  <si>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</si>
  <si>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</si>
  <si>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</si>
  <si>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</si>
  <si>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</si>
  <si>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</si>
  <si>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</si>
  <si>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</si>
  <si>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</si>
  <si>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</si>
  <si>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</si>
  <si>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</si>
  <si>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</si>
  <si>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</si>
  <si>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</si>
  <si>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</si>
  <si>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</si>
  <si>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</si>
  <si>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</si>
  <si>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</si>
  <si>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</si>
  <si>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</si>
  <si>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</si>
  <si>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</si>
  <si>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</si>
  <si>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</si>
  <si>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</si>
  <si>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</si>
  <si>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</si>
  <si>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</si>
  <si>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</si>
  <si>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</si>
  <si>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</si>
  <si>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</si>
  <si>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</si>
  <si>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</si>
  <si>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</si>
  <si>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</si>
  <si>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</si>
  <si>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</si>
  <si>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</si>
  <si>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</si>
  <si>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</si>
  <si>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</si>
  <si>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</si>
  <si>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</si>
  <si>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</si>
  <si>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</si>
  <si>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</si>
  <si>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</si>
  <si>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</si>
  <si>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</si>
  <si>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</si>
  <si>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</si>
  <si>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</si>
  <si>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</si>
  <si>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</si>
  <si>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</si>
  <si>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</si>
  <si>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</si>
  <si>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</si>
  <si>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</si>
  <si>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</si>
  <si>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</si>
  <si>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</si>
  <si>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</si>
  <si>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</si>
  <si>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</si>
  <si>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</si>
  <si>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</si>
  <si>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</si>
  <si>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</si>
  <si>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</si>
  <si>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</si>
  <si>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</si>
  <si>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</si>
  <si>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</si>
  <si>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</si>
  <si>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</si>
  <si>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</si>
  <si>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</si>
  <si>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</si>
  <si>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</si>
  <si>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</si>
  <si>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</si>
  <si>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</si>
  <si>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</si>
  <si>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</si>
  <si>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</si>
  <si>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</si>
  <si>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</si>
  <si>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</si>
  <si>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</si>
  <si>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</si>
  <si>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</si>
  <si>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</si>
  <si>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</si>
  <si>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</si>
  <si>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</si>
  <si>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</si>
  <si>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</si>
  <si>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</si>
  <si>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</si>
  <si>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</si>
  <si>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</si>
  <si>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</si>
  <si>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</si>
  <si>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</si>
  <si>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</si>
  <si>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</si>
  <si>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</si>
  <si>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</si>
  <si>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</si>
  <si>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</si>
  <si>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</si>
  <si>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</si>
  <si>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</si>
  <si>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</si>
  <si>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</si>
  <si>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</si>
  <si>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</si>
  <si>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</si>
  <si>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</si>
  <si>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</si>
  <si>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</si>
  <si>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</si>
  <si>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</si>
  <si>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</si>
  <si>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</si>
  <si>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</si>
  <si>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</si>
  <si>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</si>
  <si>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</si>
  <si>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</si>
  <si>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</si>
  <si>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</si>
  <si>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</si>
  <si>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</si>
  <si>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</si>
  <si>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</si>
  <si>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</si>
  <si>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</si>
  <si>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</si>
  <si>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</si>
  <si>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</si>
  <si>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</si>
  <si>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</si>
  <si>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</si>
  <si>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</si>
  <si>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</si>
  <si>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</si>
  <si>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</si>
  <si>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</si>
  <si>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</si>
  <si>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</si>
  <si>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</si>
  <si>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</si>
  <si>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</si>
  <si>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</si>
  <si>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</si>
  <si>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</si>
  <si>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</si>
  <si>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</si>
  <si>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</si>
  <si>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</si>
  <si>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</si>
  <si>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</si>
  <si>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</si>
  <si>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</si>
  <si>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</si>
  <si>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</si>
  <si>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</si>
  <si>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</si>
  <si>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</si>
  <si>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</si>
  <si>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</si>
  <si>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</si>
  <si>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</si>
  <si>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</si>
  <si>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</si>
  <si>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</si>
  <si>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</si>
  <si>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</si>
  <si>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</si>
  <si>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</si>
  <si>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</si>
  <si>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</si>
  <si>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</si>
  <si>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</si>
  <si>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</si>
  <si>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</si>
  <si>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</si>
  <si>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</si>
  <si>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</si>
  <si>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</si>
  <si>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</si>
  <si>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</si>
  <si>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</si>
  <si>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</si>
  <si>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</si>
  <si>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</si>
  <si>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</si>
  <si>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</si>
  <si>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</si>
  <si>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</si>
  <si>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</si>
  <si>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</si>
  <si>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</si>
  <si>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</si>
  <si>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</si>
  <si>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</si>
  <si>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</si>
  <si>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</si>
  <si>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</si>
  <si>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</si>
  <si>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</si>
  <si>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</si>
  <si>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</si>
  <si>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</si>
  <si>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</si>
  <si>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</si>
  <si>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</si>
  <si>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</si>
  <si>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</si>
  <si>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</si>
  <si>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</si>
  <si>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</si>
  <si>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</si>
  <si>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</si>
  <si>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</si>
  <si>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</si>
  <si>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</si>
  <si>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</si>
  <si>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</si>
  <si>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</si>
  <si>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</si>
  <si>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</si>
  <si>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</si>
  <si>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</si>
  <si>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</si>
  <si>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</si>
  <si>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</si>
  <si>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</si>
  <si>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</si>
  <si>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</si>
  <si>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</si>
  <si>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</si>
  <si>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</si>
  <si>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</si>
  <si>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</si>
  <si>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</si>
  <si>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</si>
  <si>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</si>
  <si>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</si>
  <si>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</si>
  <si>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</si>
  <si>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</si>
  <si>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</si>
  <si>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</si>
  <si>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</si>
  <si>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</si>
  <si>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</si>
  <si>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</si>
  <si>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</si>
  <si>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</si>
  <si>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</si>
  <si>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</si>
  <si>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</si>
  <si>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</si>
  <si>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</si>
  <si>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</si>
  <si>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</si>
  <si>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</si>
  <si>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</si>
  <si>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</si>
  <si>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</si>
  <si>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</si>
  <si>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</si>
  <si>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</si>
  <si>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</si>
  <si>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</si>
  <si>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</si>
  <si>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</si>
  <si>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</si>
  <si>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</si>
  <si>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</si>
  <si>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</si>
  <si>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</si>
  <si>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</si>
  <si>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</si>
  <si>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</si>
  <si>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</si>
  <si>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</si>
  <si>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</si>
  <si>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</si>
  <si>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</si>
  <si>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</si>
  <si>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</si>
  <si>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</si>
  <si>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</si>
  <si>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</si>
  <si>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</si>
  <si>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</si>
  <si>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</si>
  <si>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</si>
  <si>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</si>
  <si>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</si>
  <si>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</si>
  <si>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</si>
  <si>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</si>
  <si>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</si>
  <si>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</si>
  <si>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</si>
  <si>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</si>
  <si>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</si>
  <si>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</si>
  <si>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</si>
  <si>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</si>
  <si>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</si>
  <si>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</si>
  <si>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</si>
  <si>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</si>
  <si>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</si>
  <si>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</si>
  <si>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</si>
  <si>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</si>
  <si>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</si>
  <si>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</si>
  <si>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</si>
  <si>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</si>
  <si>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</si>
  <si>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</si>
  <si>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</si>
  <si>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</si>
  <si>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</si>
  <si>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</si>
  <si>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</si>
  <si>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</si>
  <si>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</si>
  <si>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</si>
  <si>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</si>
  <si>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</si>
  <si>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</si>
  <si>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</si>
  <si>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</si>
  <si>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</si>
  <si>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</si>
  <si>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</si>
  <si>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</si>
  <si>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</si>
  <si>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</si>
  <si>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</si>
  <si>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</si>
  <si>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</si>
  <si>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</si>
  <si>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</si>
  <si>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</si>
  <si>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</si>
  <si>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</si>
  <si>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</si>
  <si>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</si>
  <si>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</si>
  <si>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</si>
  <si>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</si>
  <si>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</si>
  <si>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</si>
  <si>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</si>
  <si>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</si>
  <si>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</si>
  <si>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</si>
  <si>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</si>
  <si>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</si>
  <si>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</si>
  <si>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</si>
  <si>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</si>
  <si>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</si>
  <si>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</si>
  <si>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</si>
  <si>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</si>
  <si>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</si>
  <si>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</si>
  <si>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</si>
  <si>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</si>
  <si>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</si>
  <si>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</si>
  <si>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</si>
  <si>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</si>
  <si>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</si>
  <si>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</si>
  <si>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</si>
  <si>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</si>
  <si>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</si>
  <si>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</si>
  <si>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</si>
  <si>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</si>
  <si>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</si>
  <si>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</si>
  <si>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</si>
  <si>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</si>
  <si>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</si>
  <si>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</si>
  <si>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</si>
  <si>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</si>
  <si>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</si>
  <si>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</si>
  <si>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</si>
  <si>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</si>
  <si>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</si>
  <si>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</si>
  <si>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</si>
  <si>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</si>
  <si>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</si>
  <si>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</si>
  <si>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</si>
  <si>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</si>
  <si>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</si>
  <si>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</si>
  <si>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</si>
  <si>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</si>
  <si>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</si>
  <si>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</si>
  <si>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</si>
  <si>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</si>
  <si>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</si>
  <si>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</si>
  <si>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</si>
  <si>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</si>
  <si>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</si>
  <si>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</si>
  <si>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</si>
  <si>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</si>
  <si>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</si>
  <si>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</si>
  <si>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</si>
  <si>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</si>
  <si>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</si>
  <si>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</si>
  <si>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</si>
  <si>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</si>
  <si>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</si>
  <si>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</si>
  <si>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</si>
  <si>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</si>
  <si>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</si>
  <si>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</si>
  <si>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</si>
  <si>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</si>
  <si>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</si>
  <si>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</si>
  <si>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</si>
  <si>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</si>
  <si>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</si>
  <si>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</si>
  <si>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</si>
  <si>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</si>
  <si>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</si>
  <si>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</si>
  <si>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</si>
  <si>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</si>
  <si>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</si>
  <si>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</si>
  <si>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</si>
  <si>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</si>
  <si>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</si>
  <si>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</si>
  <si>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</si>
  <si>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</si>
  <si>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</si>
  <si>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</si>
  <si>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</si>
  <si>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</si>
  <si>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</si>
  <si>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</si>
  <si>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</si>
  <si>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</si>
  <si>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</si>
  <si>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</si>
  <si>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</si>
  <si>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</si>
  <si>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</si>
  <si>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</si>
  <si>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</si>
  <si>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</si>
  <si>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</si>
  <si>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</si>
  <si>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</si>
  <si>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</si>
  <si>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</si>
  <si>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</si>
  <si>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</si>
  <si>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</si>
  <si>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</si>
  <si>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</si>
  <si>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</si>
  <si>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</si>
  <si>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</si>
  <si>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</si>
  <si>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</si>
  <si>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</si>
  <si>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</si>
  <si>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</si>
  <si>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</si>
  <si>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</si>
  <si>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</si>
  <si>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</si>
  <si>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</si>
  <si>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</si>
  <si>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</si>
  <si>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</si>
  <si>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</si>
  <si>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</si>
  <si>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</si>
  <si>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</si>
  <si>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</si>
  <si>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</si>
  <si>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</si>
  <si>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</si>
  <si>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</si>
  <si>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</si>
  <si>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</si>
  <si>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</si>
  <si>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</si>
  <si>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</si>
  <si>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</si>
  <si>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</si>
  <si>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</si>
  <si>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</si>
  <si>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</si>
  <si>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</si>
  <si>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</si>
  <si>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</si>
  <si>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</si>
  <si>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</si>
  <si>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</si>
  <si>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</si>
  <si>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</si>
  <si>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</si>
  <si>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</si>
  <si>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</si>
  <si>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</si>
  <si>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</si>
  <si>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</si>
  <si>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</si>
  <si>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</si>
  <si>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</si>
  <si>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</si>
  <si>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</si>
  <si>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</si>
  <si>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</si>
  <si>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</si>
  <si>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</si>
  <si>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</si>
  <si>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</si>
  <si>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</si>
  <si>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</si>
  <si>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</si>
  <si>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</si>
  <si>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</si>
  <si>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</si>
  <si>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</si>
  <si>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</si>
  <si>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</si>
  <si>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</si>
  <si>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</si>
  <si>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</si>
  <si>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</si>
  <si>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</si>
  <si>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</si>
  <si>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</si>
  <si>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</si>
  <si>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</si>
  <si>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</si>
  <si>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</si>
  <si>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</si>
  <si>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</si>
  <si>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</si>
  <si>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</si>
  <si>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</si>
  <si>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</si>
  <si>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</si>
  <si>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</si>
  <si>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</si>
  <si>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</si>
  <si>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</si>
  <si>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</si>
  <si>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</si>
  <si>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</si>
  <si>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</si>
  <si>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</si>
  <si>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</si>
  <si>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</si>
  <si>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</si>
  <si>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</si>
  <si>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</si>
  <si>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</si>
  <si>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</si>
  <si>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</si>
  <si>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</si>
  <si>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</si>
  <si>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</si>
  <si>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</si>
  <si>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</si>
  <si>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</si>
  <si>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</si>
  <si>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</si>
  <si>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</si>
  <si>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</si>
  <si>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</si>
  <si>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</si>
  <si>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</si>
  <si>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</si>
  <si>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</si>
  <si>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</si>
  <si>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</si>
  <si>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</si>
  <si>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</si>
  <si>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</si>
  <si>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</si>
  <si>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</si>
  <si>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</si>
  <si>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</si>
  <si>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</si>
  <si>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</si>
  <si>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</si>
  <si>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</si>
  <si>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</si>
  <si>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</si>
  <si>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</si>
  <si>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</si>
  <si>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</si>
  <si>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</si>
  <si>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</si>
  <si>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</si>
  <si>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</si>
  <si>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</si>
  <si>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</si>
  <si>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</si>
  <si>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</si>
  <si>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</si>
  <si>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</si>
  <si>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</si>
  <si>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</si>
  <si>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</si>
  <si>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</si>
  <si>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</si>
  <si>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</si>
  <si>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</si>
  <si>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</si>
  <si>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</si>
  <si>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</si>
  <si>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</si>
  <si>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</si>
  <si>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</si>
  <si>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</si>
  <si>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</si>
  <si>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</si>
  <si>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</si>
  <si>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</si>
  <si>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</si>
  <si>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</si>
  <si>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</si>
  <si>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</si>
  <si>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</si>
  <si>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</si>
  <si>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</si>
  <si>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</si>
  <si>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</si>
  <si>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</si>
  <si>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</si>
  <si>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</si>
  <si>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</si>
  <si>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</si>
  <si>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</si>
  <si>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</si>
  <si>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</si>
  <si>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</si>
  <si>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</si>
  <si>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</si>
  <si>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</si>
  <si>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</si>
  <si>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</si>
  <si>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</si>
  <si>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</si>
  <si>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</si>
  <si>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</si>
  <si>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</si>
  <si>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</si>
  <si>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</si>
  <si>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</si>
  <si>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</si>
  <si>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</si>
  <si>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</si>
  <si>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</si>
  <si>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</si>
  <si>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</si>
  <si>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</si>
  <si>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</si>
  <si>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</si>
  <si>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</si>
  <si>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</si>
  <si>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</si>
  <si>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</si>
  <si>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</si>
  <si>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</si>
  <si>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</si>
  <si>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</si>
  <si>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</si>
  <si>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</si>
  <si>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</si>
  <si>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</si>
  <si>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</si>
  <si>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</si>
  <si>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</si>
  <si>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</si>
  <si>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</si>
  <si>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</si>
  <si>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</si>
  <si>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</si>
  <si>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</si>
  <si>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</si>
  <si>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</si>
  <si>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</si>
  <si>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</si>
  <si>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</si>
  <si>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</si>
  <si>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</si>
  <si>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</si>
  <si>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</si>
  <si>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</si>
  <si>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</si>
  <si>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</si>
  <si>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</si>
  <si>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</si>
  <si>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</si>
  <si>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</si>
  <si>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</si>
  <si>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</si>
  <si>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</si>
  <si>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</si>
  <si>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</si>
  <si>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</si>
  <si>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</si>
  <si>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</si>
  <si>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</si>
  <si>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</si>
  <si>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</si>
  <si>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</si>
  <si>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</si>
  <si>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</si>
  <si>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</si>
  <si>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</si>
  <si>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</si>
  <si>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</si>
  <si>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</si>
  <si>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</si>
  <si>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</si>
  <si>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</si>
  <si>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</si>
  <si>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</si>
  <si>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</si>
  <si>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</si>
  <si>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</si>
  <si>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</si>
  <si>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</si>
  <si>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</si>
  <si>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</si>
  <si>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</si>
  <si>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</si>
  <si>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</si>
  <si>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</si>
  <si>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</si>
  <si>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</si>
  <si>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</si>
  <si>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</si>
  <si>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</si>
  <si>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</si>
  <si>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</si>
  <si>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</si>
  <si>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</si>
  <si>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</si>
  <si>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</si>
  <si>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</si>
  <si>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</si>
  <si>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</si>
  <si>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</si>
  <si>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</si>
  <si>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</si>
  <si>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</si>
  <si>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</si>
  <si>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</si>
  <si>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</si>
  <si>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</si>
  <si>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</si>
  <si>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</si>
  <si>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</si>
  <si>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</si>
  <si>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</si>
  <si>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</si>
  <si>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</si>
  <si>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</si>
  <si>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</si>
  <si>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</si>
  <si>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</si>
  <si>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</si>
  <si>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</si>
  <si>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</si>
  <si>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</si>
  <si>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</si>
  <si>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</si>
  <si>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</si>
  <si>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</si>
  <si>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</si>
  <si>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</si>
  <si>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</si>
  <si>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</si>
  <si>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</si>
  <si>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</si>
  <si>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</si>
  <si>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</si>
  <si>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</si>
  <si>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</si>
  <si>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</si>
  <si>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</si>
  <si>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</si>
  <si>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</si>
  <si>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</si>
  <si>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</si>
  <si>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</si>
  <si>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</si>
  <si>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</si>
  <si>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</si>
  <si>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</si>
  <si>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</si>
  <si>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</si>
  <si>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</si>
  <si>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</si>
  <si>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</si>
  <si>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</si>
  <si>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</si>
  <si>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</si>
  <si>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</si>
  <si>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</si>
  <si>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</si>
  <si>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</si>
  <si>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</si>
  <si>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</si>
  <si>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</si>
  <si>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</si>
  <si>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</si>
  <si>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</si>
  <si>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</si>
  <si>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</si>
  <si>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</si>
  <si>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</si>
  <si>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</si>
  <si>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</si>
  <si>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</si>
  <si>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</si>
  <si>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</si>
  <si>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</si>
  <si>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</si>
  <si>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</si>
  <si>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</si>
  <si>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</si>
  <si>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</si>
  <si>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</si>
  <si>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</si>
  <si>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</si>
  <si>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</si>
  <si>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</si>
  <si>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</si>
  <si>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</si>
  <si>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</si>
  <si>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</si>
  <si>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</si>
  <si>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</si>
  <si>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</si>
  <si>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</si>
  <si>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</si>
  <si>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</si>
  <si>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</si>
  <si>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</si>
  <si>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</si>
  <si>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</si>
  <si>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</si>
  <si>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</si>
  <si>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</si>
  <si>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</si>
  <si>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</si>
  <si>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</si>
  <si>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</si>
  <si>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</si>
  <si>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</si>
  <si>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</si>
  <si>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</si>
  <si>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</si>
  <si>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</si>
  <si>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</si>
  <si>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</si>
  <si>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</si>
  <si>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</si>
  <si>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</si>
  <si>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</si>
  <si>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</si>
  <si>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</si>
  <si>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</si>
  <si>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</si>
  <si>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</si>
  <si>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</si>
  <si>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</si>
  <si>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</si>
  <si>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</si>
  <si>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</si>
  <si>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</si>
  <si>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</si>
  <si>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</si>
  <si>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</si>
  <si>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</si>
  <si>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</si>
  <si>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</si>
  <si>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</si>
  <si>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</si>
  <si>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</si>
  <si>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</si>
  <si>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</si>
  <si>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</si>
  <si>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</si>
  <si>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</si>
  <si>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</si>
  <si>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</si>
  <si>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</si>
  <si>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</si>
  <si>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</si>
  <si>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</si>
  <si>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</si>
  <si>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</si>
  <si>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</si>
  <si>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</si>
  <si>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</si>
  <si>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</si>
  <si>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</si>
  <si>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</si>
  <si>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</si>
  <si>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</si>
  <si>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</si>
  <si>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</si>
  <si>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</si>
  <si>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</si>
  <si>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</si>
  <si>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</si>
  <si>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</si>
  <si>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</si>
  <si>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</si>
  <si>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</si>
  <si>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</si>
  <si>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</si>
  <si>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</si>
  <si>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</si>
  <si>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</si>
  <si>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</si>
  <si>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</si>
  <si>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</si>
  <si>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</si>
  <si>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</si>
  <si>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</si>
  <si>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</si>
  <si>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</si>
  <si>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</si>
  <si>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</si>
  <si>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</si>
  <si>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</si>
  <si>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</si>
  <si>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</si>
  <si>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</si>
  <si>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</si>
  <si>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</si>
  <si>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</si>
  <si>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</si>
  <si>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</si>
  <si>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</si>
  <si>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</si>
  <si>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</si>
  <si>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</si>
  <si>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</si>
  <si>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</si>
  <si>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</si>
  <si>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</si>
  <si>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</si>
  <si>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</si>
  <si>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</si>
  <si>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</si>
  <si>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</si>
  <si>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</si>
  <si>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</si>
  <si>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</si>
  <si>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</si>
  <si>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</si>
  <si>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</si>
  <si>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</si>
  <si>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</si>
  <si>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</si>
  <si>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</si>
  <si>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</si>
  <si>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</si>
  <si>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</si>
  <si>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</si>
  <si>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</si>
  <si>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</si>
  <si>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</si>
  <si>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</si>
  <si>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</si>
  <si>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</si>
  <si>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</si>
  <si>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</si>
  <si>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</si>
  <si>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</si>
  <si>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</si>
  <si>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</si>
  <si>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</si>
  <si>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</si>
  <si>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</si>
  <si>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</si>
  <si>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</si>
  <si>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</si>
  <si>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</si>
  <si>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</si>
  <si>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</si>
  <si>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</si>
  <si>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</si>
  <si>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</si>
  <si>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</si>
  <si>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</si>
  <si>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</si>
  <si>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</si>
  <si>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</si>
  <si>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</si>
  <si>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</si>
  <si>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</si>
  <si>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</si>
  <si>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</si>
  <si>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</si>
  <si>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</si>
  <si>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</si>
  <si>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</si>
  <si>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</si>
  <si>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</si>
  <si>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</si>
  <si>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</si>
  <si>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</si>
  <si>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</si>
  <si>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</si>
  <si>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</si>
  <si>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</si>
  <si>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</si>
  <si>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</si>
  <si>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</si>
  <si>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</si>
  <si>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</si>
  <si>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</si>
  <si>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</si>
  <si>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</si>
  <si>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</si>
  <si>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</si>
  <si>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</si>
  <si>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</si>
  <si>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</si>
  <si>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</si>
  <si>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</si>
  <si>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</si>
  <si>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</si>
  <si>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</si>
  <si>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</si>
  <si>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</si>
  <si>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</si>
  <si>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</si>
  <si>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</si>
  <si>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</si>
  <si>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</si>
  <si>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</si>
  <si>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</si>
  <si>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</si>
  <si>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</si>
  <si>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</si>
  <si>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</si>
  <si>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</si>
  <si>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</si>
  <si>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</si>
  <si>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</si>
  <si>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</si>
  <si>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</si>
  <si>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</si>
  <si>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</si>
  <si>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</si>
  <si>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</si>
  <si>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</si>
  <si>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</si>
  <si>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</si>
  <si>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</si>
  <si>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</si>
  <si>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</si>
  <si>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</si>
  <si>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</si>
  <si>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</si>
  <si>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</si>
  <si>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</si>
  <si>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</si>
  <si>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</si>
  <si>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</si>
  <si>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</si>
  <si>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</si>
  <si>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</si>
  <si>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</si>
  <si>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</si>
  <si>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</si>
  <si>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</si>
  <si>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</si>
  <si>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</si>
  <si>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</si>
  <si>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</si>
  <si>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</si>
  <si>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</si>
  <si>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</si>
  <si>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</si>
  <si>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</si>
  <si>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</si>
  <si>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</si>
  <si>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</si>
  <si>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</si>
  <si>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</si>
  <si>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</si>
  <si>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</si>
  <si>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</si>
  <si>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</si>
  <si>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</si>
  <si>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</si>
  <si>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</si>
  <si>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</si>
  <si>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</si>
  <si>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</si>
  <si>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</si>
  <si>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</si>
  <si>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</si>
  <si>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</si>
  <si>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</si>
  <si>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</si>
  <si>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</si>
  <si>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</si>
  <si>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</si>
  <si>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</si>
  <si>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</si>
  <si>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</si>
  <si>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</si>
  <si>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</si>
  <si>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</si>
  <si>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</si>
  <si>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</si>
  <si>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</si>
  <si>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</si>
  <si>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</si>
  <si>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</si>
  <si>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</si>
  <si>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</si>
  <si>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</si>
  <si>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</si>
  <si>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</si>
  <si>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</si>
  <si>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</si>
  <si>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</si>
  <si>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</si>
  <si>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</si>
  <si>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</si>
  <si>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</si>
  <si>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</si>
  <si>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</si>
  <si>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</si>
  <si>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</si>
  <si>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</si>
  <si>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</si>
  <si>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</si>
  <si>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</si>
  <si>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</si>
  <si>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</si>
  <si>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</si>
  <si>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</si>
  <si>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</si>
  <si>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</si>
  <si>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</si>
  <si>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</si>
  <si>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</si>
  <si>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</si>
  <si>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</si>
  <si>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</si>
  <si>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</si>
  <si>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</si>
  <si>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</si>
  <si>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</si>
  <si>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</si>
  <si>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</si>
  <si>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</si>
  <si>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</si>
  <si>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</si>
  <si>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</si>
  <si>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</si>
  <si>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</si>
  <si>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</si>
  <si>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</si>
  <si>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</si>
  <si>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</si>
  <si>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</si>
  <si>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</si>
  <si>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</si>
  <si>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</si>
  <si>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</si>
  <si>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</si>
  <si>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</si>
  <si>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</si>
  <si>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</si>
  <si>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</si>
  <si>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</si>
  <si>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</si>
  <si>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</si>
  <si>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</si>
  <si>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</si>
  <si>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</si>
  <si>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</si>
  <si>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</si>
  <si>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</si>
  <si>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</si>
  <si>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</si>
  <si>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</si>
  <si>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</si>
  <si>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</si>
  <si>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</si>
  <si>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</si>
  <si>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</si>
  <si>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</si>
  <si>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</si>
  <si>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</si>
  <si>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</si>
  <si>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</si>
  <si>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</si>
  <si>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</si>
  <si>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</si>
  <si>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</si>
  <si>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</si>
  <si>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</si>
  <si>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</si>
  <si>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</si>
  <si>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</si>
  <si>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</si>
  <si>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</si>
  <si>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</si>
  <si>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</si>
  <si>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</si>
  <si>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</si>
  <si>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</si>
  <si>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</si>
  <si>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</si>
  <si>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</si>
  <si>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</si>
  <si>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</si>
  <si>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</si>
  <si>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</si>
  <si>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</si>
  <si>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</si>
  <si>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</si>
  <si>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</si>
  <si>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</si>
  <si>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</si>
  <si>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</si>
  <si>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</si>
  <si>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</si>
  <si>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</si>
  <si>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</si>
  <si>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</si>
  <si>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</si>
  <si>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</si>
  <si>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</si>
  <si>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</si>
  <si>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</si>
  <si>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</si>
  <si>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</si>
  <si>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</si>
  <si>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</si>
  <si>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</si>
  <si>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</si>
  <si>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</si>
  <si>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</si>
  <si>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</si>
  <si>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</si>
  <si>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</si>
  <si>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</si>
  <si>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</si>
  <si>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</si>
  <si>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</si>
  <si>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</si>
  <si>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</si>
  <si>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</si>
  <si>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</si>
  <si>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</si>
  <si>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</si>
  <si>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</si>
  <si>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</si>
  <si>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</si>
  <si>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</si>
  <si>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</si>
  <si>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</si>
  <si>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</si>
  <si>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</si>
  <si>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</si>
  <si>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</si>
  <si>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</si>
  <si>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</si>
  <si>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</si>
  <si>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</si>
  <si>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</si>
  <si>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</si>
  <si>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</si>
  <si>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</si>
  <si>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</si>
  <si>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</si>
  <si>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</si>
  <si>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</si>
  <si>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</si>
  <si>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</si>
  <si>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</si>
  <si>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</si>
  <si>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</si>
  <si>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</si>
  <si>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</si>
  <si>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</si>
  <si>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</si>
  <si>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</si>
  <si>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</si>
  <si>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</si>
  <si>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</si>
  <si>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</si>
  <si>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</si>
  <si>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</si>
  <si>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</si>
  <si>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</si>
  <si>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</si>
  <si>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</si>
  <si>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</si>
  <si>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</si>
  <si>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</si>
  <si>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</si>
  <si>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</si>
  <si>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</si>
  <si>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</si>
  <si>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</si>
  <si>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</si>
  <si>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</si>
  <si>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</si>
  <si>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</si>
  <si>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</si>
  <si>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</si>
  <si>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</si>
  <si>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</si>
  <si>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</si>
  <si>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</si>
  <si>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</si>
  <si>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</si>
  <si>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</si>
  <si>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</si>
  <si>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</si>
  <si>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</si>
  <si>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</si>
  <si>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</si>
  <si>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</si>
  <si>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</si>
  <si>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</si>
  <si>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</si>
  <si>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</si>
  <si>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</si>
  <si>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</si>
  <si>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</si>
  <si>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</si>
  <si>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</si>
  <si>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</si>
  <si>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</si>
  <si>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</si>
  <si>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</si>
  <si>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</si>
  <si>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</si>
  <si>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</si>
  <si>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</si>
  <si>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</si>
  <si>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</si>
  <si>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</si>
  <si>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</si>
  <si>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</si>
  <si>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</si>
  <si>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</si>
  <si>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</si>
  <si>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</si>
  <si>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</si>
  <si>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</si>
  <si>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</si>
  <si>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</si>
  <si>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</si>
  <si>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</si>
  <si>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</si>
  <si>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</si>
  <si>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</si>
  <si>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</si>
  <si>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</si>
  <si>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</si>
  <si>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</si>
  <si>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</si>
  <si>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</si>
  <si>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</si>
  <si>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</si>
  <si>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</si>
  <si>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</si>
  <si>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</si>
  <si>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</si>
  <si>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</si>
  <si>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</si>
  <si>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</si>
  <si>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</si>
  <si>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</si>
  <si>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</si>
  <si>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</si>
  <si>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</si>
  <si>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</si>
  <si>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</si>
  <si>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</si>
  <si>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</si>
  <si>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</si>
  <si>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</si>
  <si>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</si>
  <si>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</si>
  <si>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</si>
  <si>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</si>
  <si>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</si>
  <si>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</si>
  <si>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</si>
  <si>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</si>
  <si>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</si>
  <si>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</si>
  <si>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</si>
  <si>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</si>
  <si>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</si>
  <si>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</si>
  <si>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</si>
  <si>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</si>
  <si>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</si>
  <si>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</si>
  <si>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</si>
  <si>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</si>
  <si>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</si>
  <si>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</si>
  <si>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</si>
  <si>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</si>
  <si>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</si>
  <si>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</si>
  <si>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</si>
  <si>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</si>
  <si>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</si>
  <si>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</si>
  <si>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</si>
  <si>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</si>
  <si>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</si>
  <si>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</si>
  <si>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</si>
  <si>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</si>
  <si>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</si>
  <si>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</si>
  <si>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</si>
  <si>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</si>
  <si>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</si>
  <si>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</si>
  <si>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</si>
  <si>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</si>
  <si>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</si>
  <si>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</si>
  <si>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</si>
  <si>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</si>
  <si>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</si>
  <si>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</si>
  <si>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</si>
  <si>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</si>
  <si>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</si>
  <si>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</si>
  <si>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</si>
  <si>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</si>
  <si>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</si>
  <si>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</si>
  <si>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</si>
  <si>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</si>
  <si>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</si>
  <si>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</si>
  <si>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</si>
  <si>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</si>
  <si>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</si>
  <si>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</si>
  <si>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</si>
  <si>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</si>
  <si>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</si>
  <si>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</si>
  <si>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</si>
  <si>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</si>
  <si>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</si>
  <si>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</si>
  <si>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</si>
  <si>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</si>
  <si>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</si>
  <si>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</si>
  <si>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</si>
  <si>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</si>
  <si>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</si>
  <si>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</si>
  <si>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</si>
  <si>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</si>
  <si>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</si>
  <si>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</si>
  <si>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</si>
  <si>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</si>
  <si>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</si>
  <si>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</si>
  <si>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</si>
  <si>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</si>
  <si>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</si>
  <si>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</si>
  <si>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</si>
  <si>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</si>
  <si>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</si>
  <si>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</si>
  <si>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</si>
  <si>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</si>
  <si>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</si>
  <si>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</si>
  <si>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</si>
  <si>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</si>
  <si>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</si>
  <si>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</si>
  <si>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</si>
  <si>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</si>
  <si>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</si>
  <si>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</si>
  <si>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</si>
  <si>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</si>
  <si>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</si>
  <si>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</si>
  <si>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</si>
  <si>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</si>
  <si>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</si>
  <si>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</si>
  <si>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</si>
  <si>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</si>
  <si>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</si>
  <si>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</si>
  <si>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</si>
  <si>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</si>
  <si>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</si>
  <si>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</si>
  <si>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</si>
  <si>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</si>
  <si>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</si>
  <si>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</si>
  <si>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</si>
  <si>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</si>
  <si>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</si>
  <si>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</si>
  <si>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</si>
  <si>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</si>
  <si>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</si>
  <si>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</si>
  <si>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</si>
  <si>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</si>
  <si>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</si>
  <si>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</si>
  <si>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</si>
  <si>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</si>
  <si>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</si>
  <si>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</si>
  <si>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</si>
  <si>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</si>
  <si>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</si>
  <si>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</si>
  <si>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</si>
  <si>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</si>
  <si>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</si>
  <si>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</si>
  <si>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</si>
  <si>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</si>
  <si>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</si>
  <si>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</si>
  <si>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</si>
  <si>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</si>
  <si>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</si>
  <si>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</si>
  <si>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</si>
  <si>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</si>
  <si>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</si>
  <si>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</si>
  <si>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</si>
  <si>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</si>
  <si>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</si>
  <si>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</si>
  <si>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</si>
  <si>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</si>
  <si>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</si>
  <si>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</si>
  <si>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</si>
  <si>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</si>
  <si>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</si>
  <si>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</si>
  <si>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</si>
  <si>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</si>
  <si>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</si>
  <si>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</si>
  <si>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</si>
  <si>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</si>
  <si>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</si>
  <si>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</si>
  <si>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</si>
  <si>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</si>
  <si>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</si>
  <si>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</si>
  <si>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</si>
  <si>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</si>
  <si>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</si>
  <si>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</si>
  <si>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</si>
  <si>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</si>
  <si>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</si>
  <si>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</si>
  <si>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</si>
  <si>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</si>
  <si>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</si>
  <si>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</si>
  <si>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</si>
  <si>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</si>
  <si>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</si>
  <si>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</si>
  <si>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</si>
  <si>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</si>
  <si>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</si>
  <si>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</si>
  <si>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</si>
  <si>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</si>
  <si>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</si>
  <si>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</si>
  <si>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</si>
  <si>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</si>
  <si>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</si>
  <si>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</si>
  <si>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</si>
  <si>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</si>
  <si>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</si>
  <si>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</si>
  <si>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</si>
  <si>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</si>
  <si>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</si>
  <si>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</si>
  <si>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</si>
  <si>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</si>
  <si>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</si>
  <si>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</si>
  <si>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</si>
  <si>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</si>
  <si>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</si>
  <si>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</si>
  <si>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</si>
  <si>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</si>
  <si>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</si>
  <si>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</si>
  <si>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</si>
  <si>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</si>
  <si>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</si>
  <si>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</si>
  <si>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</si>
  <si>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</si>
  <si>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</si>
  <si>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</si>
  <si>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</si>
  <si>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</si>
  <si>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</si>
  <si>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</si>
  <si>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</si>
  <si>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</si>
  <si>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</si>
  <si>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</si>
  <si>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</si>
  <si>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</si>
  <si>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</si>
  <si>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</si>
  <si>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</si>
  <si>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</si>
  <si>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</si>
  <si>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</si>
  <si>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</si>
  <si>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</si>
  <si>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</si>
  <si>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</si>
  <si>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</si>
  <si>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</si>
  <si>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</si>
  <si>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</si>
  <si>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</si>
  <si>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</si>
  <si>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</si>
  <si>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</si>
  <si>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</si>
  <si>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</si>
  <si>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</si>
  <si>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</si>
  <si>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</si>
  <si>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</si>
  <si>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</si>
  <si>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</si>
  <si>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</si>
  <si>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</si>
  <si>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</si>
  <si>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</si>
  <si>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</si>
  <si>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</si>
  <si>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</si>
  <si>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</si>
  <si>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</si>
  <si>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</si>
  <si>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</si>
  <si>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</si>
  <si>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</si>
  <si>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</si>
  <si>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</si>
  <si>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</si>
  <si>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</si>
  <si>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</si>
  <si>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</si>
  <si>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</si>
  <si>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</si>
  <si>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</si>
  <si>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</si>
  <si>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</si>
  <si>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</si>
  <si>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</si>
  <si>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</si>
  <si>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</si>
  <si>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</si>
  <si>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</si>
  <si>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</si>
  <si>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</si>
  <si>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</si>
  <si>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</si>
  <si>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</si>
  <si>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</si>
  <si>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</si>
  <si>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</si>
  <si>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</si>
  <si>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</si>
  <si>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</si>
  <si>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</si>
  <si>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</si>
  <si>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</si>
  <si>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</si>
  <si>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</si>
  <si>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</si>
  <si>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</si>
  <si>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</si>
  <si>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</si>
  <si>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</si>
  <si>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</si>
  <si>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</si>
  <si>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</si>
  <si>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</si>
  <si>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</si>
  <si>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</si>
  <si>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</si>
  <si>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</si>
  <si>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</si>
  <si>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</si>
  <si>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</si>
  <si>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</si>
  <si>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</si>
  <si>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</si>
  <si>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</si>
  <si>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</si>
  <si>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</si>
  <si>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</si>
  <si>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</si>
  <si>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</si>
  <si>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</si>
  <si>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</si>
  <si>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</si>
  <si>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</si>
  <si>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</si>
  <si>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</si>
  <si>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</si>
  <si>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</si>
  <si>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</si>
  <si>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</si>
  <si>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</si>
  <si>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</si>
  <si>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</si>
  <si>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</si>
  <si>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</si>
  <si>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</si>
  <si>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</si>
  <si>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</si>
  <si>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</si>
  <si>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</si>
  <si>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</si>
  <si>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</si>
  <si>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</si>
  <si>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</si>
  <si>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</si>
  <si>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</si>
  <si>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</si>
  <si>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</si>
  <si>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</si>
  <si>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</si>
  <si>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</si>
  <si>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</si>
  <si>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</si>
  <si>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</si>
  <si>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</si>
  <si>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</si>
  <si>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</si>
  <si>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</si>
  <si>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</si>
  <si>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</si>
  <si>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</si>
  <si>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</si>
  <si>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</si>
  <si>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</si>
  <si>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</si>
  <si>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</si>
  <si>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</si>
  <si>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</si>
  <si>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</si>
  <si>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</si>
  <si>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</si>
  <si>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</si>
  <si>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</si>
  <si>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</si>
  <si>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</si>
  <si>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</si>
  <si>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</si>
  <si>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</si>
  <si>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</si>
  <si>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</si>
  <si>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</si>
  <si>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</si>
  <si>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</si>
  <si>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</si>
  <si>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</si>
  <si>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</si>
  <si>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</si>
  <si>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</si>
  <si>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</si>
  <si>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</si>
  <si>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</si>
  <si>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</si>
  <si>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</si>
  <si>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</si>
  <si>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</si>
  <si>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</si>
  <si>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</si>
  <si>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</si>
  <si>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</si>
  <si>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</si>
  <si>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</si>
  <si>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</si>
  <si>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</si>
  <si>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</si>
  <si>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</si>
  <si>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</si>
  <si>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</si>
  <si>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</si>
  <si>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</si>
  <si>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</si>
  <si>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</si>
  <si>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</si>
  <si>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</si>
  <si>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</si>
  <si>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</si>
  <si>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</si>
  <si>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</si>
  <si>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</si>
  <si>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</si>
  <si>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</si>
  <si>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</si>
  <si>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</si>
  <si>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</si>
  <si>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</si>
  <si>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</si>
  <si>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</si>
  <si>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</si>
  <si>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</si>
  <si>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</si>
  <si>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</si>
  <si>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</si>
  <si>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</si>
  <si>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</si>
  <si>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</si>
  <si>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</si>
  <si>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</si>
  <si>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</si>
  <si>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</si>
  <si>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</si>
  <si>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</si>
  <si>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</si>
  <si>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</si>
  <si>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</si>
  <si>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</si>
  <si>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</si>
  <si>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</si>
  <si>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</si>
  <si>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</si>
  <si>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</si>
  <si>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</si>
  <si>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</si>
  <si>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</si>
  <si>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</si>
  <si>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</si>
  <si>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</si>
  <si>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</si>
  <si>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</si>
  <si>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</si>
  <si>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</si>
  <si>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</si>
  <si>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</si>
  <si>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</si>
  <si>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</si>
  <si>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</si>
  <si>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</si>
  <si>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</si>
  <si>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</si>
  <si>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</si>
  <si>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</si>
  <si>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</si>
  <si>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</si>
  <si>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</si>
  <si>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</si>
  <si>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</si>
  <si>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</si>
  <si>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</si>
  <si>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</si>
  <si>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</si>
  <si>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</si>
  <si>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</si>
  <si>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</si>
  <si>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</si>
  <si>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</si>
  <si>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</si>
  <si>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</si>
  <si>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</si>
  <si>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</si>
  <si>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</si>
  <si>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</si>
  <si>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</si>
  <si>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</si>
  <si>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</si>
  <si>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</si>
  <si>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</si>
  <si>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</si>
  <si>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</si>
  <si>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</si>
  <si>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</si>
  <si>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</si>
  <si>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</si>
  <si>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</si>
  <si>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</si>
  <si>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</si>
  <si>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</si>
  <si>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</si>
  <si>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</si>
  <si>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</si>
  <si>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</si>
  <si>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</si>
  <si>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</si>
  <si>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</si>
  <si>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</si>
  <si>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</si>
  <si>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</si>
  <si>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</si>
  <si>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</si>
  <si>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</si>
  <si>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</si>
  <si>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</si>
  <si>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</si>
  <si>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</si>
  <si>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</si>
  <si>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</si>
  <si>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</si>
  <si>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</si>
  <si>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</si>
  <si>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</si>
  <si>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</si>
  <si>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</si>
  <si>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</si>
  <si>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</si>
  <si>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</si>
  <si>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</si>
  <si>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</si>
  <si>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</si>
  <si>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</si>
  <si>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</si>
  <si>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</si>
  <si>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</si>
  <si>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</si>
  <si>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</si>
  <si>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</si>
  <si>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</si>
  <si>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</si>
  <si>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</si>
  <si>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</si>
  <si>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</si>
  <si>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</si>
  <si>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</si>
  <si>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</si>
  <si>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</si>
  <si>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</si>
  <si>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</si>
  <si>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</si>
  <si>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</si>
  <si>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</si>
  <si>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</si>
  <si>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</si>
  <si>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</si>
  <si>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</si>
  <si>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</si>
  <si>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</si>
  <si>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</si>
  <si>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</si>
  <si>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</si>
  <si>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</si>
  <si>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</si>
  <si>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</si>
  <si>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</si>
  <si>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</si>
  <si>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</si>
  <si>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</si>
  <si>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</si>
  <si>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</si>
  <si>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</si>
  <si>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</si>
  <si>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</si>
  <si>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</si>
  <si>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</si>
  <si>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</si>
  <si>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</si>
  <si>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</si>
  <si>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</si>
  <si>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</si>
  <si>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</si>
  <si>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</si>
  <si>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</si>
  <si>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</si>
  <si>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</si>
  <si>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</si>
  <si>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</si>
  <si>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</si>
  <si>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</si>
  <si>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</si>
  <si>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</si>
  <si>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</si>
  <si>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</si>
  <si>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</si>
  <si>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</si>
  <si>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</si>
  <si>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</si>
  <si>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</si>
  <si>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</si>
  <si>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</si>
  <si>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</si>
  <si>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</si>
  <si>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</si>
  <si>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</si>
  <si>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</si>
  <si>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</si>
  <si>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</si>
  <si>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</si>
  <si>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</si>
  <si>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</si>
  <si>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</si>
  <si>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</si>
  <si>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</si>
  <si>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</si>
  <si>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</si>
  <si>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</si>
  <si>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</si>
  <si>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</si>
  <si>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</si>
  <si>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</si>
  <si>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</si>
  <si>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</si>
  <si>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</si>
  <si>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</si>
  <si>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</si>
  <si>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</si>
  <si>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</si>
  <si>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</si>
  <si>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</si>
  <si>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</si>
  <si>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</si>
  <si>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</si>
  <si>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</si>
  <si>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</si>
  <si>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</si>
  <si>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</si>
  <si>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</si>
  <si>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</si>
  <si>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</si>
  <si>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</si>
  <si>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</si>
  <si>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</si>
  <si>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</si>
  <si>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</si>
  <si>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</si>
  <si>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</si>
  <si>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</si>
  <si>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</si>
  <si>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</si>
  <si>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</si>
  <si>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</si>
  <si>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</si>
  <si>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</si>
  <si>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</si>
  <si>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</si>
  <si>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</si>
  <si>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</si>
  <si>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</si>
  <si>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</si>
  <si>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</si>
  <si>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</si>
  <si>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</si>
  <si>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</si>
  <si>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</si>
  <si>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</si>
  <si>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</si>
  <si>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</si>
  <si>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</si>
  <si>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</si>
  <si>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</si>
  <si>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</si>
  <si>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</si>
  <si>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</si>
  <si>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</si>
  <si>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</si>
  <si>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</si>
  <si>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</si>
  <si>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</si>
  <si>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</si>
  <si>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</si>
  <si>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</si>
  <si>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</si>
  <si>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</si>
  <si>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</si>
  <si>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</si>
  <si>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</si>
  <si>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</si>
  <si>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</si>
  <si>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</si>
  <si>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</si>
  <si>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</si>
  <si>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</si>
  <si>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</si>
  <si>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</si>
  <si>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</si>
  <si>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</si>
  <si>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</si>
  <si>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</si>
  <si>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</si>
  <si>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</si>
  <si>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</si>
  <si>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</si>
  <si>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</si>
  <si>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</si>
  <si>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</si>
  <si>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</si>
  <si>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</si>
  <si>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</si>
  <si>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</si>
  <si>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</si>
  <si>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</si>
  <si>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</si>
  <si>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</si>
  <si>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</si>
  <si>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</si>
  <si>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</si>
  <si>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</si>
  <si>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</si>
  <si>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</si>
  <si>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</si>
  <si>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</si>
  <si>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</si>
  <si>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</si>
  <si>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</si>
  <si>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</si>
  <si>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</si>
  <si>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</si>
  <si>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</si>
  <si>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</si>
  <si>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</si>
  <si>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</si>
  <si>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</si>
  <si>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</si>
  <si>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</si>
  <si>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</si>
  <si>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</si>
  <si>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</si>
  <si>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</si>
  <si>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</si>
  <si>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</si>
  <si>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</si>
  <si>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</si>
  <si>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</si>
  <si>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</si>
  <si>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</si>
  <si>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</si>
  <si>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</si>
  <si>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</si>
  <si>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</si>
  <si>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</si>
  <si>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</si>
  <si>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</si>
  <si>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</si>
  <si>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</si>
  <si>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</si>
  <si>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</si>
  <si>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</si>
  <si>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</si>
  <si>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</si>
  <si>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</si>
  <si>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</si>
  <si>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</si>
  <si>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</si>
  <si>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</si>
  <si>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</si>
  <si>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</si>
  <si>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</si>
  <si>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</si>
  <si>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</si>
  <si>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</si>
  <si>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</si>
  <si>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</si>
  <si>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</si>
  <si>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</si>
  <si>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</si>
  <si>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</si>
  <si>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</si>
  <si>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</si>
  <si>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</si>
  <si>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</si>
  <si>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</si>
  <si>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</si>
  <si>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</si>
  <si>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</si>
  <si>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</si>
  <si>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</si>
  <si>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</si>
  <si>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</si>
  <si>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</si>
  <si>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</si>
  <si>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</si>
  <si>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</si>
  <si>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</si>
  <si>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</si>
  <si>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</si>
  <si>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</si>
  <si>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</si>
  <si>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</si>
  <si>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</si>
  <si>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</si>
  <si>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</si>
  <si>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</si>
  <si>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</si>
  <si>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</si>
  <si>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</si>
  <si>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</si>
  <si>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</si>
  <si>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</si>
  <si>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</si>
  <si>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</si>
  <si>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</si>
  <si>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</si>
  <si>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</si>
  <si>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</si>
  <si>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</si>
  <si>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</si>
  <si>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</si>
  <si>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</si>
  <si>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</si>
  <si>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</si>
  <si>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</si>
  <si>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</si>
  <si>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</si>
  <si>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</si>
  <si>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</si>
  <si>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</si>
  <si>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</si>
  <si>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</si>
  <si>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</si>
  <si>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</si>
  <si>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</si>
  <si>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</si>
  <si>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</si>
  <si>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</si>
  <si>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</si>
  <si>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</si>
  <si>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</si>
  <si>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</si>
  <si>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</si>
  <si>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</si>
  <si>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</si>
  <si>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</si>
  <si>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</si>
  <si>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</si>
  <si>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</si>
  <si>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</si>
  <si>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</si>
  <si>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</si>
  <si>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</si>
  <si>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</si>
  <si>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</si>
  <si>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</si>
  <si>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</si>
  <si>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</si>
  <si>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</si>
  <si>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</si>
  <si>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</si>
  <si>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</si>
  <si>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</si>
  <si>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</si>
  <si>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</si>
  <si>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</si>
  <si>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</si>
  <si>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</si>
  <si>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</si>
  <si>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</si>
  <si>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</si>
  <si>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</si>
  <si>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</si>
  <si>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</si>
  <si>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</si>
  <si>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</si>
  <si>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</si>
  <si>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</si>
  <si>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</si>
  <si>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</si>
  <si>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</si>
  <si>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</si>
  <si>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</si>
  <si>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</si>
  <si>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</si>
  <si>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</si>
  <si>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</si>
  <si>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</si>
  <si>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</si>
  <si>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</si>
  <si>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</si>
  <si>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</si>
  <si>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</si>
  <si>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</si>
  <si>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</si>
  <si>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</si>
  <si>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</si>
  <si>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</si>
  <si>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</si>
  <si>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</si>
  <si>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</si>
  <si>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</si>
  <si>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</si>
  <si>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</si>
  <si>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</si>
  <si>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</si>
  <si>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</si>
  <si>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</si>
  <si>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</si>
  <si>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</si>
  <si>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</si>
  <si>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</si>
  <si>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</si>
  <si>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</si>
  <si>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</si>
  <si>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</si>
  <si>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</si>
  <si>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</si>
  <si>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</si>
  <si>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</si>
  <si>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</si>
  <si>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</si>
  <si>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</si>
  <si>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</si>
  <si>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</si>
  <si>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</si>
  <si>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</si>
  <si>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</si>
  <si>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</si>
  <si>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</si>
  <si>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</si>
  <si>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</si>
  <si>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</si>
  <si>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</si>
  <si>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</si>
  <si>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</si>
  <si>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</si>
  <si>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</si>
  <si>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</si>
  <si>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</si>
  <si>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</si>
  <si>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</si>
  <si>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</si>
  <si>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</si>
  <si>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</si>
  <si>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</si>
  <si>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</si>
  <si>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</si>
  <si>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</si>
  <si>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</si>
  <si>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</si>
  <si>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</si>
  <si>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</si>
  <si>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</si>
  <si>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</si>
  <si>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</si>
  <si>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</si>
  <si>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</si>
  <si>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</si>
  <si>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</si>
  <si>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</si>
  <si>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</si>
  <si>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</si>
  <si>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</si>
  <si>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</si>
  <si>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</si>
  <si>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</si>
  <si>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</si>
  <si>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</si>
  <si>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</si>
  <si>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</si>
  <si>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</si>
  <si>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</si>
  <si>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</si>
  <si>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</si>
  <si>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</si>
  <si>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</si>
  <si>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</si>
  <si>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</si>
  <si>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</si>
  <si>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</si>
  <si>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</si>
  <si>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</si>
  <si>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</si>
  <si>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</si>
  <si>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</si>
  <si>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</si>
  <si>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</si>
  <si>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</si>
  <si>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</si>
  <si>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</si>
  <si>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</si>
  <si>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</si>
  <si>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</si>
  <si>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</si>
  <si>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</si>
  <si>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</si>
  <si>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</si>
  <si>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</si>
  <si>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</si>
  <si>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</si>
  <si>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</si>
  <si>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</si>
  <si>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</si>
  <si>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</si>
  <si>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</si>
  <si>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</si>
  <si>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</si>
  <si>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</si>
  <si>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</si>
  <si>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</si>
  <si>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</si>
  <si>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</si>
  <si>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</si>
  <si>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</si>
  <si>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</si>
  <si>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</si>
  <si>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</si>
  <si>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</si>
  <si>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</si>
  <si>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</si>
  <si>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</si>
  <si>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</si>
  <si>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</si>
  <si>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</si>
  <si>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</si>
  <si>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</si>
  <si>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</si>
  <si>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</si>
  <si>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</si>
  <si>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</si>
  <si>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</si>
  <si>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</si>
  <si>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</si>
  <si>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</si>
  <si>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</si>
  <si>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</si>
  <si>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</si>
  <si>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</si>
  <si>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</si>
  <si>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</si>
  <si>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</si>
  <si>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</si>
  <si>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</si>
  <si>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</si>
  <si>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</si>
  <si>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</si>
  <si>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</si>
  <si>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</si>
  <si>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</si>
  <si>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</si>
  <si>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</si>
  <si>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</si>
  <si>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</si>
  <si>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</si>
  <si>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</si>
  <si>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</si>
  <si>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</si>
  <si>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</si>
  <si>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</si>
  <si>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</si>
  <si>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</si>
  <si>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</si>
  <si>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</si>
  <si>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</si>
  <si>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</si>
  <si>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</si>
  <si>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</si>
  <si>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</si>
  <si>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</si>
  <si>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</si>
  <si>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</si>
  <si>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</si>
  <si>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</si>
  <si>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</si>
  <si>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</si>
  <si>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</si>
  <si>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</si>
  <si>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</si>
  <si>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</si>
  <si>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</si>
  <si>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</si>
  <si>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</si>
  <si>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</si>
  <si>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</si>
  <si>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</si>
  <si>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</si>
  <si>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</si>
  <si>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</si>
  <si>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</si>
  <si>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</si>
  <si>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</si>
  <si>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</si>
  <si>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</si>
  <si>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</si>
  <si>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</si>
  <si>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</si>
  <si>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</si>
  <si>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</si>
  <si>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</si>
  <si>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</si>
  <si>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</si>
  <si>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</si>
  <si>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</si>
  <si>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</si>
  <si>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</si>
  <si>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</si>
  <si>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</si>
  <si>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</si>
  <si>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</si>
  <si>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</si>
  <si>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</si>
  <si>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</si>
  <si>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</si>
  <si>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</si>
  <si>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</si>
  <si>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</si>
  <si>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</si>
  <si>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</si>
  <si>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</si>
  <si>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</si>
  <si>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</si>
  <si>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</si>
  <si>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</si>
  <si>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</si>
  <si>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</si>
  <si>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</si>
  <si>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</si>
  <si>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</si>
  <si>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</si>
  <si>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</si>
  <si>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</si>
  <si>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</si>
  <si>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</si>
  <si>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</si>
  <si>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</si>
  <si>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</si>
  <si>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</si>
  <si>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</si>
  <si>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</si>
  <si>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</si>
  <si>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</si>
  <si>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</si>
  <si>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</si>
  <si>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</si>
  <si>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</si>
  <si>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</si>
  <si>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</si>
  <si>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</si>
  <si>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</si>
  <si>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</si>
  <si>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</si>
  <si>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</si>
  <si>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</si>
  <si>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</si>
  <si>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</si>
  <si>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</si>
  <si>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</si>
  <si>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</si>
  <si>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</si>
  <si>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</si>
  <si>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</si>
  <si>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</si>
  <si>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</si>
  <si>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</si>
  <si>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</si>
  <si>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</si>
  <si>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</si>
  <si>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</si>
  <si>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</si>
  <si>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</si>
  <si>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</si>
  <si>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</si>
  <si>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</si>
  <si>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</si>
  <si>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</si>
  <si>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</si>
  <si>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</si>
  <si>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</si>
  <si>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</si>
  <si>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</si>
  <si>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</si>
  <si>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</si>
  <si>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</si>
  <si>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</si>
  <si>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</si>
  <si>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</si>
  <si>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</si>
  <si>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</si>
  <si>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</si>
  <si>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</si>
  <si>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</si>
  <si>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</si>
  <si>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</si>
  <si>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</si>
  <si>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</si>
  <si>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</si>
  <si>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</si>
  <si>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</si>
  <si>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</si>
  <si>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</si>
  <si>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</si>
  <si>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</si>
  <si>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</si>
  <si>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</si>
  <si>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</si>
  <si>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</si>
  <si>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</si>
  <si>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</si>
  <si>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</si>
  <si>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</si>
  <si>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</si>
  <si>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</si>
  <si>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</si>
  <si>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</si>
  <si>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</si>
  <si>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</si>
  <si>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</si>
  <si>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</si>
  <si>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</si>
  <si>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</si>
  <si>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</si>
  <si>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</si>
  <si>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</si>
  <si>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</si>
  <si>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</si>
  <si>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</si>
  <si>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</si>
  <si>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</si>
  <si>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</si>
  <si>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</si>
  <si>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</si>
  <si>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</si>
  <si>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</si>
  <si>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</si>
  <si>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</si>
  <si>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</si>
  <si>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</si>
  <si>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</si>
  <si>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</si>
  <si>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</si>
  <si>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</si>
  <si>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</si>
  <si>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</si>
  <si>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</si>
  <si>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</si>
  <si>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</si>
  <si>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</si>
  <si>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</si>
  <si>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</si>
  <si>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</si>
  <si>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</si>
  <si>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</si>
  <si>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</si>
  <si>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</si>
  <si>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</si>
  <si>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</si>
  <si>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</si>
  <si>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</si>
  <si>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</si>
  <si>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</si>
  <si>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</si>
  <si>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</si>
  <si>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</si>
  <si>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</si>
  <si>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</si>
  <si>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</si>
  <si>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</si>
  <si>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</si>
  <si>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</si>
  <si>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</si>
  <si>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</si>
  <si>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</si>
  <si>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</si>
  <si>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</si>
  <si>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</si>
  <si>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</si>
  <si>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</si>
  <si>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</si>
  <si>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</si>
  <si>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</si>
  <si>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</si>
  <si>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</si>
  <si>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</si>
  <si>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</si>
  <si>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</si>
  <si>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</si>
  <si>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</si>
  <si>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</si>
  <si>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</si>
  <si>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</si>
  <si>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</si>
  <si>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</si>
  <si>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</si>
  <si>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</si>
  <si>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</si>
  <si>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</si>
  <si>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</si>
  <si>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</si>
  <si>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</si>
  <si>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</si>
  <si>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</si>
  <si>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</si>
  <si>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</si>
  <si>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</si>
  <si>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</si>
  <si>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</si>
  <si>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</si>
  <si>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</si>
  <si>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</si>
  <si>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</si>
  <si>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</si>
  <si>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</si>
  <si>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</si>
  <si>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</si>
  <si>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</si>
  <si>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</si>
  <si>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</si>
  <si>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</si>
  <si>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</si>
  <si>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</si>
  <si>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</si>
  <si>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</si>
  <si>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</si>
  <si>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</si>
  <si>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</si>
  <si>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</si>
  <si>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</si>
  <si>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</si>
  <si>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</si>
  <si>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</si>
  <si>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</si>
  <si>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</si>
  <si>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</si>
  <si>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</si>
  <si>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</si>
  <si>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</si>
  <si>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</si>
  <si>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</si>
  <si>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</si>
  <si>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</si>
  <si>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</si>
  <si>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</si>
  <si>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</si>
  <si>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</si>
  <si>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</si>
  <si>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</si>
  <si>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</si>
  <si>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</si>
  <si>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</si>
  <si>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</si>
  <si>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</si>
  <si>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</si>
  <si>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</si>
  <si>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</si>
  <si>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</si>
  <si>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</si>
  <si>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</si>
  <si>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</si>
  <si>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</si>
  <si>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</si>
  <si>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</si>
  <si>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</si>
  <si>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</si>
  <si>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</si>
  <si>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</si>
  <si>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</si>
  <si>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</si>
  <si>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</si>
  <si>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</si>
  <si>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</si>
  <si>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</si>
  <si>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</si>
  <si>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</si>
  <si>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</si>
  <si>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</si>
  <si>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</si>
  <si>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</si>
  <si>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</si>
  <si>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</si>
  <si>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</si>
  <si>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</si>
  <si>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</si>
  <si>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</si>
  <si>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</si>
  <si>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</si>
  <si>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</si>
  <si>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</si>
  <si>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</si>
  <si>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</si>
  <si>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</si>
  <si>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</si>
  <si>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</si>
  <si>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</si>
  <si>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</si>
  <si>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</si>
  <si>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</si>
  <si>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</si>
  <si>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</si>
  <si>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</si>
  <si>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</si>
  <si>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</si>
  <si>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</si>
  <si>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</si>
  <si>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</si>
  <si>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</si>
  <si>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</si>
  <si>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</si>
  <si>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</si>
  <si>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</si>
  <si>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</si>
  <si>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</si>
  <si>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</si>
  <si>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</si>
  <si>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</si>
  <si>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</si>
  <si>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</si>
  <si>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</si>
  <si>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</si>
  <si>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</si>
  <si>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</si>
  <si>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</si>
  <si>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</si>
  <si>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</si>
  <si>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</si>
  <si>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</si>
  <si>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</si>
  <si>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</si>
  <si>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</si>
  <si>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</si>
  <si>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</si>
  <si>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</si>
  <si>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</si>
  <si>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</si>
  <si>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</si>
  <si>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</si>
  <si>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</si>
  <si>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</si>
  <si>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</si>
  <si>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</si>
  <si>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</si>
  <si>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</si>
  <si>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</si>
  <si>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</si>
  <si>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</si>
  <si>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</si>
  <si>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</si>
  <si>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</si>
  <si>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</si>
  <si>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</si>
  <si>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</si>
  <si>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</si>
  <si>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</si>
  <si>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</si>
  <si>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</si>
  <si>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</si>
  <si>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</si>
  <si>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</si>
  <si>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</si>
  <si>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</si>
  <si>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</si>
  <si>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</si>
  <si>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</si>
  <si>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</si>
  <si>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</si>
  <si>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</si>
  <si>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</si>
  <si>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</si>
  <si>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</si>
  <si>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</si>
  <si>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</si>
  <si>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</si>
  <si>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</si>
  <si>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</si>
  <si>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</si>
  <si>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</si>
  <si>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</si>
  <si>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</si>
  <si>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</si>
  <si>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</si>
  <si>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</si>
  <si>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</si>
  <si>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</si>
  <si>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</si>
  <si>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</si>
  <si>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</si>
  <si>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</si>
  <si>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</si>
  <si>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</si>
  <si>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</si>
  <si>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</si>
  <si>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</si>
  <si>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</si>
  <si>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</si>
  <si>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</si>
  <si>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</si>
  <si>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</si>
  <si>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</si>
  <si>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</si>
  <si>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</si>
  <si>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</si>
  <si>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</si>
  <si>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</si>
  <si>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</si>
  <si>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</si>
  <si>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</si>
  <si>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</si>
  <si>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</si>
  <si>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</si>
  <si>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</si>
  <si>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</si>
  <si>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</si>
  <si>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</si>
  <si>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</si>
  <si>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</si>
  <si>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</si>
  <si>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</si>
  <si>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</si>
  <si>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</si>
  <si>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</si>
  <si>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</si>
  <si>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</si>
  <si>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</si>
  <si>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</si>
  <si>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</si>
  <si>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</si>
  <si>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</si>
  <si>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</si>
  <si>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</si>
  <si>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</si>
  <si>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</si>
  <si>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</si>
  <si>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</si>
  <si>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</si>
  <si>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</si>
  <si>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</si>
  <si>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</si>
  <si>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</si>
  <si>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</si>
  <si>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</si>
  <si>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</si>
  <si>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</si>
  <si>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</si>
  <si>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</si>
  <si>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</si>
  <si>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</si>
  <si>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</si>
  <si>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</si>
  <si>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</si>
  <si>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</si>
  <si>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</si>
  <si>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</si>
  <si>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</si>
  <si>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</si>
  <si>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</si>
  <si>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</si>
  <si>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</si>
  <si>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</si>
  <si>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</si>
  <si>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</si>
  <si>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</si>
  <si>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</si>
  <si>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</si>
  <si>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</si>
  <si>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</si>
  <si>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</si>
  <si>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</si>
  <si>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</si>
  <si>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</si>
  <si>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</si>
  <si>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</si>
  <si>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</si>
  <si>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</si>
  <si>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</si>
  <si>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</si>
  <si>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</si>
  <si>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</si>
  <si>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</si>
  <si>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</si>
  <si>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</si>
  <si>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</si>
  <si>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</si>
  <si>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</si>
  <si>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</si>
  <si>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</si>
  <si>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</si>
  <si>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</si>
  <si>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</si>
  <si>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</si>
  <si>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</si>
  <si>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</si>
  <si>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</si>
  <si>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</si>
  <si>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</si>
  <si>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</si>
  <si>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</si>
  <si>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</si>
  <si>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</si>
  <si>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</si>
  <si>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</si>
  <si>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</si>
  <si>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</si>
  <si>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</si>
  <si>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</si>
  <si>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</si>
  <si>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</si>
  <si>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</si>
  <si>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</si>
  <si>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</si>
  <si>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</si>
  <si>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</si>
  <si>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</si>
  <si>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</si>
  <si>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</si>
  <si>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</si>
  <si>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</si>
  <si>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</si>
  <si>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</si>
  <si>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</si>
  <si>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</si>
  <si>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</si>
  <si>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</si>
  <si>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</si>
  <si>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</si>
  <si>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</si>
  <si>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</si>
  <si>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</si>
  <si>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</si>
  <si>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</si>
  <si>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</si>
  <si>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</si>
  <si>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</si>
  <si>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</si>
  <si>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</si>
  <si>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</si>
  <si>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</si>
  <si>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</si>
  <si>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</si>
  <si>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</si>
  <si>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</si>
  <si>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</si>
  <si>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</si>
  <si>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</si>
  <si>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</si>
  <si>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</si>
  <si>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</si>
  <si>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</si>
  <si>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</si>
  <si>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</si>
  <si>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</si>
  <si>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</si>
  <si>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</si>
  <si>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</si>
  <si>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</si>
  <si>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</si>
  <si>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</si>
  <si>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</si>
  <si>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</si>
  <si>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</si>
  <si>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</si>
  <si>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</si>
  <si>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</si>
  <si>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</si>
  <si>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</si>
  <si>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</si>
  <si>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</si>
  <si>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</si>
  <si>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</si>
  <si>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</si>
  <si>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</si>
  <si>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</si>
  <si>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</si>
  <si>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</si>
  <si>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</si>
  <si>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</si>
  <si>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</si>
  <si>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</si>
  <si>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</si>
  <si>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</si>
  <si>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</si>
  <si>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</si>
  <si>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</si>
  <si>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</si>
  <si>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</si>
  <si>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</si>
  <si>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</si>
  <si>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</si>
  <si>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</si>
  <si>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</si>
  <si>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</si>
  <si>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</si>
  <si>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</si>
  <si>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</si>
  <si>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</si>
  <si>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</si>
  <si>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</si>
  <si>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</si>
  <si>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</si>
  <si>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</si>
  <si>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</si>
  <si>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</si>
  <si>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</si>
  <si>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</si>
  <si>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</si>
  <si>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</si>
  <si>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</si>
  <si>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</si>
  <si>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</si>
  <si>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</si>
  <si>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</si>
  <si>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</si>
  <si>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</si>
  <si>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</si>
  <si>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</si>
  <si>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</si>
  <si>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</si>
  <si>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</si>
  <si>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</si>
  <si>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</si>
  <si>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</si>
  <si>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</si>
  <si>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</si>
  <si>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</si>
  <si>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</si>
  <si>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</si>
  <si>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</si>
  <si>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</si>
  <si>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</si>
  <si>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</si>
  <si>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</si>
  <si>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</si>
  <si>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</si>
  <si>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</si>
  <si>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</si>
  <si>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</si>
  <si>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</si>
  <si>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</si>
  <si>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</si>
  <si>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</si>
  <si>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</si>
  <si>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</si>
  <si>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</si>
  <si>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</si>
  <si>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</si>
  <si>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</si>
  <si>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</si>
  <si>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</si>
  <si>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</si>
  <si>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</si>
  <si>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</si>
  <si>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</si>
  <si>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</si>
  <si>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</si>
  <si>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</si>
  <si>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</si>
  <si>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</si>
  <si>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</si>
  <si>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</si>
  <si>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</si>
  <si>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</si>
  <si>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</si>
  <si>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</si>
  <si>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</si>
  <si>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</si>
  <si>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</si>
  <si>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</si>
  <si>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</si>
  <si>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</si>
  <si>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</si>
  <si>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</si>
  <si>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</si>
  <si>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</si>
  <si>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</si>
  <si>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</si>
  <si>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</si>
  <si>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</si>
  <si>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</si>
  <si>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</si>
  <si>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</si>
  <si>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</si>
  <si>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</si>
  <si>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</si>
  <si>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</si>
  <si>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</si>
  <si>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</si>
  <si>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</si>
  <si>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</si>
  <si>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</si>
  <si>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</si>
  <si>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</si>
  <si>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</si>
  <si>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</si>
  <si>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</si>
  <si>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</si>
  <si>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</si>
  <si>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</si>
  <si>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</si>
  <si>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</si>
  <si>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</si>
  <si>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</si>
  <si>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</si>
  <si>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</si>
  <si>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</si>
  <si>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</si>
  <si>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</si>
  <si>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</si>
  <si>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</si>
  <si>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</si>
  <si>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</si>
  <si>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</si>
  <si>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</si>
  <si>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</si>
  <si>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</si>
  <si>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</si>
  <si>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</si>
  <si>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</si>
  <si>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</si>
  <si>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</si>
  <si>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</si>
  <si>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</si>
  <si>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</si>
  <si>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</si>
  <si>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</si>
  <si>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</si>
  <si>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</si>
  <si>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</si>
  <si>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</si>
  <si>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</si>
  <si>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</si>
  <si>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</si>
  <si>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</si>
  <si>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</si>
  <si>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</si>
  <si>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</si>
  <si>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</si>
  <si>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</si>
  <si>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</si>
  <si>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</si>
  <si>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</si>
  <si>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</si>
  <si>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</si>
  <si>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</si>
  <si>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</si>
  <si>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</si>
  <si>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</si>
  <si>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</si>
  <si>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</si>
  <si>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</si>
  <si>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</si>
  <si>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</si>
  <si>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</si>
  <si>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</si>
  <si>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</si>
  <si>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</si>
  <si>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</si>
  <si>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</si>
  <si>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</si>
  <si>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</si>
  <si>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</si>
  <si>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</si>
  <si>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</si>
  <si>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</si>
  <si>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</si>
  <si>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</si>
  <si>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</si>
  <si>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</si>
  <si>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</si>
  <si>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</si>
  <si>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</si>
  <si>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</si>
  <si>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</si>
  <si>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</si>
  <si>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</si>
  <si>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</si>
  <si>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</si>
  <si>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</si>
  <si>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</si>
  <si>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</si>
  <si>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</si>
  <si>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</si>
  <si>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</si>
  <si>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</si>
  <si>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</si>
  <si>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</si>
  <si>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</si>
  <si>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</si>
  <si>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</si>
  <si>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</si>
  <si>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</si>
  <si>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</si>
  <si>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</si>
  <si>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</si>
  <si>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</si>
  <si>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</si>
  <si>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</si>
  <si>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</si>
  <si>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</si>
  <si>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</si>
  <si>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</si>
  <si>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</si>
  <si>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</si>
  <si>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</si>
  <si>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</si>
  <si>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</si>
  <si>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</si>
  <si>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</si>
  <si>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</si>
  <si>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</si>
  <si>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</si>
  <si>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</si>
  <si>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</si>
  <si>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</si>
  <si>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</si>
  <si>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</si>
  <si>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</si>
  <si>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</si>
  <si>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</si>
  <si>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</si>
  <si>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</si>
  <si>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</si>
  <si>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</si>
  <si>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</si>
  <si>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</si>
  <si>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</si>
  <si>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</si>
  <si>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</si>
  <si>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</si>
  <si>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</si>
  <si>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</si>
  <si>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</si>
  <si>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</si>
  <si>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</si>
  <si>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</si>
  <si>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</si>
  <si>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</si>
  <si>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</si>
  <si>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</si>
  <si>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</si>
  <si>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</si>
  <si>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</si>
  <si>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</si>
  <si>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</si>
  <si>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</si>
  <si>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</si>
  <si>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</si>
  <si>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</si>
  <si>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</si>
  <si>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</si>
  <si>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</si>
  <si>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</si>
  <si>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</si>
  <si>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</si>
  <si>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</si>
  <si>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</si>
  <si>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</si>
  <si>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</si>
  <si>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</si>
  <si>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</si>
  <si>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</si>
  <si>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</si>
  <si>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</si>
  <si>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</si>
  <si>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</si>
  <si>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</si>
  <si>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</si>
  <si>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</si>
  <si>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</si>
  <si>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</si>
  <si>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</si>
  <si>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</si>
  <si>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</si>
  <si>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</si>
  <si>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</si>
  <si>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</si>
  <si>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</si>
  <si>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</si>
  <si>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</si>
  <si>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</si>
  <si>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</si>
  <si>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</si>
  <si>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</si>
  <si>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</si>
  <si>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</si>
  <si>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</si>
  <si>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</si>
  <si>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</si>
  <si>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</si>
  <si>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</si>
  <si>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</si>
  <si>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</si>
  <si>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</si>
  <si>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</si>
  <si>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</si>
  <si>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</si>
  <si>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</si>
  <si>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</si>
  <si>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</si>
  <si>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</si>
  <si>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</si>
  <si>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</si>
  <si>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</si>
  <si>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</si>
  <si>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</si>
  <si>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</si>
  <si>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</si>
  <si>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</si>
  <si>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</si>
  <si>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</si>
  <si>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</si>
  <si>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</si>
  <si>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</si>
  <si>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</si>
  <si>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</si>
  <si>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</si>
  <si>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</si>
  <si>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</si>
  <si>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</si>
  <si>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</si>
  <si>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</si>
  <si>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</si>
  <si>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</si>
  <si>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</si>
  <si>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</si>
  <si>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</si>
  <si>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</si>
  <si>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</si>
  <si>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</si>
  <si>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</si>
  <si>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</si>
  <si>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</si>
  <si>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</si>
  <si>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</si>
  <si>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</si>
  <si>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</si>
  <si>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</si>
  <si>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</si>
  <si>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</si>
  <si>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</si>
  <si>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</si>
  <si>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</si>
  <si>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</si>
  <si>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</si>
  <si>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</si>
  <si>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</si>
  <si>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</si>
  <si>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</si>
  <si>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</si>
  <si>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</si>
  <si>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</si>
  <si>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</si>
  <si>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</si>
  <si>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</si>
  <si>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</si>
  <si>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</si>
  <si>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</si>
  <si>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</si>
  <si>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</si>
  <si>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</si>
  <si>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</si>
  <si>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</si>
  <si>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</si>
  <si>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</si>
  <si>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</si>
  <si>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</si>
  <si>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</si>
  <si>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</si>
  <si>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</si>
  <si>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</si>
  <si>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</si>
  <si>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</si>
  <si>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</si>
  <si>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</si>
  <si>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</si>
  <si>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</si>
  <si>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</si>
  <si>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</si>
  <si>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</si>
  <si>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</si>
  <si>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</si>
  <si>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</si>
  <si>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</si>
  <si>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</si>
  <si>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</si>
  <si>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</si>
  <si>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</si>
  <si>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</si>
  <si>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</si>
  <si>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</si>
  <si>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</si>
  <si>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</si>
  <si>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</si>
  <si>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</si>
  <si>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</si>
  <si>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</si>
  <si>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</si>
  <si>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</si>
  <si>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</si>
  <si>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</si>
  <si>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</si>
  <si>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</si>
  <si>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</si>
  <si>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</si>
  <si>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</si>
  <si>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</si>
  <si>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</si>
  <si>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</si>
  <si>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</si>
  <si>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</si>
  <si>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</si>
  <si>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</si>
  <si>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</si>
  <si>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</si>
  <si>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</si>
  <si>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</si>
  <si>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</si>
  <si>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</si>
  <si>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</si>
  <si>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</si>
  <si>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</si>
  <si>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</si>
  <si>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</si>
  <si>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</si>
  <si>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</si>
  <si>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</si>
  <si>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</si>
  <si>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</si>
  <si>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</si>
  <si>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</si>
  <si>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</si>
  <si>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</si>
  <si>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</si>
  <si>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</si>
  <si>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</si>
  <si>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</si>
  <si>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</si>
  <si>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</si>
  <si>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</si>
  <si>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</si>
  <si>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</si>
  <si>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</si>
  <si>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</si>
  <si>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</si>
  <si>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</si>
  <si>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</si>
  <si>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</si>
  <si>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</si>
  <si>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</si>
  <si>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</si>
  <si>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</si>
  <si>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</si>
  <si>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</si>
  <si>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</si>
  <si>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</si>
  <si>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</si>
  <si>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</si>
  <si>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</si>
  <si>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</si>
  <si>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</si>
  <si>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</si>
  <si>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</si>
  <si>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</si>
  <si>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</si>
  <si>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</si>
  <si>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</si>
  <si>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</si>
  <si>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</si>
  <si>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</si>
  <si>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</si>
  <si>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</si>
  <si>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</si>
  <si>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</si>
  <si>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</si>
  <si>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</si>
  <si>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</si>
  <si>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</si>
  <si>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</si>
  <si>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</si>
  <si>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</si>
  <si>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</si>
  <si>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</si>
  <si>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</si>
  <si>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</si>
  <si>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</si>
  <si>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</si>
  <si>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</si>
  <si>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</si>
  <si>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</si>
  <si>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</si>
  <si>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</si>
  <si>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</si>
  <si>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</si>
  <si>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</si>
  <si>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</si>
  <si>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</si>
  <si>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</si>
  <si>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</si>
  <si>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</si>
  <si>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</si>
  <si>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</si>
  <si>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</si>
  <si>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</si>
  <si>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</si>
  <si>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</si>
  <si>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</si>
  <si>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</si>
  <si>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</si>
  <si>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</si>
  <si>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</si>
  <si>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</si>
  <si>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</si>
  <si>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</si>
  <si>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</si>
  <si>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</si>
  <si>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</si>
  <si>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</si>
  <si>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</si>
  <si>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</si>
  <si>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</si>
  <si>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</si>
  <si>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</si>
  <si>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</si>
  <si>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</si>
  <si>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</si>
  <si>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</si>
  <si>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</si>
  <si>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</si>
  <si>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</si>
  <si>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</si>
  <si>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</si>
  <si>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</si>
  <si>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</si>
  <si>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</si>
  <si>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</si>
  <si>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</si>
  <si>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</si>
  <si>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</si>
  <si>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</si>
  <si>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</si>
  <si>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</si>
  <si>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</si>
  <si>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</si>
  <si>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</si>
  <si>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</si>
  <si>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</si>
  <si>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</si>
  <si>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</si>
  <si>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</si>
  <si>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</si>
  <si>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</si>
  <si>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</si>
  <si>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</si>
  <si>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</si>
  <si>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</si>
  <si>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</si>
  <si>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</si>
  <si>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</si>
  <si>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</si>
  <si>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</si>
  <si>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</si>
  <si>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</si>
  <si>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</si>
  <si>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</si>
  <si>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</si>
  <si>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</si>
  <si>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</si>
  <si>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</si>
  <si>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</si>
  <si>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</si>
  <si>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</si>
  <si>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</si>
  <si>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</si>
  <si>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</si>
  <si>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</si>
  <si>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</si>
  <si>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</si>
  <si>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</si>
  <si>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</si>
  <si>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</si>
  <si>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</si>
  <si>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</si>
  <si>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</si>
  <si>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</si>
  <si>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</si>
  <si>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</si>
  <si>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</si>
  <si>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</si>
  <si>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</si>
  <si>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</si>
  <si>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</si>
  <si>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</si>
  <si>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</si>
  <si>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</si>
  <si>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</si>
  <si>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</si>
  <si>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</si>
  <si>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</si>
  <si>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</si>
  <si>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</si>
  <si>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</si>
  <si>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</si>
  <si>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</si>
  <si>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</si>
  <si>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</si>
  <si>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</si>
  <si>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</si>
  <si>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</si>
  <si>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</si>
  <si>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</si>
  <si>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</si>
  <si>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</si>
  <si>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</si>
  <si>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</si>
  <si>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</si>
  <si>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</si>
  <si>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</si>
  <si>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</si>
  <si>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</si>
  <si>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</si>
  <si>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</si>
  <si>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</si>
  <si>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</si>
  <si>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</si>
  <si>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</si>
  <si>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</si>
  <si>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</si>
  <si>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</si>
  <si>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</si>
  <si>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</si>
  <si>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</si>
  <si>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</si>
  <si>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</si>
  <si>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</si>
  <si>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</si>
  <si>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</si>
  <si>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</si>
  <si>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</si>
  <si>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</si>
  <si>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</si>
  <si>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</si>
  <si>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</si>
  <si>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</si>
  <si>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</si>
  <si>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</si>
  <si>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</si>
  <si>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</si>
  <si>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</si>
  <si>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</si>
  <si>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</si>
  <si>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</si>
  <si>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</si>
  <si>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</si>
  <si>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</si>
  <si>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</si>
  <si>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</si>
  <si>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</si>
  <si>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</si>
  <si>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</si>
  <si>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</si>
  <si>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</si>
  <si>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</si>
  <si>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</si>
  <si>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</si>
  <si>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</si>
  <si>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</si>
  <si>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</si>
  <si>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</si>
  <si>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</si>
  <si>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</si>
  <si>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</si>
  <si>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</si>
  <si>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</si>
  <si>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</si>
  <si>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</si>
  <si>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</si>
  <si>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</si>
  <si>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</si>
  <si>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</si>
  <si>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</si>
  <si>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</si>
  <si>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</si>
  <si>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</si>
  <si>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</si>
  <si>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</si>
  <si>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</si>
  <si>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</si>
  <si>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</si>
  <si>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</si>
  <si>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</si>
  <si>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</si>
  <si>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</si>
  <si>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</si>
  <si>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</si>
  <si>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</si>
  <si>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</si>
  <si>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</si>
  <si>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</si>
  <si>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</si>
  <si>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</si>
  <si>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</si>
  <si>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</si>
  <si>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</si>
  <si>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</si>
  <si>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</si>
  <si>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</si>
  <si>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</si>
  <si>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</si>
  <si>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</si>
  <si>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</si>
  <si>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</si>
  <si>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</si>
  <si>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</si>
  <si>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</si>
  <si>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</si>
  <si>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</si>
  <si>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</si>
  <si>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</si>
  <si>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</si>
  <si>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</si>
  <si>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</si>
  <si>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</si>
  <si>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</si>
  <si>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</si>
  <si>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</si>
  <si>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</si>
  <si>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</si>
  <si>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</si>
  <si>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</si>
  <si>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</si>
  <si>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</si>
  <si>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</si>
  <si>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</si>
  <si>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</si>
  <si>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</si>
  <si>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</si>
  <si>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</si>
  <si>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</si>
  <si>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</si>
  <si>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</si>
  <si>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</si>
  <si>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</si>
  <si>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</si>
  <si>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</si>
  <si>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</si>
  <si>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</si>
  <si>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</si>
  <si>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</si>
  <si>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</si>
  <si>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</si>
  <si>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</si>
  <si>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</si>
  <si>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</si>
  <si>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</si>
  <si>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</si>
  <si>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</si>
  <si>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</si>
  <si>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</si>
  <si>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</si>
  <si>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</si>
  <si>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</si>
  <si>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</si>
  <si>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</si>
  <si>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</si>
  <si>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</si>
  <si>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</si>
  <si>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</si>
  <si>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</si>
  <si>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</si>
  <si>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</si>
  <si>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</si>
  <si>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</si>
  <si>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</si>
  <si>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</si>
  <si>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</si>
  <si>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</si>
  <si>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</si>
  <si>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</si>
  <si>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</si>
  <si>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</si>
  <si>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</si>
  <si>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</si>
  <si>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</si>
  <si>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</si>
  <si>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</si>
  <si>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</si>
  <si>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</si>
  <si>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</si>
  <si>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</si>
  <si>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</si>
  <si>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</si>
  <si>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</si>
  <si>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</si>
  <si>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</si>
  <si>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</si>
  <si>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</si>
  <si>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</si>
  <si>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</si>
  <si>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</si>
  <si>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</si>
  <si>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</si>
  <si>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</si>
  <si>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</si>
  <si>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</si>
  <si>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</si>
  <si>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</si>
  <si>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</si>
  <si>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</si>
  <si>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</si>
  <si>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</si>
  <si>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</si>
  <si>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</si>
  <si>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</si>
  <si>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</si>
  <si>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</si>
  <si>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</si>
  <si>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</si>
  <si>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</si>
  <si>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</si>
  <si>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</si>
  <si>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</si>
  <si>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</si>
  <si>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</si>
  <si>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</si>
  <si>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</si>
  <si>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</si>
  <si>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</si>
  <si>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</si>
  <si>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</si>
  <si>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</si>
  <si>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</si>
  <si>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</si>
  <si>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</si>
  <si>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</si>
  <si>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</si>
  <si>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</si>
  <si>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</si>
  <si>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</si>
  <si>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</si>
  <si>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</si>
  <si>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</si>
  <si>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</si>
  <si>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</si>
  <si>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</si>
  <si>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</si>
  <si>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</si>
  <si>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</si>
  <si>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</si>
  <si>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</si>
  <si>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</si>
  <si>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</si>
  <si>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</si>
  <si>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</si>
  <si>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</si>
  <si>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</si>
  <si>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</si>
  <si>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</si>
  <si>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</si>
  <si>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</si>
  <si>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</si>
  <si>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</si>
  <si>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</si>
  <si>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</si>
  <si>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</si>
  <si>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</si>
  <si>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</si>
  <si>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</si>
  <si>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</si>
  <si>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</si>
  <si>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</si>
  <si>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</si>
  <si>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</si>
  <si>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</si>
  <si>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</si>
  <si>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</si>
  <si>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</si>
  <si>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</si>
  <si>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</si>
  <si>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</si>
  <si>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</si>
  <si>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</si>
  <si>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</si>
  <si>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</si>
  <si>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</si>
  <si>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</si>
  <si>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</si>
  <si>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</si>
  <si>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</si>
  <si>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</si>
  <si>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</si>
  <si>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</si>
  <si>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</si>
  <si>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</si>
  <si>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</si>
  <si>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</si>
  <si>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</si>
  <si>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</si>
  <si>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</si>
  <si>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</si>
  <si>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</si>
  <si>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</si>
  <si>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</si>
  <si>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</si>
  <si>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</si>
  <si>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</si>
  <si>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</si>
  <si>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</si>
  <si>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</si>
  <si>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</si>
  <si>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</si>
  <si>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</si>
  <si>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</si>
  <si>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</si>
  <si>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</si>
  <si>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</si>
  <si>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</si>
  <si>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</si>
  <si>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</si>
  <si>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</si>
  <si>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</si>
  <si>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</si>
  <si>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</si>
  <si>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</si>
  <si>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</si>
  <si>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</si>
  <si>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</si>
  <si>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</si>
  <si>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</si>
  <si>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</si>
  <si>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</si>
  <si>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</si>
  <si>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</si>
  <si>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</si>
  <si>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</si>
  <si>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</si>
  <si>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</si>
  <si>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</si>
  <si>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</si>
  <si>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</si>
  <si>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</si>
  <si>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</si>
  <si>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</si>
  <si>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</si>
  <si>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</si>
  <si>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</si>
  <si>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</si>
  <si>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</si>
  <si>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</si>
  <si>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</si>
  <si>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</si>
  <si>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</si>
  <si>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</si>
  <si>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</si>
  <si>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</si>
  <si>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</si>
  <si>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</si>
  <si>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</si>
  <si>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</si>
  <si>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</si>
  <si>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</si>
  <si>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</si>
  <si>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</si>
  <si>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</si>
  <si>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</si>
  <si>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</si>
  <si>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</si>
  <si>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</si>
  <si>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</si>
  <si>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</si>
  <si>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</si>
  <si>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</si>
  <si>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</si>
  <si>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</si>
  <si>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</si>
  <si>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</si>
  <si>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</si>
  <si>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</si>
  <si>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</si>
  <si>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</si>
  <si>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</si>
  <si>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</si>
  <si>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</si>
  <si>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</si>
  <si>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</si>
  <si>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</si>
  <si>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</si>
  <si>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</si>
  <si>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</si>
  <si>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</si>
  <si>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</si>
  <si>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</si>
  <si>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</si>
  <si>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</si>
  <si>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</si>
  <si>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</si>
  <si>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</si>
  <si>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</si>
  <si>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</si>
  <si>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</si>
  <si>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</si>
  <si>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</si>
  <si>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</si>
  <si>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</si>
  <si>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</si>
  <si>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</si>
  <si>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</si>
  <si>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</si>
  <si>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</si>
  <si>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</si>
  <si>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</si>
  <si>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</si>
  <si>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</si>
  <si>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</si>
  <si>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</si>
  <si>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</si>
  <si>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</si>
  <si>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</si>
  <si>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</si>
  <si>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</si>
  <si>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</si>
  <si>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</si>
  <si>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</si>
  <si>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</si>
  <si>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</si>
  <si>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</si>
  <si>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</si>
  <si>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</si>
  <si>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</si>
  <si>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</si>
  <si>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</si>
  <si>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</si>
  <si>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</si>
  <si>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</si>
  <si>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</si>
  <si>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</si>
  <si>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</si>
  <si>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</si>
  <si>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</si>
  <si>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</si>
  <si>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</si>
  <si>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</si>
  <si>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</si>
  <si>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</si>
  <si>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</si>
  <si>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</si>
  <si>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</si>
  <si>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</si>
  <si>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</si>
  <si>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</si>
  <si>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</si>
  <si>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</si>
  <si>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</si>
  <si>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</si>
  <si>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</si>
  <si>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</si>
  <si>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</si>
  <si>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</si>
  <si>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</si>
  <si>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</si>
  <si>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</si>
  <si>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</si>
  <si>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</si>
  <si>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</si>
  <si>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</si>
  <si>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</si>
  <si>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</si>
  <si>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</si>
  <si>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</si>
  <si>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</si>
  <si>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</si>
  <si>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</si>
  <si>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</si>
  <si>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</si>
  <si>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</si>
  <si>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</si>
  <si>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</si>
  <si>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</si>
  <si>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</si>
  <si>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</si>
  <si>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</si>
  <si>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</si>
  <si>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</si>
  <si>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</si>
  <si>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</si>
  <si>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</si>
  <si>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</si>
  <si>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</si>
  <si>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</si>
  <si>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</si>
  <si>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</si>
  <si>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</si>
  <si>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</si>
  <si>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</si>
  <si>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</si>
  <si>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</si>
  <si>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</si>
  <si>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</si>
  <si>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</si>
  <si>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</si>
  <si>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</si>
  <si>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</si>
  <si>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</si>
  <si>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</si>
  <si>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</si>
  <si>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</si>
  <si>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</si>
  <si>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</si>
  <si>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</si>
  <si>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</si>
  <si>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</si>
  <si>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</si>
  <si>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</si>
  <si>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</si>
  <si>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</si>
  <si>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</si>
  <si>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</si>
  <si>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</si>
  <si>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</si>
  <si>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</si>
  <si>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</si>
  <si>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</si>
  <si>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</si>
  <si>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</si>
  <si>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</si>
  <si>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</si>
  <si>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</si>
  <si>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</si>
  <si>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</si>
  <si>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</si>
  <si>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</si>
  <si>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</si>
  <si>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</si>
  <si>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</si>
  <si>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</si>
  <si>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</si>
  <si>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</si>
  <si>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</si>
  <si>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</si>
  <si>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</si>
  <si>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</si>
  <si>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</si>
  <si>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</si>
  <si>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</si>
  <si>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</si>
  <si>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</si>
  <si>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</si>
  <si>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</si>
  <si>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</si>
  <si>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</si>
  <si>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</si>
  <si>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</si>
  <si>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</si>
  <si>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</si>
  <si>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</si>
  <si>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</si>
  <si>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</si>
  <si>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</si>
  <si>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</si>
  <si>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</si>
  <si>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</si>
  <si>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</si>
  <si>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</si>
  <si>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</si>
  <si>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</si>
  <si>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</si>
  <si>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</si>
  <si>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</si>
  <si>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</si>
  <si>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</si>
  <si>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</si>
  <si>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</si>
  <si>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</si>
  <si>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</si>
  <si>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</si>
  <si>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</si>
  <si>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</si>
  <si>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</si>
  <si>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</si>
  <si>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</si>
  <si>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</si>
  <si>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</si>
  <si>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</si>
  <si>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</si>
  <si>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</si>
  <si>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</si>
  <si>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</si>
  <si>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</si>
  <si>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</si>
  <si>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</si>
  <si>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</si>
  <si>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</si>
  <si>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</si>
  <si>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</si>
  <si>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</si>
  <si>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</si>
  <si>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</si>
  <si>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</si>
  <si>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</si>
  <si>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</si>
  <si>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</si>
  <si>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</si>
  <si>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</si>
  <si>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</si>
  <si>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</si>
  <si>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</si>
  <si>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</si>
  <si>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</si>
  <si>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</si>
  <si>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</si>
  <si>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</si>
  <si>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</si>
  <si>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</si>
  <si>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</si>
  <si>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</si>
  <si>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</si>
  <si>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</si>
  <si>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</si>
  <si>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</si>
  <si>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</si>
  <si>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</si>
  <si>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</si>
  <si>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</si>
  <si>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</si>
  <si>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</si>
  <si>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</si>
  <si>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</si>
  <si>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</si>
  <si>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</si>
  <si>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</si>
  <si>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</si>
  <si>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</si>
  <si>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</si>
  <si>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</si>
  <si>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</si>
  <si>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</si>
  <si>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</si>
  <si>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</si>
  <si>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</si>
  <si>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</si>
  <si>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</si>
  <si>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</si>
  <si>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</si>
  <si>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</si>
  <si>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</si>
  <si>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</si>
  <si>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</si>
  <si>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</si>
  <si>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</si>
  <si>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</si>
  <si>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</si>
  <si>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</si>
  <si>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</si>
  <si>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</si>
  <si>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</si>
  <si>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</si>
  <si>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</si>
  <si>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</si>
  <si>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</si>
  <si>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</si>
  <si>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</si>
  <si>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</si>
  <si>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</si>
  <si>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</si>
  <si>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</si>
  <si>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</si>
  <si>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</si>
  <si>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</si>
  <si>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</si>
  <si>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</si>
  <si>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</si>
  <si>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</si>
  <si>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</si>
  <si>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</si>
  <si>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</si>
  <si>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</si>
  <si>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</si>
  <si>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</si>
  <si>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</si>
  <si>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</si>
  <si>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</si>
  <si>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</si>
  <si>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</si>
  <si>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</si>
  <si>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</si>
  <si>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</si>
  <si>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</si>
  <si>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</si>
  <si>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</si>
  <si>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</si>
  <si>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</si>
  <si>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</si>
  <si>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</si>
  <si>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</si>
  <si>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</si>
  <si>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</si>
  <si>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</si>
  <si>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</si>
  <si>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</si>
  <si>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</si>
  <si>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</si>
  <si>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</si>
  <si>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</si>
  <si>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</si>
  <si>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</si>
  <si>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</si>
  <si>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</si>
  <si>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</si>
  <si>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</si>
  <si>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</si>
  <si>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</si>
  <si>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</si>
  <si>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</si>
  <si>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</si>
  <si>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</si>
  <si>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</si>
  <si>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</si>
  <si>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</si>
  <si>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</si>
  <si>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</si>
  <si>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</si>
  <si>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</si>
  <si>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</si>
  <si>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</si>
  <si>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</si>
  <si>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</si>
  <si>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</si>
  <si>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</si>
  <si>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</si>
  <si>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</si>
  <si>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</si>
  <si>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</si>
  <si>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</si>
  <si>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</si>
  <si>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</si>
  <si>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</si>
  <si>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</si>
  <si>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</si>
  <si>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</si>
  <si>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</si>
  <si>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</si>
  <si>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</si>
  <si>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</si>
  <si>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</si>
  <si>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</si>
  <si>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</si>
  <si>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</si>
  <si>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</si>
  <si>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</si>
  <si>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</si>
  <si>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</si>
  <si>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</si>
  <si>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</si>
  <si>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</si>
  <si>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</si>
  <si>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</si>
  <si>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</si>
  <si>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</si>
  <si>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</si>
  <si>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</si>
  <si>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</si>
  <si>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</si>
  <si>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</si>
  <si>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</si>
  <si>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</si>
  <si>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</si>
  <si>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</si>
  <si>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</si>
  <si>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</si>
  <si>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</si>
  <si>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</si>
  <si>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</si>
  <si>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</si>
  <si>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</si>
  <si>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</si>
  <si>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</si>
  <si>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</si>
  <si>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</si>
  <si>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</si>
  <si>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</si>
  <si>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</si>
  <si>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</si>
  <si>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</si>
  <si>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</si>
  <si>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</si>
  <si>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</si>
  <si>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</si>
  <si>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</si>
  <si>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</si>
  <si>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</si>
  <si>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</si>
  <si>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</si>
  <si>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</si>
  <si>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</si>
  <si>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</si>
  <si>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</si>
  <si>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</si>
  <si>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</si>
  <si>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</si>
  <si>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</si>
  <si>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</si>
  <si>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</si>
  <si>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</si>
  <si>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</si>
  <si>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</si>
  <si>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</si>
  <si>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</si>
  <si>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</si>
  <si>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</si>
  <si>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</si>
  <si>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</si>
  <si>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</si>
  <si>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</si>
  <si>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</si>
  <si>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</si>
  <si>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</si>
  <si>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</si>
  <si>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</si>
  <si>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</si>
  <si>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</si>
  <si>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</si>
  <si>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</si>
  <si>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</si>
  <si>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</si>
  <si>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</si>
  <si>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</si>
  <si>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</si>
  <si>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</si>
  <si>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</si>
  <si>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</si>
  <si>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</si>
  <si>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</si>
  <si>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</si>
  <si>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</si>
  <si>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</si>
  <si>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</si>
  <si>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</si>
  <si>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</si>
  <si>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</si>
  <si>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</si>
  <si>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</si>
  <si>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</si>
  <si>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</si>
  <si>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</si>
  <si>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</si>
  <si>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</si>
  <si>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</si>
  <si>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</si>
  <si>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</si>
  <si>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</si>
  <si>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</si>
  <si>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</si>
  <si>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</si>
  <si>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</si>
  <si>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</si>
  <si>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</si>
  <si>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</si>
  <si>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</si>
  <si>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</si>
  <si>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</si>
  <si>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</si>
  <si>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</si>
  <si>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</si>
  <si>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</si>
  <si>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</si>
  <si>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</si>
  <si>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</si>
  <si>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</si>
  <si>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</si>
  <si>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</si>
  <si>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</si>
  <si>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</si>
  <si>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</si>
  <si>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</si>
  <si>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</si>
  <si>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</si>
  <si>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</si>
  <si>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</si>
  <si>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</si>
  <si>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</si>
  <si>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</si>
  <si>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</si>
  <si>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</si>
  <si>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</si>
  <si>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</si>
  <si>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</si>
  <si>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</si>
  <si>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</si>
  <si>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</si>
  <si>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</si>
  <si>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</si>
  <si>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</si>
  <si>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</si>
  <si>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</si>
  <si>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</si>
  <si>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</si>
  <si>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</si>
  <si>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</si>
  <si>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</si>
  <si>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</si>
  <si>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</si>
  <si>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</si>
  <si>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</si>
  <si>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</si>
  <si>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</si>
  <si>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</si>
  <si>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</si>
  <si>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</si>
  <si>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</si>
  <si>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</si>
  <si>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</si>
  <si>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</si>
  <si>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</si>
  <si>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</si>
  <si>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</si>
  <si>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</si>
  <si>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</si>
  <si>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</si>
  <si>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</si>
  <si>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</si>
  <si>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</si>
  <si>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</si>
  <si>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</si>
  <si>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</si>
  <si>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</si>
  <si>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</si>
  <si>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</si>
  <si>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</si>
  <si>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</si>
  <si>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</si>
  <si>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</si>
  <si>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</si>
  <si>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</si>
  <si>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</si>
  <si>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</si>
  <si>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</si>
  <si>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</si>
  <si>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</si>
  <si>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</si>
  <si>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</si>
  <si>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</si>
  <si>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</si>
  <si>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</si>
  <si>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</si>
  <si>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</si>
  <si>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</si>
  <si>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</si>
  <si>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</si>
  <si>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</si>
  <si>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</si>
  <si>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</si>
  <si>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</si>
  <si>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</si>
  <si>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</si>
  <si>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</si>
  <si>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</si>
  <si>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</si>
  <si>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</si>
  <si>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</si>
  <si>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</si>
  <si>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</si>
  <si>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</si>
  <si>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</si>
  <si>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</si>
  <si>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</si>
  <si>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</si>
  <si>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</si>
  <si>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</si>
  <si>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</si>
  <si>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</si>
  <si>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</si>
  <si>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</si>
  <si>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</si>
  <si>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</si>
  <si>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</si>
  <si>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</si>
  <si>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</si>
  <si>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</si>
  <si>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</si>
  <si>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</si>
  <si>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</si>
  <si>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</si>
  <si>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</si>
  <si>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</si>
  <si>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</si>
  <si>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</si>
  <si>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</si>
  <si>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</si>
  <si>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</si>
  <si>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</si>
  <si>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</si>
  <si>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</si>
  <si>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</si>
  <si>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</si>
  <si>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</si>
  <si>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</si>
  <si>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</si>
  <si>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</si>
  <si>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</si>
  <si>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</si>
  <si>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</si>
  <si>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</si>
  <si>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</si>
  <si>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</si>
  <si>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</si>
  <si>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</si>
  <si>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</si>
  <si>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</si>
  <si>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</si>
  <si>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</si>
  <si>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</si>
  <si>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</si>
  <si>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</si>
  <si>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</si>
  <si>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</si>
  <si>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</si>
  <si>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</si>
  <si>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</si>
  <si>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</si>
  <si>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</si>
  <si>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</si>
  <si>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</si>
  <si>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</si>
  <si>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</si>
  <si>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</si>
  <si>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</si>
  <si>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</si>
  <si>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</si>
  <si>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</si>
  <si>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</si>
  <si>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</si>
  <si>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</si>
  <si>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</si>
  <si>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</si>
  <si>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</si>
  <si>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</si>
  <si>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</si>
  <si>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</si>
  <si>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</si>
  <si>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</si>
  <si>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</si>
  <si>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</si>
  <si>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</si>
  <si>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</si>
  <si>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</si>
  <si>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</si>
  <si>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</si>
  <si>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</si>
  <si>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</si>
  <si>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</si>
  <si>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</si>
  <si>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</si>
  <si>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</si>
  <si>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</si>
  <si>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</si>
  <si>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</si>
  <si>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</si>
  <si>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</si>
  <si>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</si>
  <si>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</si>
  <si>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</si>
  <si>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</si>
  <si>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</si>
  <si>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</si>
  <si>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</si>
  <si>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</si>
  <si>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</si>
  <si>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</si>
  <si>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</si>
  <si>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</si>
  <si>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</si>
  <si>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</si>
  <si>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</si>
  <si>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</si>
  <si>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</si>
  <si>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</si>
  <si>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</si>
  <si>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</si>
  <si>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</si>
  <si>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</si>
  <si>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</si>
  <si>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</si>
  <si>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</si>
  <si>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</si>
  <si>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</si>
  <si>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</si>
  <si>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</si>
  <si>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</si>
  <si>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</si>
  <si>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</si>
  <si>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</si>
  <si>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</si>
  <si>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</si>
  <si>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</si>
  <si>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</si>
  <si>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</si>
  <si>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</si>
  <si>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</si>
  <si>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</si>
  <si>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</si>
  <si>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</si>
  <si>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</si>
  <si>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</si>
  <si>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</si>
  <si>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</si>
  <si>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</si>
  <si>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</si>
  <si>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</si>
  <si>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</si>
  <si>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</si>
  <si>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</si>
  <si>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</si>
  <si>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</si>
  <si>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</si>
  <si>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</si>
  <si>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</si>
  <si>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</si>
  <si>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</si>
  <si>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</si>
  <si>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</si>
  <si>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</si>
  <si>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</si>
  <si>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</si>
  <si>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</si>
  <si>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</si>
  <si>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</si>
  <si>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</si>
  <si>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</si>
  <si>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</si>
  <si>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</si>
  <si>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</si>
  <si>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</si>
  <si>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</si>
  <si>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</si>
  <si>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</si>
  <si>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</si>
  <si>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</si>
  <si>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</si>
  <si>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</si>
  <si>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</si>
  <si>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</si>
  <si>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</si>
  <si>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</si>
  <si>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</si>
  <si>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</si>
  <si>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</si>
  <si>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</si>
  <si>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</si>
  <si>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</si>
  <si>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</si>
  <si>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</si>
  <si>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</si>
  <si>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</si>
  <si>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</si>
  <si>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</si>
  <si>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</si>
  <si>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</si>
  <si>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</si>
  <si>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</si>
  <si>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</si>
  <si>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</si>
  <si>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</si>
  <si>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</si>
  <si>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</si>
  <si>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</si>
  <si>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</si>
  <si>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</si>
  <si>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</si>
  <si>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</si>
  <si>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</si>
  <si>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</si>
  <si>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</si>
  <si>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</si>
  <si>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</si>
  <si>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</si>
  <si>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</si>
  <si>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</si>
  <si>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</si>
  <si>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</si>
  <si>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</si>
  <si>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</si>
  <si>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</si>
  <si>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</si>
  <si>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</si>
  <si>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</si>
  <si>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</si>
  <si>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</si>
  <si>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</si>
  <si>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</si>
  <si>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</si>
  <si>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</si>
  <si>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</si>
  <si>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</si>
  <si>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</si>
  <si>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</si>
  <si>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</si>
  <si>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</si>
  <si>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</si>
  <si>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</si>
  <si>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</si>
  <si>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</si>
  <si>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</si>
  <si>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</si>
  <si>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</si>
  <si>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</si>
  <si>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</si>
  <si>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</si>
  <si>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</si>
  <si>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</si>
  <si>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</si>
  <si>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</si>
  <si>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</si>
  <si>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</si>
  <si>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</si>
  <si>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</si>
  <si>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</si>
  <si>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</si>
  <si>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</si>
  <si>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</si>
  <si>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</si>
  <si>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</si>
  <si>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</si>
  <si>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</si>
  <si>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</si>
  <si>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</si>
  <si>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</si>
  <si>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</si>
  <si>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</si>
  <si>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</si>
  <si>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</si>
  <si>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</si>
  <si>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</si>
  <si>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</si>
  <si>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</si>
  <si>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</si>
  <si>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</si>
  <si>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</si>
  <si>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</si>
  <si>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</si>
  <si>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</si>
  <si>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</si>
  <si>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</si>
  <si>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</si>
  <si>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</si>
  <si>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</si>
  <si>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</si>
  <si>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</si>
  <si>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</si>
  <si>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</si>
  <si>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</si>
  <si>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</si>
  <si>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</si>
  <si>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</si>
  <si>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</si>
  <si>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</si>
  <si>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</si>
  <si>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</si>
  <si>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</si>
  <si>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</si>
  <si>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</si>
  <si>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</si>
  <si>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</si>
  <si>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</si>
  <si>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</si>
  <si>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</si>
  <si>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</si>
  <si>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</si>
  <si>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</si>
  <si>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</si>
  <si>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</si>
  <si>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</si>
  <si>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</si>
  <si>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</si>
  <si>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</si>
  <si>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</si>
  <si>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</si>
  <si>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</si>
  <si>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</si>
  <si>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</si>
  <si>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</si>
  <si>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</si>
  <si>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</si>
  <si>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</si>
  <si>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</si>
  <si>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</si>
  <si>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</si>
  <si>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</si>
  <si>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</si>
  <si>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</si>
  <si>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</si>
  <si>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</si>
  <si>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</si>
  <si>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</si>
  <si>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</si>
  <si>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</si>
  <si>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</si>
  <si>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</si>
  <si>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</si>
  <si>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</si>
  <si>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</si>
  <si>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</si>
  <si>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</si>
  <si>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</si>
  <si>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</si>
  <si>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</si>
  <si>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</si>
  <si>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</si>
  <si>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</si>
  <si>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</si>
  <si>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</si>
  <si>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</si>
  <si>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</si>
  <si>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</si>
  <si>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</si>
  <si>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</si>
  <si>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</si>
  <si>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</si>
  <si>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</si>
  <si>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</si>
  <si>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</si>
  <si>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</si>
  <si>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</si>
  <si>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</si>
  <si>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</si>
  <si>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</si>
  <si>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</si>
  <si>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</si>
  <si>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</si>
  <si>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</si>
  <si>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</si>
  <si>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</si>
  <si>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</si>
  <si>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</si>
  <si>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</si>
  <si>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</si>
  <si>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</si>
  <si>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</si>
  <si>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</si>
  <si>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</si>
  <si>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</si>
  <si>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</si>
  <si>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</si>
  <si>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</si>
  <si>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</si>
  <si>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</si>
  <si>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</si>
  <si>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</si>
  <si>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</si>
  <si>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</si>
  <si>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</si>
  <si>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</si>
  <si>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</si>
  <si>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</si>
  <si>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</si>
  <si>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</si>
  <si>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</si>
  <si>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</si>
  <si>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</si>
  <si>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</si>
  <si>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</si>
  <si>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</si>
  <si>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</si>
  <si>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</si>
  <si>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</si>
  <si>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</si>
  <si>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</si>
  <si>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</si>
  <si>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</si>
  <si>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</si>
  <si>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</si>
  <si>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</si>
  <si>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</si>
  <si>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</si>
  <si>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</si>
  <si>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</si>
  <si>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</si>
  <si>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</si>
  <si>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</si>
  <si>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</si>
  <si>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</si>
  <si>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</si>
  <si>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</si>
  <si>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</si>
  <si>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</si>
  <si>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</si>
  <si>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</si>
  <si>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</si>
  <si>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</si>
  <si>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</si>
  <si>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</si>
  <si>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</si>
  <si>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</si>
  <si>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</si>
  <si>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</si>
  <si>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</si>
  <si>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</si>
  <si>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</si>
  <si>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</si>
  <si>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</si>
  <si>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</si>
  <si>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</si>
  <si>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</si>
  <si>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</si>
  <si>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</si>
  <si>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</si>
  <si>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</si>
  <si>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</si>
  <si>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</si>
  <si>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</si>
  <si>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</si>
  <si>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</si>
  <si>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</si>
  <si>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</si>
  <si>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</si>
  <si>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</si>
  <si>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</si>
  <si>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</si>
  <si>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</si>
  <si>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</si>
  <si>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</si>
  <si>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</si>
  <si>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</si>
  <si>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</si>
  <si>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</si>
  <si>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</si>
  <si>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</si>
  <si>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</si>
  <si>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</si>
  <si>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</si>
  <si>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</si>
  <si>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</si>
  <si>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</si>
  <si>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</si>
  <si>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</si>
  <si>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</si>
  <si>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</si>
  <si>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</si>
  <si>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</si>
  <si>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</si>
  <si>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</si>
  <si>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</si>
  <si>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</si>
  <si>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</si>
  <si>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</si>
  <si>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</si>
  <si>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</si>
  <si>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</si>
  <si>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</si>
  <si>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</si>
  <si>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</si>
  <si>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</si>
  <si>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</si>
  <si>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</si>
  <si>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</si>
  <si>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</si>
  <si>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</si>
  <si>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</si>
  <si>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</si>
  <si>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</si>
  <si>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</si>
  <si>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</si>
  <si>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</si>
  <si>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</si>
  <si>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</si>
  <si>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</si>
  <si>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</si>
  <si>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</si>
  <si>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</si>
  <si>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</si>
  <si>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</si>
  <si>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</si>
  <si>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</si>
  <si>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</si>
  <si>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</si>
  <si>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</si>
  <si>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</si>
  <si>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</si>
  <si>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</si>
  <si>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</si>
  <si>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</si>
  <si>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</si>
  <si>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</si>
  <si>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</si>
  <si>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</si>
  <si>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</si>
  <si>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</si>
  <si>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</si>
  <si>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</si>
  <si>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</si>
  <si>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</si>
  <si>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</si>
  <si>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</si>
  <si>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</si>
  <si>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</si>
  <si>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</si>
  <si>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</si>
  <si>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</si>
  <si>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</si>
  <si>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</si>
  <si>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</si>
  <si>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</si>
  <si>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</si>
  <si>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</si>
  <si>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</si>
  <si>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</si>
  <si>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</si>
  <si>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</si>
  <si>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</si>
  <si>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</si>
  <si>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</si>
  <si>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</si>
  <si>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</si>
  <si>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</si>
  <si>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</si>
  <si>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</si>
  <si>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</si>
  <si>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</si>
  <si>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</si>
  <si>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</si>
  <si>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</si>
  <si>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</si>
  <si>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</si>
  <si>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</si>
  <si>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</si>
  <si>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</si>
  <si>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</si>
  <si>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</si>
  <si>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</si>
  <si>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</si>
  <si>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</si>
  <si>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</si>
  <si>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</si>
  <si>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</si>
  <si>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</si>
  <si>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</si>
  <si>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</si>
  <si>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</si>
  <si>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</si>
  <si>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</si>
  <si>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</si>
  <si>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</si>
  <si>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</si>
  <si>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</si>
  <si>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</si>
  <si>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</si>
  <si>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</si>
  <si>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</si>
  <si>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</si>
  <si>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</si>
  <si>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</si>
  <si>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</si>
  <si>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</si>
  <si>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</si>
  <si>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</si>
  <si>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</si>
  <si>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</si>
  <si>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</si>
  <si>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</si>
  <si>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</si>
  <si>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</si>
  <si>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</si>
  <si>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</si>
  <si>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</si>
  <si>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</si>
  <si>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</si>
  <si>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</si>
  <si>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</si>
  <si>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</si>
  <si>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</si>
  <si>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</si>
  <si>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</si>
  <si>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</si>
  <si>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</si>
  <si>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</si>
  <si>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</si>
  <si>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</si>
  <si>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</si>
  <si>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</si>
  <si>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</si>
  <si>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</si>
  <si>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</si>
  <si>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</si>
  <si>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</si>
  <si>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</si>
  <si>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</si>
  <si>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</si>
  <si>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</si>
  <si>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</si>
  <si>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</si>
  <si>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</si>
  <si>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</si>
  <si>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</si>
  <si>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</si>
  <si>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</si>
  <si>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</si>
  <si>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</si>
  <si>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</si>
  <si>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</si>
  <si>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</si>
  <si>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</si>
  <si>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</si>
  <si>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</si>
  <si>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</si>
  <si>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</si>
  <si>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</si>
  <si>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</si>
  <si>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</si>
  <si>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</si>
  <si>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</si>
  <si>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</si>
  <si>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</si>
  <si>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</si>
  <si>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</si>
  <si>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</si>
  <si>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</si>
  <si>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</si>
  <si>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</si>
  <si>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</si>
  <si>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</si>
  <si>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</si>
  <si>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</si>
  <si>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</si>
  <si>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</si>
  <si>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</si>
  <si>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</si>
  <si>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</si>
  <si>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</si>
  <si>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</si>
  <si>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</si>
  <si>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</si>
  <si>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</si>
  <si>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</si>
  <si>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</si>
  <si>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</si>
  <si>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</si>
  <si>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</si>
  <si>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</si>
  <si>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</si>
  <si>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</si>
  <si>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</si>
  <si>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</si>
  <si>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</si>
  <si>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</si>
  <si>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</si>
  <si>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</si>
  <si>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</si>
  <si>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</si>
  <si>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</si>
  <si>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</si>
  <si>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</si>
  <si>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</si>
  <si>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</si>
  <si>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</si>
  <si>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</si>
  <si>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</si>
  <si>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</si>
  <si>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</si>
  <si>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</si>
  <si>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</si>
  <si>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</si>
  <si>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</si>
  <si>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</si>
  <si>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</si>
  <si>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</si>
  <si>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</si>
  <si>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</si>
  <si>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</si>
  <si>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</si>
  <si>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</si>
  <si>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</si>
  <si>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</si>
  <si>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</si>
  <si>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</si>
  <si>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</si>
  <si>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</si>
  <si>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</si>
  <si>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</si>
  <si>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</si>
  <si>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</si>
  <si>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</si>
  <si>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</si>
  <si>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</si>
  <si>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</si>
  <si>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</si>
  <si>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</si>
  <si>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</si>
  <si>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</si>
  <si>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</si>
  <si>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</si>
  <si>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</si>
  <si>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</si>
  <si>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</si>
  <si>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</si>
  <si>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</si>
  <si>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</si>
  <si>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</si>
  <si>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</si>
  <si>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</si>
  <si>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</si>
  <si>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</si>
  <si>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</si>
  <si>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</si>
  <si>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</si>
  <si>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</si>
  <si>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</si>
  <si>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</si>
  <si>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</si>
  <si>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</si>
  <si>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</si>
  <si>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</si>
  <si>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</si>
  <si>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</si>
  <si>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</si>
  <si>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</si>
  <si>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</si>
  <si>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</si>
  <si>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</si>
  <si>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</si>
  <si>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</si>
  <si>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</si>
  <si>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</si>
  <si>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</si>
  <si>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</si>
  <si>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</si>
  <si>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</si>
  <si>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</si>
  <si>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</si>
  <si>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</si>
  <si>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</si>
  <si>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</si>
  <si>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</si>
  <si>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</si>
  <si>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</si>
  <si>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</si>
  <si>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</si>
  <si>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</si>
  <si>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</si>
  <si>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</si>
  <si>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</si>
  <si>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</si>
  <si>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</si>
  <si>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</si>
  <si>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</si>
  <si>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</si>
  <si>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</si>
  <si>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</si>
  <si>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</si>
  <si>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</si>
  <si>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</si>
  <si>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</si>
  <si>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</si>
  <si>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</si>
  <si>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</si>
  <si>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</si>
  <si>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</si>
  <si>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</si>
  <si>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</si>
  <si>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</si>
  <si>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</si>
  <si>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</si>
  <si>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</si>
  <si>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</si>
  <si>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</si>
  <si>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</si>
  <si>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</si>
  <si>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</si>
  <si>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</si>
  <si>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</si>
  <si>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</si>
  <si>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</si>
  <si>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</si>
  <si>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</si>
  <si>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</si>
  <si>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</si>
  <si>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</si>
  <si>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</si>
  <si>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</si>
  <si>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</si>
  <si>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</si>
  <si>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</si>
  <si>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</si>
  <si>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</si>
  <si>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</si>
  <si>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</si>
  <si>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</si>
  <si>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</si>
  <si>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</si>
  <si>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</si>
  <si>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</si>
  <si>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</si>
  <si>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</si>
  <si>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</si>
  <si>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</si>
  <si>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</si>
  <si>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</si>
  <si>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</si>
  <si>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</si>
  <si>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</si>
  <si>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</si>
  <si>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</si>
  <si>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</si>
  <si>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</si>
  <si>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</si>
  <si>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</si>
  <si>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</si>
  <si>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</si>
  <si>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</si>
  <si>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</si>
  <si>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</si>
  <si>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</si>
  <si>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</si>
  <si>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</si>
  <si>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</si>
  <si>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</si>
  <si>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</si>
  <si>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</si>
  <si>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</si>
  <si>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</si>
  <si>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</si>
  <si>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</si>
  <si>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</si>
  <si>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</si>
  <si>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</si>
  <si>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</si>
  <si>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</si>
  <si>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</si>
  <si>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</si>
  <si>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</si>
  <si>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</si>
  <si>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</si>
  <si>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</si>
  <si>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</si>
  <si>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</si>
  <si>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</si>
  <si>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</si>
  <si>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</si>
  <si>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</si>
  <si>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</si>
  <si>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</si>
  <si>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</si>
  <si>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</si>
  <si>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</si>
  <si>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</si>
  <si>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</si>
  <si>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</si>
  <si>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</si>
  <si>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</si>
  <si>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</si>
  <si>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</si>
  <si>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</si>
  <si>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</si>
  <si>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</si>
  <si>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</si>
  <si>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</si>
  <si>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</si>
  <si>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</si>
  <si>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</si>
  <si>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</si>
  <si>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</si>
  <si>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</si>
  <si>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</si>
  <si>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</si>
  <si>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</si>
  <si>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</si>
  <si>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</si>
  <si>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</si>
  <si>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</si>
  <si>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</si>
  <si>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</si>
  <si>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</si>
  <si>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</si>
  <si>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</si>
  <si>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</si>
  <si>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</si>
  <si>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</si>
  <si>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</si>
  <si>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</si>
  <si>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</si>
  <si>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</si>
  <si>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</si>
  <si>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</si>
  <si>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</si>
  <si>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</si>
  <si>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</si>
  <si>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</si>
  <si>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</si>
  <si>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</si>
  <si>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</si>
  <si>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</si>
  <si>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</si>
  <si>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</si>
  <si>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</si>
  <si>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</si>
  <si>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</si>
  <si>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</si>
  <si>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</si>
  <si>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</si>
  <si>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</si>
  <si>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</si>
  <si>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</si>
  <si>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</si>
  <si>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</si>
  <si>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</si>
  <si>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</si>
  <si>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</si>
  <si>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</si>
  <si>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</si>
  <si>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</si>
  <si>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</si>
  <si>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</si>
  <si>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</si>
  <si>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</si>
  <si>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</si>
  <si>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</si>
  <si>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</si>
  <si>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</si>
  <si>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</si>
  <si>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</si>
  <si>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</si>
  <si>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</si>
  <si>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</si>
  <si>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</si>
  <si>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</si>
  <si>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</si>
  <si>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</si>
  <si>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</si>
  <si>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</si>
  <si>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</si>
  <si>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</si>
  <si>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</si>
  <si>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</si>
  <si>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</si>
  <si>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</si>
  <si>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</si>
  <si>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</si>
  <si>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</si>
  <si>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</si>
  <si>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</si>
  <si>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</si>
  <si>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</si>
  <si>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</si>
  <si>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</si>
  <si>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</si>
  <si>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</si>
  <si>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</si>
  <si>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</si>
  <si>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</si>
  <si>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</si>
  <si>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</si>
  <si>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</si>
  <si>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</si>
  <si>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</si>
  <si>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</si>
  <si>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</si>
  <si>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</si>
  <si>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</si>
  <si>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</si>
  <si>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</si>
  <si>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</si>
  <si>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</si>
  <si>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</si>
  <si>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</si>
  <si>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</si>
  <si>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</si>
  <si>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</si>
  <si>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</si>
  <si>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</si>
  <si>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</si>
  <si>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</si>
  <si>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</si>
  <si>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</si>
  <si>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</si>
  <si>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</si>
  <si>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</si>
  <si>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</si>
  <si>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</si>
  <si>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</si>
  <si>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</si>
  <si>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</si>
  <si>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</si>
  <si>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</si>
  <si>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</si>
  <si>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</si>
  <si>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</si>
  <si>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</si>
  <si>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</si>
  <si>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</si>
  <si>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</si>
  <si>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</si>
  <si>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</si>
  <si>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</si>
  <si>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</si>
  <si>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</si>
  <si>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</si>
  <si>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</si>
  <si>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</si>
  <si>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</si>
  <si>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</si>
  <si>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</si>
  <si>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</si>
  <si>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</si>
  <si>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</si>
  <si>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</si>
  <si>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</si>
  <si>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</si>
  <si>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</si>
  <si>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</si>
  <si>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</si>
  <si>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</si>
  <si>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</si>
  <si>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</si>
  <si>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</si>
  <si>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</si>
  <si>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</si>
  <si>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</si>
  <si>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</si>
  <si>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</si>
  <si>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</si>
  <si>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</si>
  <si>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</si>
  <si>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</si>
  <si>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</si>
  <si>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</si>
  <si>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</si>
  <si>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</si>
  <si>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</si>
  <si>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</si>
  <si>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</si>
  <si>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</si>
  <si>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</si>
  <si>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</si>
  <si>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</si>
  <si>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</si>
  <si>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</si>
  <si>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</si>
  <si>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</si>
  <si>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</si>
  <si>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</si>
  <si>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</si>
  <si>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</si>
  <si>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</si>
  <si>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</si>
  <si>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</si>
  <si>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</si>
  <si>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</si>
  <si>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</si>
  <si>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</si>
  <si>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</si>
  <si>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</si>
  <si>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</si>
  <si>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</si>
  <si>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</si>
  <si>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</si>
  <si>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</si>
  <si>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</si>
  <si>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</si>
  <si>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</si>
  <si>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</si>
  <si>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</si>
  <si>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</si>
  <si>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</si>
  <si>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</si>
  <si>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</si>
  <si>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</si>
  <si>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</si>
  <si>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</si>
  <si>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</si>
  <si>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</si>
  <si>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</si>
  <si>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</si>
  <si>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</si>
  <si>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</si>
  <si>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</si>
  <si>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</si>
  <si>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</si>
  <si>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</si>
  <si>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</si>
  <si>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</si>
  <si>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</si>
  <si>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</si>
  <si>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</si>
  <si>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</si>
  <si>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</si>
  <si>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</si>
  <si>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</si>
  <si>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</si>
  <si>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</si>
  <si>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</si>
  <si>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</si>
  <si>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</si>
  <si>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</si>
  <si>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</si>
  <si>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</si>
  <si>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</si>
  <si>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</si>
  <si>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</si>
  <si>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</si>
  <si>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</si>
  <si>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</si>
  <si>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</si>
  <si>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</si>
  <si>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</si>
  <si>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</si>
  <si>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</si>
  <si>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</si>
  <si>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</si>
  <si>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</si>
  <si>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</si>
  <si>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</si>
  <si>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</si>
  <si>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</si>
  <si>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</si>
  <si>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</si>
  <si>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</si>
  <si>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</si>
  <si>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</si>
  <si>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</si>
  <si>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</si>
  <si>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</si>
  <si>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</si>
  <si>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</si>
  <si>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</si>
  <si>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</si>
  <si>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</si>
  <si>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</si>
  <si>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</si>
  <si>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</si>
  <si>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</si>
  <si>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</si>
  <si>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</si>
  <si>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</si>
  <si>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</si>
  <si>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</si>
  <si>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</si>
  <si>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</si>
  <si>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</si>
  <si>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</si>
  <si>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</si>
  <si>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</si>
  <si>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</si>
  <si>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</si>
  <si>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</si>
  <si>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</si>
  <si>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</si>
  <si>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</si>
  <si>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</si>
  <si>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</si>
  <si>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</si>
  <si>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</si>
  <si>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</si>
  <si>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</si>
  <si>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</si>
  <si>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</si>
  <si>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</si>
  <si>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</si>
  <si>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</si>
  <si>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</si>
  <si>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</si>
  <si>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</si>
  <si>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</si>
  <si>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</si>
  <si>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</si>
  <si>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</si>
  <si>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</si>
  <si>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</si>
  <si>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</si>
  <si>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</si>
  <si>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</si>
  <si>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</si>
  <si>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</si>
  <si>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</si>
  <si>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</si>
  <si>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</si>
  <si>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</si>
  <si>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</si>
  <si>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</si>
  <si>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</si>
  <si>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</si>
  <si>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</si>
  <si>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</si>
  <si>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</si>
  <si>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</si>
  <si>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</si>
  <si>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</si>
  <si>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</si>
  <si>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</si>
  <si>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</si>
  <si>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</si>
  <si>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</si>
  <si>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</si>
  <si>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</si>
  <si>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</si>
  <si>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</si>
  <si>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</si>
  <si>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</si>
  <si>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</si>
  <si>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</si>
  <si>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</si>
  <si>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</si>
  <si>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</si>
  <si>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</si>
  <si>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</si>
  <si>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</si>
  <si>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</si>
  <si>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</si>
  <si>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</si>
  <si>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</si>
  <si>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</si>
  <si>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</si>
  <si>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</si>
  <si>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</si>
  <si>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</si>
  <si>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</si>
  <si>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</si>
  <si>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</si>
  <si>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</si>
  <si>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</si>
  <si>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</si>
  <si>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</si>
  <si>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</si>
  <si>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</si>
  <si>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</si>
  <si>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</si>
  <si>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</si>
  <si>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</si>
  <si>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</si>
  <si>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</si>
  <si>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</si>
  <si>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</si>
  <si>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</si>
  <si>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</si>
  <si>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</si>
  <si>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</si>
  <si>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</si>
  <si>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</si>
  <si>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</si>
  <si>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</si>
  <si>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</si>
  <si>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</si>
  <si>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</si>
  <si>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</si>
  <si>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</si>
  <si>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</si>
  <si>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</si>
  <si>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</si>
  <si>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</si>
  <si>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</si>
  <si>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</si>
  <si>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</si>
  <si>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</si>
  <si>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</si>
  <si>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</si>
  <si>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</si>
  <si>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</si>
  <si>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</si>
  <si>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</si>
  <si>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</si>
  <si>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</si>
  <si>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</si>
  <si>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</si>
  <si>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</si>
  <si>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</si>
  <si>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</si>
  <si>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</si>
  <si>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</si>
  <si>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</si>
  <si>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</si>
  <si>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</si>
  <si>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</si>
  <si>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</si>
  <si>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</si>
  <si>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</si>
  <si>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</si>
  <si>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</si>
  <si>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</si>
  <si>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</si>
  <si>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</si>
  <si>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</si>
  <si>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</si>
  <si>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</si>
  <si>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</si>
  <si>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</si>
  <si>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</si>
  <si>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</si>
  <si>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</si>
  <si>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</si>
  <si>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</si>
  <si>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</si>
  <si>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</si>
  <si>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</si>
  <si>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</si>
  <si>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</si>
  <si>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</si>
  <si>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</si>
  <si>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</si>
  <si>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</si>
  <si>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</si>
  <si>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</si>
  <si>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</si>
  <si>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</si>
  <si>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</si>
  <si>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</si>
  <si>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</si>
  <si>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</si>
  <si>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</si>
  <si>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</si>
  <si>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</si>
  <si>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</si>
  <si>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</si>
  <si>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</si>
  <si>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</si>
  <si>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</si>
  <si>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</si>
  <si>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</si>
  <si>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</si>
  <si>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</si>
  <si>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</si>
  <si>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</si>
  <si>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</si>
  <si>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</si>
  <si>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</si>
  <si>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</si>
  <si>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</si>
  <si>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</si>
  <si>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</si>
  <si>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</si>
  <si>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</si>
  <si>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</si>
  <si>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</si>
  <si>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</si>
  <si>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</si>
  <si>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</si>
  <si>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</si>
  <si>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</si>
  <si>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</si>
  <si>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</si>
  <si>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</si>
  <si>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</si>
  <si>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</si>
  <si>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</si>
  <si>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</si>
  <si>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</si>
  <si>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</si>
  <si>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</si>
  <si>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</si>
  <si>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</si>
  <si>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</si>
  <si>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</si>
  <si>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</si>
  <si>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</si>
  <si>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</si>
  <si>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</si>
  <si>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</si>
  <si>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</si>
  <si>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</si>
  <si>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</si>
  <si>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</si>
  <si>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</si>
  <si>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</si>
  <si>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</si>
  <si>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</si>
  <si>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</si>
  <si>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</si>
  <si>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</si>
  <si>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</si>
  <si>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</si>
  <si>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</si>
  <si>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</si>
  <si>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</si>
  <si>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</si>
  <si>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</si>
  <si>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</si>
  <si>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</si>
  <si>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</si>
  <si>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</si>
  <si>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</si>
  <si>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</si>
  <si>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</si>
  <si>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</si>
  <si>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</si>
  <si>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</si>
  <si>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</si>
  <si>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</si>
  <si>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</si>
  <si>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</si>
  <si>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</si>
  <si>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</si>
  <si>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</si>
  <si>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</si>
  <si>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</si>
  <si>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</si>
  <si>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</si>
  <si>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</si>
  <si>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</si>
  <si>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</si>
  <si>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</si>
  <si>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</si>
  <si>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</si>
  <si>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</si>
  <si>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</si>
  <si>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</si>
  <si>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</si>
  <si>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</si>
  <si>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</si>
  <si>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</si>
  <si>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</si>
  <si>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</si>
  <si>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</si>
  <si>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</si>
  <si>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</si>
  <si>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</si>
  <si>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</si>
  <si>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</si>
  <si>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</si>
  <si>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</si>
  <si>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</si>
  <si>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</si>
  <si>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</si>
  <si>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</si>
  <si>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</si>
  <si>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</si>
  <si>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</si>
  <si>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</si>
  <si>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</si>
  <si>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</si>
  <si>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</si>
  <si>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</si>
  <si>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</si>
  <si>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</si>
  <si>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</si>
  <si>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</si>
  <si>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</si>
  <si>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</si>
  <si>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</si>
  <si>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</si>
  <si>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</si>
  <si>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</si>
  <si>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</si>
  <si>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</si>
  <si>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</si>
  <si>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</si>
  <si>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</si>
  <si>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</si>
  <si>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</si>
  <si>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</si>
  <si>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</si>
  <si>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</si>
  <si>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</si>
  <si>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</si>
  <si>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</si>
  <si>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</si>
  <si>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</si>
  <si>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</si>
  <si>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</si>
  <si>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</si>
  <si>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</si>
  <si>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</si>
  <si>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</si>
  <si>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</si>
  <si>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</si>
  <si>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</si>
  <si>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</si>
  <si>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</si>
  <si>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</si>
  <si>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</si>
  <si>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</si>
  <si>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</si>
  <si>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</si>
  <si>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</si>
  <si>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</si>
  <si>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</si>
  <si>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</si>
  <si>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</si>
  <si>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</si>
  <si>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</si>
  <si>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</si>
  <si>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</si>
  <si>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</si>
  <si>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</si>
  <si>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</si>
  <si>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</si>
  <si>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</si>
  <si>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</si>
  <si>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</si>
  <si>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</si>
  <si>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</si>
  <si>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</si>
  <si>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</si>
  <si>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</si>
  <si>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</si>
  <si>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</si>
  <si>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</si>
  <si>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</si>
  <si>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</si>
  <si>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</si>
  <si>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</si>
  <si>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</si>
  <si>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</si>
  <si>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</si>
  <si>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</si>
  <si>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</si>
  <si>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</si>
  <si>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</si>
  <si>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</si>
  <si>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</si>
  <si>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</si>
  <si>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</si>
  <si>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</si>
  <si>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</si>
  <si>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</si>
  <si>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</si>
  <si>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</si>
  <si>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</si>
  <si>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</si>
  <si>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</si>
  <si>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</si>
  <si>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</si>
  <si>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</si>
  <si>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</si>
  <si>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</si>
  <si>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</si>
  <si>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</si>
  <si>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</si>
  <si>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</si>
  <si>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</si>
  <si>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</si>
  <si>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</si>
  <si>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</si>
  <si>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</si>
  <si>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</si>
  <si>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</si>
  <si>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</si>
  <si>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</si>
  <si>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</si>
  <si>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</si>
  <si>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</si>
  <si>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</si>
  <si>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</si>
  <si>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</si>
  <si>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</si>
  <si>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</si>
  <si>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</si>
  <si>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</si>
  <si>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</si>
  <si>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</si>
  <si>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</si>
  <si>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</si>
  <si>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</si>
  <si>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</si>
  <si>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</si>
  <si>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</si>
  <si>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</si>
  <si>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</si>
  <si>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</si>
  <si>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</si>
  <si>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</si>
  <si>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</si>
  <si>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</si>
  <si>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</si>
  <si>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</si>
  <si>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</si>
  <si>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</si>
  <si>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</si>
  <si>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</si>
  <si>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</si>
  <si>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</si>
  <si>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</si>
  <si>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</si>
  <si>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</si>
  <si>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</si>
  <si>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</si>
  <si>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</si>
  <si>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</si>
  <si>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</si>
  <si>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</si>
  <si>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</si>
  <si>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</si>
  <si>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</si>
  <si>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</si>
  <si>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</si>
  <si>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</si>
  <si>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</si>
  <si>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</si>
  <si>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</si>
  <si>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</si>
  <si>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</si>
  <si>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</si>
  <si>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</si>
  <si>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</si>
  <si>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</si>
  <si>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</si>
  <si>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</si>
  <si>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</si>
  <si>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</si>
  <si>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</si>
  <si>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</si>
  <si>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</si>
  <si>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</si>
  <si>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</si>
  <si>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</si>
  <si>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</si>
  <si>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</si>
  <si>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</si>
  <si>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</si>
  <si>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</si>
  <si>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</si>
  <si>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</si>
  <si>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</si>
  <si>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</si>
  <si>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</si>
  <si>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</si>
  <si>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</si>
  <si>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</si>
  <si>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</si>
  <si>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</si>
  <si>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</si>
  <si>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</si>
  <si>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</si>
  <si>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</si>
  <si>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</si>
  <si>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</si>
  <si>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</si>
  <si>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</si>
  <si>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</si>
  <si>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</si>
  <si>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</si>
  <si>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</si>
  <si>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</si>
  <si>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</si>
  <si>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</si>
  <si>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</si>
  <si>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</si>
  <si>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</si>
  <si>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</si>
  <si>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</si>
  <si>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</si>
  <si>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</si>
  <si>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</si>
  <si>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</si>
  <si>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</si>
  <si>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</si>
  <si>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</si>
  <si>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</si>
  <si>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</si>
  <si>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</si>
  <si>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</si>
  <si>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</si>
  <si>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</si>
  <si>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</si>
  <si>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</si>
  <si>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</si>
  <si>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</si>
  <si>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</si>
  <si>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</si>
  <si>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</si>
  <si>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</si>
  <si>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</si>
  <si>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</si>
  <si>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</si>
  <si>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</si>
  <si>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</si>
  <si>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</si>
  <si>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</si>
  <si>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</si>
  <si>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</si>
  <si>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</si>
  <si>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</si>
  <si>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</si>
  <si>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</si>
  <si>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</si>
  <si>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</si>
  <si>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</si>
  <si>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</si>
  <si>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</si>
  <si>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</si>
  <si>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</si>
  <si>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</si>
  <si>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</si>
  <si>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</si>
  <si>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</si>
  <si>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</si>
  <si>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</si>
  <si>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</si>
  <si>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</si>
  <si>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</si>
  <si>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</si>
  <si>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</si>
  <si>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</si>
  <si>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</si>
  <si>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</si>
  <si>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</si>
  <si>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</si>
  <si>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</si>
  <si>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</si>
  <si>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</si>
  <si>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</si>
  <si>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</si>
  <si>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</si>
  <si>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</si>
  <si>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</si>
  <si>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</si>
  <si>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</si>
  <si>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</si>
  <si>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</si>
  <si>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</si>
  <si>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</si>
  <si>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</si>
  <si>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</si>
  <si>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</si>
  <si>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</si>
  <si>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</si>
  <si>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</si>
  <si>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</si>
  <si>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</si>
  <si>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</si>
  <si>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</si>
  <si>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</si>
  <si>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</si>
  <si>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</si>
  <si>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</si>
  <si>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</si>
  <si>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</si>
  <si>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</si>
  <si>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</si>
  <si>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</si>
  <si>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</si>
  <si>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</si>
  <si>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</si>
  <si>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</si>
  <si>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</si>
  <si>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</si>
  <si>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</si>
  <si>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</si>
  <si>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</si>
  <si>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</si>
  <si>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</si>
  <si>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</si>
  <si>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</si>
  <si>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</si>
  <si>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</si>
  <si>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</si>
  <si>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</si>
  <si>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</si>
  <si>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</si>
  <si>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</si>
  <si>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</si>
  <si>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</si>
  <si>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</si>
  <si>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</si>
  <si>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</si>
  <si>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</si>
  <si>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</si>
  <si>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</si>
  <si>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</si>
  <si>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</si>
  <si>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</si>
  <si>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</si>
  <si>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</si>
  <si>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</si>
  <si>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</si>
  <si>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</si>
  <si>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</si>
  <si>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</si>
  <si>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</si>
  <si>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</si>
  <si>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</si>
  <si>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</si>
  <si>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</si>
  <si>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</si>
  <si>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</si>
  <si>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</si>
  <si>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</si>
  <si>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</si>
  <si>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</si>
  <si>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</si>
  <si>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</si>
  <si>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</si>
  <si>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</si>
  <si>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</si>
  <si>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</si>
  <si>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</si>
  <si>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</si>
  <si>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</si>
  <si>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</si>
  <si>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</si>
  <si>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</si>
  <si>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</si>
  <si>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</si>
  <si>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</si>
  <si>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</si>
  <si>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</si>
  <si>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</si>
  <si>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</si>
  <si>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</si>
  <si>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</si>
  <si>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</si>
  <si>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</si>
  <si>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</si>
  <si>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</si>
  <si>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</si>
  <si>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</si>
  <si>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</si>
  <si>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</si>
  <si>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</si>
  <si>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</si>
  <si>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</si>
  <si>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</si>
  <si>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</si>
  <si>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</si>
  <si>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</si>
  <si>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</si>
  <si>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</si>
  <si>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</si>
  <si>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</si>
  <si>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</si>
  <si>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</si>
  <si>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</si>
  <si>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</si>
  <si>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</si>
  <si>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</si>
  <si>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</si>
  <si>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</si>
  <si>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</si>
  <si>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</si>
  <si>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</si>
  <si>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</si>
  <si>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</si>
  <si>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</si>
  <si>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</si>
  <si>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</si>
  <si>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</si>
  <si>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</si>
  <si>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</si>
  <si>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</si>
  <si>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</si>
  <si>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</si>
  <si>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</si>
  <si>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</si>
  <si>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</si>
  <si>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</si>
  <si>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</si>
  <si>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</si>
  <si>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</si>
  <si>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</si>
  <si>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</si>
  <si>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</si>
  <si>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</si>
  <si>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</si>
  <si>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</si>
  <si>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</si>
  <si>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</si>
  <si>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</si>
  <si>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</si>
  <si>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</si>
  <si>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</si>
  <si>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</si>
  <si>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</si>
  <si>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</si>
  <si>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</si>
  <si>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</si>
  <si>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</si>
  <si>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</si>
  <si>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</si>
  <si>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</si>
  <si>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</si>
  <si>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</si>
  <si>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</si>
  <si>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</si>
  <si>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</si>
  <si>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</si>
  <si>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</si>
  <si>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</si>
  <si>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</si>
  <si>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</si>
  <si>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</si>
  <si>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</si>
  <si>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</si>
  <si>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</si>
  <si>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</si>
  <si>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</si>
  <si>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</si>
  <si>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</si>
  <si>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</si>
  <si>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</si>
  <si>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</si>
  <si>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</si>
  <si>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</si>
  <si>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</si>
  <si>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</si>
  <si>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</si>
  <si>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</si>
  <si>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</si>
  <si>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</si>
  <si>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</si>
  <si>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</si>
  <si>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</si>
  <si>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</si>
  <si>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</si>
  <si>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</si>
  <si>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</si>
  <si>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</si>
  <si>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</si>
  <si>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</si>
  <si>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</si>
  <si>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</si>
  <si>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</si>
  <si>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</si>
  <si>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</si>
  <si>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</si>
  <si>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</si>
  <si>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</si>
  <si>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</si>
  <si>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</si>
  <si>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</si>
  <si>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</si>
  <si>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</si>
  <si>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</si>
  <si>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</si>
  <si>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</si>
  <si>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</si>
  <si>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</si>
  <si>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</si>
  <si>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</si>
  <si>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</si>
  <si>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</si>
  <si>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</si>
  <si>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</si>
  <si>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</si>
  <si>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</si>
  <si>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</si>
  <si>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</si>
  <si>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</si>
  <si>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</si>
  <si>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</si>
  <si>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</si>
  <si>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</si>
  <si>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</si>
  <si>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</si>
  <si>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</si>
  <si>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</si>
  <si>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</si>
  <si>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</si>
  <si>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</si>
  <si>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</si>
  <si>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</si>
  <si>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</si>
  <si>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</si>
  <si>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</si>
  <si>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</si>
  <si>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</si>
  <si>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</si>
  <si>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</si>
  <si>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</si>
  <si>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</si>
  <si>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</si>
  <si>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</si>
  <si>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</si>
  <si>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</si>
  <si>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</si>
  <si>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</si>
  <si>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</si>
  <si>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</si>
  <si>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</si>
  <si>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</si>
  <si>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</si>
  <si>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</si>
  <si>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</si>
  <si>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</si>
  <si>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</si>
  <si>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</si>
  <si>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</si>
  <si>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</si>
  <si>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</si>
  <si>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</si>
  <si>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</si>
  <si>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</si>
  <si>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</si>
  <si>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</si>
  <si>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</si>
  <si>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</si>
  <si>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</si>
  <si>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</si>
  <si>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</si>
  <si>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</si>
  <si>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</si>
  <si>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</si>
  <si>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</si>
  <si>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</si>
  <si>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</si>
  <si>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</si>
  <si>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</si>
  <si>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</si>
  <si>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</si>
  <si>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</si>
  <si>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</si>
  <si>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</si>
  <si>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</si>
  <si>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</si>
  <si>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</si>
  <si>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</si>
  <si>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</si>
  <si>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</si>
  <si>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</si>
  <si>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</si>
  <si>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</si>
  <si>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</si>
  <si>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</si>
  <si>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</si>
  <si>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</si>
  <si>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</si>
  <si>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</si>
  <si>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</si>
  <si>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</si>
  <si>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</si>
  <si>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</si>
  <si>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</si>
  <si>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</si>
  <si>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</si>
  <si>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</si>
  <si>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</si>
  <si>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</si>
  <si>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</si>
  <si>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</si>
  <si>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</si>
  <si>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</si>
  <si>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</si>
  <si>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</si>
  <si>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</si>
  <si>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</si>
  <si>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</si>
  <si>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</si>
  <si>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</si>
  <si>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</si>
  <si>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</si>
  <si>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</si>
  <si>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</si>
  <si>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</si>
  <si>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</si>
  <si>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</si>
  <si>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</si>
  <si>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</si>
  <si>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</si>
  <si>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</si>
  <si>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</si>
  <si>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</si>
  <si>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</si>
  <si>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</si>
  <si>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</si>
  <si>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</si>
  <si>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</si>
  <si>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</si>
  <si>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</si>
  <si>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</si>
  <si>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</si>
  <si>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</si>
  <si>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</si>
  <si>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</si>
  <si>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</si>
  <si>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</si>
  <si>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</si>
  <si>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</si>
  <si>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</si>
  <si>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</si>
  <si>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</si>
  <si>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</si>
  <si>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</si>
  <si>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</si>
  <si>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</si>
  <si>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</si>
  <si>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</si>
  <si>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</si>
  <si>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</si>
  <si>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</si>
  <si>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</si>
  <si>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</si>
  <si>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</si>
  <si>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</si>
  <si>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</si>
  <si>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</si>
  <si>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</si>
  <si>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</si>
  <si>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</si>
  <si>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</si>
  <si>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</si>
  <si>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</si>
  <si>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</si>
  <si>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</si>
  <si>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</si>
  <si>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</si>
  <si>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</si>
  <si>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</si>
  <si>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</si>
  <si>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</si>
  <si>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</si>
  <si>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</si>
  <si>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</si>
  <si>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</si>
  <si>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</si>
  <si>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</si>
  <si>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</si>
  <si>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</si>
  <si>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</si>
  <si>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</si>
  <si>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</si>
  <si>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</si>
  <si>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</si>
  <si>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</si>
  <si>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</si>
  <si>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</si>
  <si>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</si>
  <si>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</si>
  <si>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</si>
  <si>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</si>
  <si>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</si>
  <si>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</si>
  <si>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</si>
  <si>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</si>
  <si>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</si>
  <si>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</si>
  <si>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</si>
  <si>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</si>
  <si>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</si>
  <si>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</si>
  <si>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</si>
  <si>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</si>
  <si>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</si>
  <si>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</si>
  <si>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</si>
  <si>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</si>
  <si>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</si>
  <si>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</si>
  <si>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</si>
  <si>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</si>
  <si>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</si>
  <si>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</si>
  <si>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</si>
  <si>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</si>
  <si>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</si>
  <si>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</si>
  <si>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</si>
  <si>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</si>
  <si>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</si>
  <si>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</si>
  <si>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</si>
  <si>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</si>
  <si>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</si>
  <si>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</si>
  <si>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</si>
  <si>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</si>
  <si>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</si>
  <si>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</si>
  <si>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</si>
  <si>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</si>
  <si>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</si>
  <si>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</si>
  <si>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</si>
  <si>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</si>
  <si>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</si>
  <si>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</si>
  <si>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</si>
  <si>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</si>
  <si>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</si>
  <si>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</si>
  <si>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</si>
  <si>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</si>
  <si>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</si>
  <si>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</si>
  <si>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</si>
  <si>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</si>
  <si>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</si>
  <si>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</si>
  <si>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</si>
  <si>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</si>
  <si>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</si>
  <si>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</si>
  <si>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</si>
  <si>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</si>
  <si>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</si>
  <si>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</si>
  <si>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</si>
  <si>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</si>
  <si>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</si>
  <si>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</si>
  <si>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</si>
  <si>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</si>
  <si>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</si>
  <si>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</si>
  <si>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</si>
  <si>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</si>
  <si>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</si>
  <si>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</si>
  <si>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</si>
  <si>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</si>
  <si>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</si>
  <si>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</si>
  <si>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</si>
  <si>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</si>
  <si>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</si>
  <si>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</si>
  <si>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</si>
  <si>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</si>
  <si>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</si>
  <si>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</si>
  <si>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</si>
  <si>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</si>
  <si>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</si>
  <si>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</si>
  <si>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</si>
  <si>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</si>
  <si>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</si>
  <si>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</si>
  <si>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</si>
  <si>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</si>
  <si>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</si>
  <si>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</si>
  <si>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</si>
  <si>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</si>
  <si>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</si>
  <si>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</si>
  <si>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</si>
  <si>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</si>
  <si>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</si>
  <si>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</si>
  <si>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</si>
  <si>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</si>
  <si>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</si>
  <si>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</si>
  <si>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</si>
  <si>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</si>
  <si>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</si>
  <si>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</si>
  <si>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</si>
  <si>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</si>
  <si>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</si>
  <si>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</si>
  <si>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</si>
  <si>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</si>
  <si>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</si>
  <si>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</si>
  <si>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</si>
  <si>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</si>
  <si>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</si>
  <si>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</si>
  <si>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</si>
  <si>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</si>
  <si>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</si>
  <si>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</si>
  <si>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</si>
  <si>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</si>
  <si>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</si>
  <si>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</si>
  <si>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</si>
  <si>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</si>
  <si>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</si>
  <si>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</si>
  <si>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</si>
  <si>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</si>
  <si>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</si>
  <si>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</si>
  <si>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</si>
  <si>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</si>
  <si>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</si>
  <si>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</si>
  <si>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</si>
  <si>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</si>
  <si>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</si>
  <si>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</si>
  <si>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</si>
  <si>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</si>
  <si>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</si>
  <si>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</si>
  <si>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</si>
  <si>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</si>
  <si>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</si>
  <si>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</si>
  <si>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</si>
  <si>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</si>
  <si>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</si>
  <si>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</si>
  <si>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</si>
  <si>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</si>
  <si>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</si>
  <si>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</si>
  <si>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</si>
  <si>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</si>
  <si>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</si>
  <si>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</si>
  <si>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</si>
  <si>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</si>
  <si>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</si>
  <si>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</si>
  <si>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</si>
  <si>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</si>
  <si>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</si>
  <si>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</si>
  <si>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</si>
  <si>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</si>
  <si>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</si>
  <si>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</si>
  <si>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</si>
  <si>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</si>
  <si>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</si>
  <si>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</si>
  <si>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</si>
  <si>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</si>
  <si>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</si>
  <si>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</si>
  <si>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</si>
  <si>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</si>
  <si>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</si>
  <si>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</si>
  <si>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</si>
  <si>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</si>
  <si>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</si>
  <si>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</si>
  <si>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</si>
  <si>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</si>
  <si>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</si>
  <si>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</si>
  <si>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</si>
  <si>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</si>
  <si>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</si>
  <si>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</si>
  <si>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</si>
  <si>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</si>
  <si>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</si>
  <si>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</si>
  <si>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</si>
  <si>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</si>
  <si>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</si>
  <si>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</si>
  <si>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</si>
  <si>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</si>
  <si>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</si>
  <si>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</si>
  <si>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</si>
  <si>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</si>
  <si>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</si>
  <si>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</si>
  <si>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</si>
  <si>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</si>
  <si>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</si>
  <si>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</si>
  <si>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</si>
  <si>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</si>
  <si>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</si>
  <si>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</si>
  <si>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</si>
  <si>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</si>
  <si>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</si>
  <si>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</si>
  <si>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</si>
  <si>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</si>
  <si>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</si>
  <si>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</si>
  <si>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</si>
  <si>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</si>
  <si>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</si>
  <si>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</si>
  <si>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</si>
  <si>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</si>
  <si>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</si>
  <si>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</si>
  <si>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</si>
  <si>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</si>
  <si>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</si>
  <si>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</si>
  <si>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</si>
  <si>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</si>
  <si>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</si>
  <si>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</si>
  <si>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</si>
  <si>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</si>
  <si>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</si>
  <si>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</si>
  <si>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</si>
  <si>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</si>
  <si>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</si>
  <si>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</si>
  <si>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</si>
  <si>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</si>
  <si>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</si>
  <si>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</si>
  <si>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</si>
  <si>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</si>
  <si>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</si>
  <si>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</si>
  <si>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</si>
  <si>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</si>
  <si>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</si>
  <si>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</si>
  <si>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</si>
  <si>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</si>
  <si>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</si>
  <si>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</si>
  <si>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</si>
  <si>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</si>
  <si>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</si>
  <si>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</si>
  <si>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</si>
  <si>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</si>
  <si>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</si>
  <si>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</si>
  <si>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</si>
  <si>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</si>
  <si>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</si>
  <si>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</si>
  <si>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</si>
  <si>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</si>
  <si>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</si>
  <si>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</si>
  <si>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</si>
  <si>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</si>
  <si>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</si>
  <si>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</si>
  <si>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</si>
  <si>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</si>
  <si>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</si>
  <si>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</si>
  <si>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</si>
  <si>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</si>
  <si>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</si>
  <si>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</si>
  <si>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</si>
  <si>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</si>
  <si>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</si>
  <si>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</si>
  <si>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</si>
  <si>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</si>
  <si>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</si>
  <si>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</si>
  <si>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</si>
  <si>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</si>
  <si>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</si>
  <si>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</si>
  <si>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</si>
  <si>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</si>
  <si>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</si>
  <si>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</si>
  <si>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</si>
  <si>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</si>
  <si>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</si>
  <si>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</si>
  <si>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</si>
  <si>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</si>
  <si>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</si>
  <si>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</si>
  <si>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</si>
  <si>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</si>
  <si>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</si>
  <si>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</si>
  <si>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</si>
  <si>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</si>
  <si>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</si>
  <si>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</si>
  <si>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</si>
  <si>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</si>
  <si>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</si>
  <si>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</si>
  <si>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</si>
  <si>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</si>
  <si>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</si>
  <si>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</si>
  <si>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</si>
  <si>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</si>
  <si>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</si>
  <si>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</si>
  <si>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</si>
  <si>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</si>
  <si>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</si>
  <si>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</si>
  <si>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</si>
  <si>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</si>
  <si>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</si>
  <si>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</si>
  <si>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</si>
  <si>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</si>
  <si>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</si>
  <si>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</si>
  <si>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</si>
  <si>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</si>
  <si>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</si>
  <si>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</si>
  <si>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</si>
  <si>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</si>
  <si>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</si>
  <si>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</si>
  <si>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</si>
  <si>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</si>
  <si>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</si>
  <si>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</si>
  <si>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</si>
  <si>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</si>
  <si>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</si>
  <si>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</si>
  <si>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</si>
  <si>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</si>
  <si>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</si>
  <si>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</si>
  <si>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</si>
  <si>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</si>
  <si>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</si>
  <si>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</si>
  <si>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</si>
  <si>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</si>
  <si>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</si>
  <si>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</si>
  <si>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</si>
  <si>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</si>
  <si>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</si>
  <si>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</si>
  <si>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</si>
  <si>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</si>
  <si>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</si>
  <si>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</si>
  <si>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</si>
  <si>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</si>
  <si>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</si>
  <si>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</si>
  <si>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</si>
  <si>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</si>
  <si>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</si>
  <si>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</si>
  <si>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</si>
  <si>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</si>
  <si>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</si>
  <si>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</si>
  <si>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</si>
  <si>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</si>
  <si>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</si>
  <si>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</si>
  <si>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</si>
  <si>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</si>
  <si>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</si>
  <si>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</si>
  <si>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</si>
  <si>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</si>
  <si>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</si>
  <si>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</si>
  <si>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</si>
  <si>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</si>
  <si>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</si>
  <si>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</si>
  <si>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</si>
  <si>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</si>
  <si>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</si>
  <si>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</si>
  <si>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</si>
  <si>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</si>
  <si>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</si>
  <si>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</si>
  <si>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</si>
  <si>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</si>
  <si>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</si>
  <si>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</si>
  <si>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</si>
  <si>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</si>
  <si>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</si>
  <si>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</si>
  <si>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</si>
  <si>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</si>
  <si>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</si>
  <si>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</si>
  <si>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</si>
  <si>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</si>
  <si>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</si>
  <si>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</si>
  <si>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</si>
  <si>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</si>
  <si>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</si>
  <si>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</si>
  <si>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</si>
  <si>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</si>
  <si>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</si>
  <si>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</si>
  <si>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</si>
  <si>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</si>
  <si>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</si>
  <si>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</si>
  <si>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</si>
  <si>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</si>
  <si>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</si>
  <si>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</si>
  <si>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</si>
  <si>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</si>
  <si>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</si>
  <si>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</si>
  <si>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</si>
  <si>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</si>
  <si>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</si>
  <si>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</si>
  <si>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</si>
  <si>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</si>
  <si>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</si>
  <si>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</si>
  <si>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</si>
  <si>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</si>
  <si>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</si>
  <si>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</si>
  <si>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</si>
  <si>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</si>
  <si>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</si>
  <si>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</si>
  <si>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</si>
  <si>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</si>
  <si>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</si>
  <si>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</si>
  <si>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</si>
  <si>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</si>
  <si>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</si>
  <si>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</si>
  <si>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</si>
  <si>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</si>
  <si>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</si>
  <si>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</si>
  <si>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</si>
  <si>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</si>
  <si>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</si>
  <si>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</si>
  <si>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</si>
  <si>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</si>
  <si>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</si>
  <si>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</si>
  <si>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</si>
  <si>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</si>
  <si>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</si>
  <si>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</si>
  <si>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</si>
  <si>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</si>
  <si>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</si>
  <si>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</si>
  <si>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</si>
  <si>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</si>
  <si>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</si>
  <si>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</si>
  <si>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</si>
  <si>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</si>
  <si>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</si>
  <si>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</si>
  <si>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</si>
  <si>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</si>
  <si>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</si>
  <si>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</si>
  <si>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</si>
  <si>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</si>
  <si>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</si>
  <si>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</si>
  <si>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</si>
  <si>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</si>
  <si>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</si>
  <si>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</si>
  <si>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</si>
  <si>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</si>
  <si>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</si>
  <si>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</si>
  <si>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</si>
  <si>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</si>
  <si>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</si>
  <si>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</si>
  <si>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</si>
  <si>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</si>
  <si>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</si>
  <si>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</si>
  <si>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</si>
  <si>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</si>
  <si>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</si>
  <si>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</si>
  <si>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</si>
  <si>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</si>
  <si>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</si>
  <si>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</si>
  <si>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</si>
  <si>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</si>
  <si>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</si>
  <si>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</si>
  <si>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</si>
  <si>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</si>
  <si>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</si>
  <si>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</si>
  <si>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</si>
  <si>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</si>
  <si>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</si>
  <si>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</si>
  <si>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</si>
  <si>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</si>
  <si>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</si>
  <si>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</si>
  <si>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</si>
  <si>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</si>
  <si>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</si>
  <si>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</si>
  <si>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</si>
  <si>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</si>
  <si>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</si>
  <si>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</si>
  <si>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</si>
  <si>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</si>
  <si>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</si>
  <si>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</si>
  <si>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</si>
  <si>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</si>
  <si>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</si>
  <si>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</si>
  <si>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</si>
  <si>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</si>
  <si>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</si>
  <si>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</si>
  <si>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</si>
  <si>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</si>
  <si>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</si>
  <si>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</si>
  <si>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</si>
  <si>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</si>
  <si>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</si>
  <si>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</si>
  <si>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</si>
  <si>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</si>
  <si>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</si>
  <si>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</si>
  <si>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</si>
  <si>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</si>
  <si>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</si>
  <si>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</si>
  <si>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</si>
  <si>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</si>
  <si>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</si>
  <si>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</si>
  <si>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</si>
  <si>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</si>
  <si>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</si>
  <si>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</si>
  <si>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</si>
  <si>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</si>
  <si>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</si>
  <si>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</si>
  <si>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</si>
  <si>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</si>
  <si>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</si>
  <si>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</si>
  <si>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</si>
  <si>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</si>
  <si>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</si>
  <si>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</si>
  <si>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</si>
  <si>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</si>
  <si>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</si>
  <si>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</si>
  <si>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</si>
  <si>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</si>
  <si>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</si>
  <si>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</si>
  <si>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</si>
  <si>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</si>
  <si>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</si>
  <si>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</si>
  <si>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</si>
  <si>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</si>
  <si>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</si>
  <si>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</si>
  <si>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</si>
  <si>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</si>
  <si>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</si>
  <si>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</si>
  <si>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</si>
  <si>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</si>
  <si>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</si>
  <si>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</si>
  <si>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</si>
  <si>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</si>
  <si>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</si>
  <si>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</si>
  <si>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</si>
  <si>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</si>
  <si>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</si>
  <si>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</si>
  <si>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</si>
  <si>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</si>
  <si>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</si>
  <si>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</si>
  <si>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</si>
  <si>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</si>
  <si>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</si>
  <si>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</si>
  <si>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</si>
  <si>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</si>
  <si>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</si>
  <si>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</si>
  <si>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</si>
  <si>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</si>
  <si>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</si>
  <si>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</si>
  <si>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</si>
  <si>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</si>
  <si>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</si>
  <si>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</si>
  <si>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</si>
  <si>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</si>
  <si>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</si>
  <si>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</si>
  <si>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</si>
  <si>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</si>
  <si>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</si>
  <si>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</si>
  <si>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</si>
  <si>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</si>
  <si>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</si>
  <si>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</si>
  <si>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</si>
  <si>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</si>
  <si>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</si>
  <si>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</si>
  <si>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</si>
  <si>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</si>
  <si>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</si>
  <si>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</si>
  <si>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</si>
  <si>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</si>
  <si>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</si>
  <si>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</si>
  <si>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</si>
  <si>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</si>
  <si>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</si>
  <si>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</si>
  <si>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</si>
  <si>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</si>
  <si>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</si>
  <si>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</si>
  <si>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</si>
  <si>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</si>
  <si>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</si>
  <si>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</si>
  <si>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</si>
  <si>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</si>
  <si>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</si>
  <si>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</si>
  <si>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</si>
  <si>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</si>
  <si>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</si>
  <si>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</si>
  <si>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</si>
  <si>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</si>
  <si>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</si>
  <si>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</si>
  <si>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</si>
  <si>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</si>
  <si>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</si>
  <si>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</si>
  <si>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</si>
  <si>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</si>
  <si>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</si>
  <si>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</si>
  <si>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</si>
  <si>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</si>
  <si>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</si>
  <si>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</si>
  <si>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</si>
  <si>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</si>
  <si>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</si>
  <si>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</si>
  <si>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</si>
  <si>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</si>
  <si>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</si>
  <si>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</si>
  <si>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</si>
  <si>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</si>
  <si>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</si>
  <si>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</si>
  <si>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</si>
  <si>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</si>
  <si>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</si>
  <si>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</si>
  <si>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</si>
  <si>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</si>
  <si>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</si>
  <si>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</si>
  <si>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</si>
  <si>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</si>
  <si>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</si>
  <si>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</si>
  <si>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</si>
  <si>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</si>
  <si>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</si>
  <si>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</si>
  <si>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</si>
  <si>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</si>
  <si>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</si>
  <si>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</si>
  <si>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</si>
  <si>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</si>
  <si>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</si>
  <si>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</si>
  <si>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</si>
  <si>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</si>
  <si>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</si>
  <si>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</si>
  <si>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</si>
  <si>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</si>
  <si>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</si>
  <si>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</si>
  <si>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</si>
  <si>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</si>
  <si>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</si>
  <si>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</si>
  <si>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</si>
  <si>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</si>
  <si>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</si>
  <si>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</si>
  <si>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</si>
  <si>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</si>
  <si>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</si>
  <si>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</si>
  <si>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</si>
  <si>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</si>
  <si>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</si>
  <si>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</si>
  <si>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</si>
  <si>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</si>
  <si>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</si>
  <si>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</si>
  <si>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</si>
  <si>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</si>
  <si>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</si>
  <si>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</si>
  <si>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</si>
  <si>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</si>
  <si>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</si>
  <si>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</si>
  <si>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</si>
  <si>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</si>
  <si>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</si>
  <si>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</si>
  <si>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</si>
  <si>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</si>
  <si>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</si>
  <si>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</si>
  <si>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</si>
  <si>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</si>
  <si>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</si>
  <si>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</si>
  <si>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</si>
  <si>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</si>
  <si>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</si>
  <si>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</si>
  <si>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</si>
  <si>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</si>
  <si>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</si>
  <si>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</si>
  <si>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</si>
  <si>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</si>
  <si>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</si>
  <si>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</si>
  <si>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</si>
  <si>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</si>
  <si>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</si>
  <si>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</si>
  <si>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</si>
  <si>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</si>
  <si>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</si>
  <si>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</si>
  <si>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</si>
  <si>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</si>
  <si>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</si>
  <si>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</si>
  <si>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</si>
  <si>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</si>
  <si>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</si>
  <si>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</si>
  <si>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</si>
  <si>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</si>
  <si>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</si>
  <si>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</si>
  <si>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</si>
  <si>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</si>
  <si>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</si>
  <si>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</si>
  <si>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</si>
  <si>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</si>
  <si>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</si>
  <si>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</si>
  <si>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</si>
  <si>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</si>
  <si>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</si>
  <si>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</si>
  <si>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</si>
  <si>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</si>
  <si>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</si>
  <si>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</si>
  <si>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</si>
  <si>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</si>
  <si>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</si>
  <si>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</si>
  <si>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</si>
  <si>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</si>
  <si>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</si>
  <si>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</si>
  <si>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</si>
  <si>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</si>
  <si>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</si>
  <si>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</si>
  <si>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</si>
  <si>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</si>
  <si>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</si>
  <si>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</si>
  <si>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</si>
  <si>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</si>
  <si>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</si>
  <si>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</si>
  <si>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</si>
  <si>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</si>
  <si>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</si>
  <si>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</si>
  <si>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</si>
  <si>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</si>
  <si>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</si>
  <si>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</si>
  <si>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</si>
  <si>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</si>
  <si>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</si>
  <si>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</si>
  <si>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</si>
  <si>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</si>
  <si>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</si>
  <si>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</si>
  <si>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</si>
  <si>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</si>
  <si>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</si>
  <si>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</si>
  <si>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</si>
  <si>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</si>
  <si>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</si>
  <si>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</si>
  <si>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</si>
  <si>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</si>
  <si>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</si>
  <si>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</si>
  <si>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</si>
  <si>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</si>
  <si>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</si>
  <si>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</si>
  <si>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</si>
  <si>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</si>
  <si>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</si>
  <si>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</si>
  <si>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</si>
  <si>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</si>
  <si>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</si>
  <si>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</si>
  <si>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</si>
  <si>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</si>
  <si>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</si>
  <si>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</si>
  <si>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</si>
  <si>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</si>
  <si>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</si>
  <si>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</si>
  <si>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</si>
  <si>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</si>
  <si>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</si>
  <si>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</si>
  <si>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</si>
  <si>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</si>
  <si>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</si>
  <si>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</si>
  <si>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</si>
  <si>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</si>
  <si>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</si>
  <si>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</si>
  <si>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</si>
  <si>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</si>
  <si>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</si>
  <si>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</si>
  <si>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</si>
  <si>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</si>
  <si>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</si>
  <si>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</si>
  <si>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</si>
  <si>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</si>
  <si>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</si>
  <si>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</si>
  <si>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</si>
  <si>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</si>
  <si>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</si>
  <si>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</si>
  <si>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</si>
  <si>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</si>
  <si>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</si>
  <si>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</si>
  <si>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</si>
  <si>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</si>
  <si>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</si>
  <si>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</si>
  <si>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</si>
  <si>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</si>
  <si>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</si>
  <si>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</si>
  <si>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</si>
  <si>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</si>
  <si>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</si>
  <si>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</si>
  <si>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</si>
  <si>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</si>
  <si>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</si>
  <si>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</si>
  <si>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</si>
  <si>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</si>
  <si>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</si>
  <si>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</si>
  <si>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</si>
  <si>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</si>
  <si>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</si>
  <si>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</si>
  <si>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</si>
  <si>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</si>
  <si>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</si>
  <si>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</si>
  <si>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</si>
  <si>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</si>
  <si>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</si>
  <si>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</si>
  <si>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</si>
  <si>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</si>
  <si>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</si>
  <si>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</si>
  <si>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</si>
  <si>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</si>
  <si>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</si>
  <si>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</si>
  <si>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</si>
  <si>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</si>
  <si>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</si>
  <si>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</si>
  <si>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</si>
  <si>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</si>
  <si>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</si>
  <si>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</si>
  <si>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</si>
  <si>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</si>
  <si>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</si>
  <si>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</si>
  <si>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</si>
  <si>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</si>
  <si>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</si>
  <si>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</si>
  <si>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</si>
  <si>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</si>
  <si>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</si>
  <si>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</si>
  <si>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</si>
  <si>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</si>
  <si>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</si>
  <si>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</si>
  <si>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</si>
  <si>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</si>
  <si>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</si>
  <si>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</si>
  <si>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</si>
  <si>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</si>
  <si>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</si>
  <si>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</si>
  <si>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</si>
  <si>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</si>
  <si>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</si>
  <si>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</si>
  <si>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</si>
  <si>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</si>
  <si>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</si>
  <si>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</si>
  <si>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</si>
  <si>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</si>
  <si>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</si>
  <si>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</si>
  <si>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</si>
  <si>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</si>
  <si>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</si>
  <si>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</si>
  <si>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</si>
  <si>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</si>
  <si>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</si>
  <si>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</si>
  <si>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</si>
  <si>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</si>
  <si>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</si>
  <si>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</si>
  <si>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</si>
  <si>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</si>
  <si>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</si>
  <si>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</si>
  <si>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</si>
  <si>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</si>
  <si>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</si>
  <si>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</si>
  <si>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</si>
  <si>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</si>
  <si>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</si>
  <si>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</si>
  <si>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</si>
  <si>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</si>
  <si>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</si>
  <si>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</si>
  <si>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</si>
  <si>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</si>
  <si>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</si>
  <si>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</si>
  <si>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</si>
  <si>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</si>
  <si>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</si>
  <si>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</si>
  <si>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</si>
  <si>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</si>
  <si>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</si>
  <si>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</si>
  <si>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</si>
  <si>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</si>
  <si>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</si>
  <si>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</si>
  <si>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</si>
  <si>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</si>
  <si>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</si>
  <si>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</si>
  <si>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</si>
  <si>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</si>
  <si>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</si>
  <si>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</si>
  <si>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</si>
  <si>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</si>
  <si>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</si>
  <si>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</si>
  <si>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</si>
  <si>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</si>
  <si>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</si>
  <si>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</si>
  <si>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</si>
  <si>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</si>
  <si>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</si>
  <si>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</si>
  <si>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</si>
  <si>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</si>
  <si>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</si>
  <si>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</si>
  <si>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</si>
  <si>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</si>
  <si>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</si>
  <si>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</si>
  <si>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</si>
  <si>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</si>
  <si>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</si>
  <si>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</si>
  <si>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</si>
  <si>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</si>
  <si>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</si>
  <si>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</si>
  <si>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</si>
  <si>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</si>
  <si>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</si>
  <si>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</si>
  <si>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</si>
  <si>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</si>
  <si>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</si>
  <si>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</si>
  <si>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</si>
  <si>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</si>
  <si>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</si>
  <si>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</si>
  <si>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</si>
  <si>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</si>
  <si>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</si>
  <si>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</si>
  <si>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</si>
  <si>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</si>
  <si>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</si>
  <si>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</si>
  <si>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</si>
  <si>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</si>
  <si>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</si>
  <si>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</si>
  <si>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</si>
  <si>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</si>
  <si>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</si>
  <si>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</si>
  <si>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</si>
  <si>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</si>
  <si>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</si>
  <si>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</si>
  <si>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</si>
  <si>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</si>
  <si>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</si>
  <si>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</si>
  <si>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</si>
  <si>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</si>
  <si>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</si>
  <si>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</si>
  <si>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</si>
  <si>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</si>
  <si>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</si>
  <si>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</si>
  <si>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</si>
  <si>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</si>
  <si>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</si>
  <si>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</si>
  <si>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</si>
  <si>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</si>
  <si>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</si>
  <si>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</si>
  <si>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</si>
  <si>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</si>
  <si>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</si>
  <si>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</si>
  <si>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</si>
  <si>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</si>
  <si>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</si>
  <si>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</si>
  <si>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</si>
  <si>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</si>
  <si>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</si>
  <si>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</si>
  <si>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</si>
  <si>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</si>
  <si>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</si>
  <si>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</si>
  <si>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</si>
  <si>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</si>
  <si>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</si>
  <si>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</si>
  <si>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</si>
  <si>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</si>
  <si>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</si>
  <si>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</si>
  <si>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</si>
  <si>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</si>
  <si>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</si>
  <si>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</si>
  <si>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</si>
  <si>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</si>
  <si>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</si>
  <si>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</si>
  <si>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</si>
  <si>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</si>
  <si>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</si>
  <si>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</si>
  <si>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</si>
  <si>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</si>
  <si>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</si>
  <si>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</si>
  <si>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</si>
  <si>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</si>
  <si>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</si>
  <si>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</si>
  <si>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</si>
  <si>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</si>
  <si>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</si>
  <si>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</si>
  <si>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</si>
  <si>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</si>
  <si>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</si>
  <si>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</si>
  <si>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</si>
  <si>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</si>
  <si>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</si>
  <si>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</si>
  <si>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</si>
  <si>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</si>
  <si>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</si>
  <si>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</si>
  <si>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</si>
  <si>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</si>
  <si>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</si>
  <si>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</si>
  <si>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</si>
  <si>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</si>
  <si>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</si>
  <si>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</si>
  <si>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</si>
  <si>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</si>
  <si>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</si>
  <si>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</si>
  <si>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</si>
  <si>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</si>
  <si>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</si>
  <si>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</si>
  <si>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</si>
  <si>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</si>
  <si>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</si>
  <si>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</si>
  <si>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</si>
  <si>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</si>
  <si>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</si>
  <si>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</si>
  <si>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</si>
  <si>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</si>
  <si>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</si>
  <si>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</si>
  <si>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</si>
  <si>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</si>
  <si>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</si>
  <si>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</si>
  <si>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</si>
  <si>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</si>
  <si>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</si>
  <si>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</si>
  <si>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</si>
  <si>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</si>
  <si>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</si>
  <si>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</si>
  <si>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</si>
  <si>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</si>
  <si>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</si>
  <si>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</si>
  <si>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</si>
  <si>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</si>
  <si>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</si>
  <si>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</si>
  <si>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</si>
  <si>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</si>
  <si>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</si>
  <si>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</si>
  <si>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</si>
  <si>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</si>
  <si>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</si>
  <si>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</si>
  <si>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</si>
  <si>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</si>
  <si>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</si>
  <si>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</si>
  <si>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</si>
  <si>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</si>
  <si>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</si>
  <si>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</si>
  <si>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</si>
  <si>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</si>
  <si>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</si>
  <si>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</si>
  <si>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</si>
  <si>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</si>
  <si>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</si>
  <si>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</si>
  <si>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</si>
  <si>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</si>
  <si>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</si>
  <si>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</si>
  <si>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</si>
  <si>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</si>
  <si>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</si>
  <si>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</si>
  <si>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</si>
  <si>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</si>
  <si>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</si>
  <si>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</si>
  <si>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</si>
  <si>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</si>
  <si>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</si>
  <si>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</si>
  <si>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</si>
  <si>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</si>
  <si>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</si>
  <si>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</si>
  <si>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</si>
  <si>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</si>
  <si>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</si>
  <si>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</si>
  <si>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</si>
  <si>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</si>
  <si>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</si>
  <si>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</si>
  <si>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</si>
  <si>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</si>
  <si>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</si>
  <si>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</si>
  <si>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</si>
  <si>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</si>
  <si>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</si>
  <si>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</si>
  <si>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</si>
  <si>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</si>
  <si>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</si>
  <si>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</si>
  <si>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</si>
  <si>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</si>
  <si>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</si>
  <si>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</si>
  <si>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</si>
  <si>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</si>
  <si>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</si>
  <si>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</si>
  <si>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</si>
  <si>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</si>
  <si>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</si>
  <si>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</si>
  <si>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</si>
  <si>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</si>
  <si>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</si>
  <si>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</si>
  <si>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</si>
  <si>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</si>
  <si>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</si>
  <si>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</si>
  <si>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</si>
  <si>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</si>
  <si>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</si>
  <si>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</si>
  <si>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</si>
  <si>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</si>
  <si>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</si>
  <si>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</si>
  <si>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</si>
  <si>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</si>
  <si>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</si>
  <si>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</si>
  <si>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</si>
  <si>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</si>
  <si>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</si>
  <si>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</si>
  <si>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</si>
  <si>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</si>
  <si>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</si>
  <si>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</si>
  <si>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</si>
  <si>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</si>
  <si>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</si>
  <si>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</si>
  <si>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</si>
  <si>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</si>
  <si>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</si>
  <si>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</si>
  <si>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</si>
  <si>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</si>
  <si>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</si>
  <si>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</si>
  <si>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</si>
  <si>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</si>
  <si>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</si>
  <si>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</si>
  <si>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</si>
  <si>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</si>
  <si>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</si>
  <si>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</si>
  <si>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</si>
  <si>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</si>
  <si>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</si>
  <si>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</si>
  <si>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</si>
  <si>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</si>
  <si>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</si>
  <si>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</si>
  <si>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</si>
  <si>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</si>
  <si>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</si>
  <si>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</si>
  <si>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</si>
  <si>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</si>
  <si>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</si>
  <si>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</si>
  <si>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</si>
  <si>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</si>
  <si>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</si>
  <si>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</si>
  <si>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</si>
  <si>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</si>
  <si>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</si>
  <si>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</si>
  <si>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</si>
  <si>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</si>
  <si>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</si>
  <si>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</si>
  <si>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</si>
  <si>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</si>
  <si>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</si>
  <si>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</si>
  <si>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</si>
  <si>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</si>
  <si>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</si>
  <si>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</si>
  <si>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</si>
  <si>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</si>
  <si>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</si>
  <si>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</si>
  <si>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</si>
  <si>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</si>
  <si>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</si>
  <si>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</si>
  <si>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</si>
  <si>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</si>
  <si>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</si>
  <si>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</si>
  <si>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</si>
  <si>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</si>
  <si>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</si>
  <si>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</si>
  <si>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</si>
  <si>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</si>
  <si>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</si>
  <si>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</si>
  <si>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</si>
  <si>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</si>
  <si>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</si>
  <si>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</si>
  <si>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</si>
  <si>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</si>
  <si>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</si>
  <si>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</si>
  <si>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</si>
  <si>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</si>
  <si>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</si>
  <si>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</si>
  <si>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</si>
  <si>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</si>
  <si>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</si>
  <si>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</si>
  <si>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</si>
  <si>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</si>
  <si>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</si>
  <si>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</si>
  <si>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</si>
  <si>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</si>
  <si>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</si>
  <si>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</si>
  <si>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</si>
  <si>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</si>
  <si>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</si>
  <si>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</si>
  <si>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</si>
  <si>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</si>
  <si>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</si>
  <si>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</si>
  <si>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</si>
  <si>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</si>
  <si>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</si>
  <si>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</si>
  <si>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</si>
  <si>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</si>
  <si>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</si>
  <si>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</si>
  <si>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</si>
  <si>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</si>
  <si>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</si>
  <si>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</si>
  <si>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</si>
  <si>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</si>
  <si>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</si>
  <si>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</si>
  <si>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</si>
  <si>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</si>
  <si>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</si>
  <si>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</si>
  <si>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</si>
  <si>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</si>
  <si>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</si>
  <si>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</si>
  <si>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</si>
  <si>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</si>
  <si>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</si>
  <si>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</si>
  <si>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</si>
  <si>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</si>
  <si>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</si>
  <si>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</si>
  <si>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</si>
  <si>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</si>
  <si>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</si>
  <si>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</si>
  <si>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</si>
  <si>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</si>
  <si>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</si>
  <si>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</si>
  <si>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</si>
  <si>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</si>
  <si>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</si>
  <si>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</si>
  <si>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</si>
  <si>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</si>
  <si>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</si>
  <si>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</si>
  <si>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</si>
  <si>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</si>
  <si>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</si>
  <si>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</si>
  <si>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</si>
  <si>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</si>
  <si>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</si>
  <si>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</si>
  <si>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</si>
  <si>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</si>
  <si>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</si>
  <si>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</si>
  <si>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</si>
  <si>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</si>
  <si>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</si>
  <si>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</si>
  <si>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</si>
  <si>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</si>
  <si>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</si>
  <si>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</si>
  <si>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</si>
  <si>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</si>
  <si>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</si>
  <si>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</si>
  <si>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</si>
  <si>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</si>
  <si>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</si>
  <si>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</si>
  <si>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</si>
  <si>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</si>
  <si>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</si>
  <si>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</si>
  <si>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</si>
  <si>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</si>
  <si>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</si>
  <si>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</si>
  <si>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</si>
  <si>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</si>
  <si>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</si>
  <si>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</si>
  <si>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</si>
  <si>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</si>
  <si>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</si>
  <si>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</si>
  <si>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</si>
  <si>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</si>
  <si>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</si>
  <si>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</si>
  <si>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</si>
  <si>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</si>
  <si>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</si>
  <si>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</si>
  <si>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</si>
  <si>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</si>
  <si>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</si>
  <si>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</si>
  <si>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</si>
  <si>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</si>
  <si>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</si>
  <si>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</si>
  <si>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</si>
  <si>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</si>
  <si>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</si>
  <si>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</si>
  <si>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</si>
  <si>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</si>
  <si>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</si>
  <si>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</si>
  <si>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</si>
  <si>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</si>
  <si>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</si>
  <si>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</si>
  <si>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</si>
  <si>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</si>
  <si>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</si>
  <si>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</si>
  <si>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</si>
  <si>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</si>
  <si>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</si>
  <si>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</si>
  <si>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</si>
  <si>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</si>
  <si>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</si>
  <si>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</si>
  <si>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</si>
  <si>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</si>
  <si>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</si>
  <si>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</si>
  <si>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</si>
  <si>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</si>
  <si>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</si>
  <si>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</si>
  <si>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</si>
  <si>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</si>
  <si>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</si>
  <si>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</si>
  <si>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</si>
  <si>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</si>
  <si>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</si>
  <si>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</si>
  <si>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</si>
  <si>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</si>
  <si>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</si>
  <si>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</si>
  <si>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</si>
  <si>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</si>
  <si>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</si>
  <si>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</si>
  <si>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</si>
  <si>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</si>
  <si>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</si>
  <si>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</si>
  <si>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</si>
  <si>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</si>
  <si>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</si>
  <si>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</si>
  <si>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</si>
  <si>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</si>
  <si>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</si>
  <si>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</si>
  <si>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</si>
  <si>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</si>
  <si>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</si>
  <si>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</si>
  <si>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</si>
  <si>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</si>
  <si>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</si>
  <si>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</si>
  <si>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</si>
  <si>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</si>
  <si>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</si>
  <si>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</si>
  <si>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</si>
  <si>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</si>
  <si>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</si>
  <si>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</si>
  <si>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</si>
  <si>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</si>
  <si>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</si>
  <si>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</si>
  <si>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</si>
  <si>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</si>
  <si>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</si>
  <si>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</si>
  <si>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</si>
  <si>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</si>
  <si>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</si>
  <si>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</si>
  <si>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</si>
  <si>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</si>
  <si>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</si>
  <si>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</si>
  <si>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</si>
  <si>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</si>
  <si>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</si>
  <si>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</si>
  <si>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</si>
  <si>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</si>
  <si>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</si>
  <si>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</si>
  <si>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</si>
  <si>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</si>
  <si>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</si>
  <si>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</si>
  <si>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</si>
  <si>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</si>
  <si>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</si>
  <si>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</si>
  <si>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</si>
  <si>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</si>
  <si>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</si>
  <si>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</si>
  <si>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</si>
  <si>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</si>
  <si>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</si>
  <si>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</si>
  <si>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</si>
  <si>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</si>
  <si>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</si>
  <si>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</si>
  <si>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</si>
  <si>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</si>
  <si>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</si>
  <si>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</si>
  <si>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</si>
  <si>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</si>
  <si>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</si>
  <si>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</si>
  <si>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</si>
  <si>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</si>
  <si>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</si>
  <si>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</si>
  <si>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</si>
  <si>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</si>
  <si>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</si>
  <si>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</si>
  <si>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</si>
  <si>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</si>
  <si>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</si>
  <si>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</si>
  <si>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</si>
  <si>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</si>
  <si>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</si>
  <si>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</si>
  <si>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</si>
  <si>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</si>
  <si>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</si>
  <si>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</si>
  <si>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</si>
  <si>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</si>
  <si>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</si>
  <si>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</si>
  <si>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</si>
  <si>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</si>
  <si>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</si>
  <si>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</si>
  <si>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</si>
  <si>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</si>
  <si>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</si>
  <si>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</si>
  <si>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</si>
  <si>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</si>
  <si>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</si>
  <si>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</si>
  <si>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</si>
  <si>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</si>
  <si>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</si>
  <si>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</si>
  <si>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</si>
  <si>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</si>
  <si>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</si>
  <si>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</si>
  <si>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</si>
  <si>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</si>
  <si>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</si>
  <si>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</si>
  <si>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</si>
  <si>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</si>
  <si>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</si>
  <si>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</si>
  <si>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</si>
  <si>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</si>
  <si>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</si>
  <si>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</si>
  <si>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</si>
  <si>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</si>
  <si>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</si>
  <si>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</si>
  <si>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</si>
  <si>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</si>
  <si>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</si>
  <si>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</si>
  <si>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</si>
  <si>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</si>
  <si>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</si>
  <si>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</si>
  <si>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</si>
  <si>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</si>
  <si>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</si>
  <si>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</si>
  <si>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</si>
  <si>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</si>
  <si>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</si>
  <si>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</si>
  <si>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</si>
  <si>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</si>
  <si>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</si>
  <si>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</si>
  <si>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</si>
  <si>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</si>
  <si>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</si>
  <si>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</si>
  <si>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</si>
  <si>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</si>
  <si>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</si>
  <si>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</si>
  <si>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</si>
  <si>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</si>
  <si>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</si>
  <si>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</si>
  <si>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</si>
  <si>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</si>
  <si>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</si>
  <si>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</si>
  <si>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</si>
  <si>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</si>
  <si>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</si>
  <si>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</si>
  <si>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</si>
  <si>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</si>
  <si>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</si>
  <si>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</si>
  <si>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</si>
  <si>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</si>
  <si>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</si>
  <si>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</si>
  <si>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</si>
  <si>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</si>
  <si>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</si>
  <si>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</si>
  <si>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</si>
  <si>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</si>
  <si>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</si>
  <si>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</si>
  <si>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</si>
  <si>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</si>
  <si>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</si>
  <si>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</si>
  <si>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</si>
  <si>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</si>
  <si>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</si>
  <si>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</si>
  <si>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</si>
  <si>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</si>
  <si>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</si>
  <si>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</si>
  <si>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</si>
  <si>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</si>
  <si>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</si>
  <si>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</si>
  <si>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</si>
  <si>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</si>
  <si>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</si>
  <si>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</si>
  <si>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</si>
  <si>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</si>
  <si>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</si>
  <si>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</si>
  <si>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</si>
  <si>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</si>
  <si>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</si>
  <si>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</si>
  <si>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</si>
  <si>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</si>
  <si>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</si>
  <si>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</si>
  <si>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</si>
  <si>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</si>
  <si>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</si>
  <si>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</si>
  <si>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</si>
  <si>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</si>
  <si>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</si>
  <si>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</si>
  <si>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</si>
  <si>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</si>
  <si>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</si>
  <si>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</si>
  <si>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</si>
  <si>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</si>
  <si>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</si>
  <si>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</si>
  <si>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</si>
  <si>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</si>
  <si>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</si>
  <si>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</si>
  <si>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</si>
  <si>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</si>
  <si>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</si>
  <si>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</si>
  <si>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</si>
  <si>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</si>
  <si>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</si>
  <si>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</si>
  <si>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</si>
  <si>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</si>
  <si>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</si>
  <si>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</si>
  <si>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</si>
  <si>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</si>
  <si>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</si>
  <si>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</si>
  <si>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</si>
  <si>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</si>
  <si>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</si>
  <si>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</si>
  <si>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</si>
  <si>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</si>
  <si>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</si>
  <si>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</si>
  <si>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</si>
  <si>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</si>
  <si>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</si>
  <si>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</si>
  <si>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</si>
  <si>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</si>
  <si>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</si>
  <si>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</si>
  <si>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</si>
  <si>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</si>
  <si>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</si>
  <si>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</si>
  <si>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</si>
  <si>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</si>
  <si>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</si>
  <si>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</si>
  <si>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</si>
  <si>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</si>
  <si>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</si>
  <si>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</si>
  <si>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</si>
  <si>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</si>
  <si>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</si>
  <si>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</si>
  <si>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</si>
  <si>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</si>
  <si>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</si>
  <si>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</si>
  <si>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</si>
  <si>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</si>
  <si>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</si>
  <si>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</si>
  <si>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</si>
  <si>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</si>
  <si>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</si>
  <si>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</si>
  <si>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</si>
  <si>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</si>
  <si>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</si>
  <si>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</si>
  <si>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</si>
  <si>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</si>
  <si>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</si>
  <si>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</si>
  <si>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</si>
  <si>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</si>
  <si>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</si>
  <si>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</si>
  <si>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</si>
  <si>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</si>
  <si>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</si>
  <si>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</si>
  <si>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</si>
  <si>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</si>
  <si>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</si>
  <si>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</si>
  <si>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</si>
  <si>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</si>
  <si>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</si>
  <si>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</si>
  <si>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</si>
  <si>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</si>
  <si>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</si>
  <si>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</si>
  <si>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</si>
  <si>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</si>
  <si>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</si>
  <si>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</si>
  <si>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</si>
  <si>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</si>
  <si>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</si>
  <si>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</si>
  <si>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</si>
  <si>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</si>
  <si>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</si>
  <si>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</si>
  <si>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</si>
  <si>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</si>
  <si>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</si>
  <si>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</si>
  <si>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</si>
  <si>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</si>
  <si>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</si>
  <si>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</si>
  <si>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</si>
  <si>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</si>
  <si>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</si>
  <si>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</si>
  <si>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</si>
  <si>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</si>
  <si>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</si>
  <si>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</si>
  <si>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</si>
  <si>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</si>
  <si>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</si>
  <si>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</si>
  <si>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</si>
  <si>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</si>
  <si>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</si>
  <si>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</si>
  <si>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</si>
  <si>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</si>
  <si>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</si>
  <si>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</si>
  <si>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</si>
  <si>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</si>
  <si>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</si>
  <si>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</si>
  <si>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</si>
  <si>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</si>
  <si>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</si>
  <si>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</si>
  <si>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</si>
  <si>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</si>
  <si>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</si>
  <si>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</si>
  <si>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</si>
  <si>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</si>
  <si>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</si>
  <si>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</si>
  <si>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</si>
  <si>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</si>
  <si>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</si>
  <si>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</si>
  <si>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</si>
  <si>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</si>
  <si>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</si>
  <si>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</si>
  <si>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</si>
  <si>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</si>
  <si>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</si>
  <si>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</si>
  <si>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</si>
  <si>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</si>
  <si>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</si>
  <si>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</si>
  <si>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</si>
  <si>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</si>
  <si>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</si>
  <si>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</si>
  <si>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</si>
  <si>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</si>
  <si>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</si>
  <si>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</si>
  <si>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</si>
  <si>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</si>
  <si>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</si>
  <si>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</si>
  <si>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</si>
  <si>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</si>
  <si>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</si>
  <si>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</si>
  <si>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</si>
  <si>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</si>
  <si>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</si>
  <si>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</si>
  <si>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</si>
  <si>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</si>
  <si>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</si>
  <si>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</si>
  <si>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</si>
  <si>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</si>
  <si>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</si>
  <si>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</si>
  <si>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</si>
  <si>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</si>
  <si>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</si>
  <si>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</si>
  <si>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</si>
  <si>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</si>
  <si>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</si>
  <si>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</si>
  <si>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</si>
  <si>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</si>
  <si>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</si>
  <si>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</si>
  <si>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</si>
  <si>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</si>
  <si>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</si>
  <si>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</si>
  <si>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</si>
  <si>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</si>
  <si>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</si>
  <si>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</si>
  <si>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</si>
  <si>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</si>
  <si>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</si>
  <si>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</si>
  <si>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</si>
  <si>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</si>
  <si>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</si>
  <si>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</si>
  <si>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</si>
  <si>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</si>
  <si>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</si>
  <si>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</si>
  <si>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</si>
  <si>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</si>
  <si>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</si>
  <si>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</si>
  <si>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</si>
  <si>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</si>
  <si>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</si>
  <si>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</si>
  <si>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</si>
  <si>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</si>
  <si>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</si>
  <si>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</si>
  <si>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</si>
  <si>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</si>
  <si>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</si>
  <si>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</si>
  <si>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</si>
  <si>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</si>
  <si>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</si>
  <si>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</si>
  <si>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</si>
  <si>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</si>
  <si>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</si>
  <si>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</si>
  <si>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</si>
  <si>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</si>
  <si>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</si>
  <si>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</si>
  <si>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</si>
  <si>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</si>
  <si>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</si>
  <si>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</si>
  <si>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</si>
  <si>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</si>
  <si>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</si>
  <si>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</si>
  <si>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</si>
  <si>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</si>
  <si>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</si>
  <si>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</si>
  <si>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</si>
  <si>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</si>
  <si>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</si>
  <si>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</si>
  <si>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</si>
  <si>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</si>
  <si>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</si>
  <si>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</si>
  <si>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</si>
  <si>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</si>
  <si>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</si>
  <si>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</si>
  <si>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</si>
  <si>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</si>
  <si>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</si>
  <si>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</si>
  <si>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</si>
  <si>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</si>
  <si>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</si>
  <si>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</si>
  <si>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</si>
  <si>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</si>
  <si>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</si>
  <si>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</si>
  <si>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</si>
  <si>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</si>
  <si>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</si>
  <si>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</si>
  <si>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</si>
  <si>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</si>
  <si>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</si>
  <si>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</si>
  <si>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</si>
  <si>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</si>
  <si>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</si>
  <si>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</si>
  <si>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</si>
  <si>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</si>
  <si>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</si>
  <si>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</si>
  <si>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</si>
  <si>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</si>
  <si>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</si>
  <si>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</si>
  <si>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</si>
  <si>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</si>
  <si>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</si>
  <si>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</si>
  <si>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</si>
  <si>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</si>
  <si>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</si>
  <si>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</si>
  <si>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</si>
  <si>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</si>
  <si>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</si>
  <si>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</si>
  <si>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</si>
  <si>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</si>
  <si>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</si>
  <si>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</si>
  <si>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</si>
  <si>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</si>
  <si>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</si>
  <si>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</si>
  <si>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</si>
  <si>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</si>
  <si>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</si>
  <si>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</si>
  <si>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</si>
  <si>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</si>
  <si>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</si>
  <si>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</si>
  <si>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</si>
  <si>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</si>
  <si>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</si>
  <si>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</si>
  <si>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</si>
  <si>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</si>
  <si>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</si>
  <si>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</si>
  <si>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</si>
  <si>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</si>
  <si>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</si>
  <si>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</si>
  <si>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</si>
  <si>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</si>
  <si>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</si>
  <si>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</si>
  <si>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</si>
  <si>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</si>
  <si>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</si>
  <si>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</si>
  <si>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</si>
  <si>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</si>
  <si>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</si>
  <si>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</si>
  <si>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</si>
  <si>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</si>
  <si>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</si>
  <si>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</si>
  <si>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</si>
  <si>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</si>
  <si>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</si>
  <si>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</si>
  <si>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</si>
  <si>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</si>
  <si>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</si>
  <si>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</si>
  <si>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</si>
  <si>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</si>
  <si>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</si>
  <si>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</si>
  <si>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</si>
  <si>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</si>
  <si>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</si>
  <si>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</si>
  <si>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</si>
  <si>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</si>
  <si>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</si>
  <si>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</si>
  <si>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</si>
  <si>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</si>
  <si>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</si>
  <si>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</si>
  <si>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</si>
  <si>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</si>
  <si>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</si>
  <si>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</si>
  <si>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</si>
  <si>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</si>
  <si>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</si>
  <si>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</si>
  <si>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</si>
  <si>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</si>
  <si>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</si>
  <si>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</si>
  <si>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</si>
  <si>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</si>
  <si>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</si>
  <si>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</si>
  <si>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</si>
  <si>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</si>
  <si>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</si>
  <si>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</si>
  <si>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</si>
  <si>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</si>
  <si>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</si>
  <si>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</si>
  <si>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</si>
  <si>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</si>
  <si>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</si>
  <si>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</si>
  <si>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</si>
  <si>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</si>
  <si>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</si>
  <si>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</si>
  <si>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</si>
  <si>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</si>
  <si>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</si>
  <si>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</si>
  <si>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</si>
  <si>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</si>
  <si>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</si>
  <si>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</si>
  <si>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</si>
  <si>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</si>
  <si>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</si>
  <si>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</si>
  <si>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</si>
  <si>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</si>
  <si>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</si>
  <si>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</si>
  <si>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</si>
  <si>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</si>
  <si>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</si>
  <si>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</si>
  <si>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</si>
  <si>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</si>
  <si>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</si>
  <si>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</si>
  <si>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</si>
  <si>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</si>
  <si>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</si>
  <si>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</si>
  <si>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</si>
  <si>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</si>
  <si>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</si>
  <si>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</si>
  <si>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</si>
  <si>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</si>
  <si>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</si>
  <si>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</si>
  <si>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</si>
  <si>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</si>
  <si>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</si>
  <si>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</si>
  <si>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</si>
  <si>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</si>
  <si>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</si>
  <si>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</si>
  <si>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</si>
  <si>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</si>
  <si>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</si>
  <si>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</si>
  <si>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</si>
  <si>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</si>
  <si>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</si>
  <si>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</si>
  <si>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</si>
  <si>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</si>
  <si>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</si>
  <si>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</si>
  <si>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</si>
  <si>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</si>
  <si>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</si>
  <si>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</si>
  <si>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</si>
  <si>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</si>
  <si>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</si>
  <si>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</si>
  <si>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</si>
  <si>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</si>
  <si>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</si>
  <si>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</si>
  <si>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</si>
  <si>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</si>
  <si>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</si>
  <si>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</si>
  <si>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</si>
  <si>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</si>
  <si>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</si>
  <si>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</si>
  <si>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</si>
  <si>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</si>
  <si>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</si>
  <si>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</si>
  <si>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</si>
  <si>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</si>
  <si>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</si>
  <si>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</si>
  <si>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</si>
  <si>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</si>
  <si>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</si>
  <si>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</si>
  <si>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</si>
  <si>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</si>
  <si>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</si>
  <si>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</si>
  <si>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</si>
  <si>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</si>
  <si>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</si>
  <si>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</si>
  <si>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</si>
  <si>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</si>
  <si>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</si>
  <si>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</si>
  <si>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</si>
  <si>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</si>
  <si>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</si>
  <si>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</si>
  <si>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</si>
  <si>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</si>
  <si>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</si>
  <si>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</si>
  <si>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</si>
  <si>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</si>
  <si>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</si>
  <si>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</si>
  <si>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</si>
  <si>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</si>
  <si>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</si>
  <si>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</si>
  <si>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</si>
  <si>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</si>
  <si>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</si>
  <si>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</si>
  <si>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</si>
  <si>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</si>
  <si>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</si>
  <si>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</si>
  <si>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</si>
  <si>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</si>
  <si>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</si>
  <si>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</si>
  <si>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</si>
  <si>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</si>
  <si>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</si>
  <si>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</si>
  <si>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</si>
  <si>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</si>
  <si>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</si>
  <si>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</si>
  <si>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</si>
  <si>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</si>
  <si>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</si>
  <si>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</si>
  <si>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</si>
  <si>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</si>
  <si>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</si>
  <si>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</si>
  <si>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</si>
  <si>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</si>
  <si>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</si>
  <si>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</si>
  <si>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</si>
  <si>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</si>
  <si>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</si>
  <si>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</si>
  <si>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</si>
  <si>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</si>
  <si>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</si>
  <si>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</si>
  <si>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</si>
  <si>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</si>
  <si>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</si>
  <si>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</si>
  <si>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</si>
  <si>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</si>
  <si>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</si>
  <si>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</si>
  <si>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</si>
  <si>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</si>
  <si>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</si>
  <si>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</si>
  <si>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</si>
  <si>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</si>
  <si>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</si>
  <si>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</si>
  <si>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</si>
  <si>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</si>
  <si>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</si>
  <si>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</si>
  <si>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</si>
  <si>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</si>
  <si>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</si>
  <si>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</si>
  <si>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</si>
  <si>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</si>
  <si>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</si>
  <si>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</si>
  <si>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</si>
  <si>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</si>
  <si>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</si>
  <si>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</si>
  <si>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</si>
  <si>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</si>
  <si>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</si>
  <si>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</si>
  <si>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</si>
  <si>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</si>
  <si>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</si>
  <si>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</si>
  <si>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</si>
  <si>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</si>
  <si>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</si>
  <si>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</si>
  <si>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</si>
  <si>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</si>
  <si>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</si>
  <si>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</si>
  <si>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</si>
  <si>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</si>
  <si>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</si>
  <si>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</si>
  <si>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</si>
  <si>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</si>
  <si>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</si>
  <si>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</si>
  <si>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</si>
  <si>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</si>
  <si>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</si>
  <si>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</si>
  <si>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</si>
  <si>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</si>
  <si>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</si>
  <si>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</si>
  <si>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</si>
  <si>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</si>
  <si>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</si>
  <si>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</si>
  <si>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</si>
  <si>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</si>
  <si>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</si>
  <si>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</si>
  <si>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</si>
  <si>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</si>
  <si>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</si>
  <si>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</si>
  <si>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</si>
  <si>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</si>
  <si>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</si>
  <si>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</si>
  <si>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</si>
  <si>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</si>
  <si>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</si>
  <si>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</si>
  <si>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</si>
  <si>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</si>
  <si>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</si>
  <si>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</si>
  <si>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</si>
  <si>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</si>
  <si>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</si>
  <si>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</si>
  <si>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</si>
  <si>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</si>
  <si>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</si>
  <si>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</si>
  <si>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</si>
  <si>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</si>
  <si>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</si>
  <si>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</si>
  <si>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</si>
  <si>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</si>
  <si>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</si>
  <si>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</si>
  <si>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</si>
  <si>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</si>
  <si>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</si>
  <si>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</si>
  <si>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</si>
  <si>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</si>
  <si>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</si>
  <si>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</si>
  <si>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</si>
  <si>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</si>
  <si>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</si>
  <si>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</si>
  <si>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</si>
  <si>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</si>
  <si>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</si>
  <si>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</si>
  <si>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</si>
  <si>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</si>
  <si>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</si>
  <si>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</si>
  <si>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</si>
  <si>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</si>
  <si>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</si>
  <si>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</si>
  <si>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</si>
  <si>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</si>
  <si>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</si>
  <si>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</si>
  <si>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</si>
  <si>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</si>
  <si>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</si>
  <si>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</si>
  <si>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</si>
  <si>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</si>
  <si>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</si>
  <si>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</si>
  <si>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</si>
  <si>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</si>
  <si>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</si>
  <si>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</si>
  <si>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</si>
  <si>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</si>
  <si>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</si>
  <si>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</si>
  <si>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</si>
  <si>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</si>
  <si>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</si>
  <si>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</si>
  <si>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</si>
  <si>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</si>
  <si>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</si>
  <si>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</si>
  <si>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</si>
  <si>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</si>
  <si>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</si>
  <si>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</si>
  <si>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</si>
  <si>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</si>
  <si>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</si>
  <si>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</si>
  <si>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</si>
  <si>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</si>
  <si>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</si>
  <si>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</si>
  <si>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</si>
  <si>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</si>
  <si>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</si>
  <si>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</si>
  <si>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</si>
  <si>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</si>
  <si>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</si>
  <si>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</si>
  <si>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</si>
  <si>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</si>
  <si>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</si>
  <si>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</si>
  <si>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</si>
  <si>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</si>
  <si>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</si>
  <si>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</si>
  <si>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</si>
  <si>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</si>
  <si>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</si>
  <si>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</si>
  <si>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</si>
  <si>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</si>
  <si>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</si>
  <si>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</si>
  <si>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</si>
  <si>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</si>
  <si>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</si>
  <si>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</si>
  <si>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</si>
  <si>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</si>
  <si>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</si>
  <si>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</si>
  <si>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</si>
  <si>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</si>
  <si>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</si>
  <si>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</si>
  <si>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</si>
  <si>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</si>
  <si>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</si>
  <si>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</si>
  <si>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</si>
  <si>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</si>
  <si>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</si>
  <si>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</si>
  <si>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</si>
  <si>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</si>
  <si>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</si>
  <si>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</si>
  <si>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</si>
  <si>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</si>
  <si>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</si>
  <si>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</si>
  <si>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</si>
  <si>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</si>
  <si>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</si>
  <si>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</si>
  <si>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</si>
  <si>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</si>
  <si>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</si>
  <si>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</si>
  <si>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</si>
  <si>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</si>
  <si>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</si>
  <si>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</si>
  <si>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</si>
  <si>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</si>
  <si>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</si>
  <si>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</si>
  <si>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</si>
  <si>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</si>
  <si>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</si>
  <si>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</si>
  <si>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</si>
  <si>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</si>
  <si>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</si>
  <si>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</si>
  <si>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</si>
  <si>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</si>
  <si>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</si>
  <si>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</si>
  <si>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</si>
  <si>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</si>
  <si>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</si>
  <si>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</si>
  <si>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</si>
  <si>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</si>
  <si>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</si>
  <si>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</si>
  <si>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</si>
  <si>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</si>
  <si>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</si>
  <si>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</si>
  <si>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</si>
  <si>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</si>
  <si>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</si>
  <si>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</si>
  <si>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</si>
  <si>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</si>
  <si>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</si>
  <si>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</si>
  <si>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</si>
  <si>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</si>
  <si>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</si>
  <si>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</si>
  <si>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</si>
  <si>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</si>
  <si>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</si>
  <si>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</si>
  <si>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</si>
  <si>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</si>
  <si>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</si>
  <si>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</si>
  <si>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</si>
  <si>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</si>
  <si>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</si>
  <si>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</si>
  <si>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</si>
  <si>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</si>
  <si>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</si>
  <si>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</si>
  <si>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</si>
  <si>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</si>
  <si>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</si>
  <si>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</si>
  <si>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</si>
  <si>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</si>
  <si>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</si>
  <si>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</si>
  <si>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</si>
  <si>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</si>
  <si>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</si>
  <si>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</si>
  <si>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</si>
  <si>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</si>
  <si>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</si>
  <si>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</si>
  <si>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</si>
  <si>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</si>
  <si>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</si>
  <si>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</si>
  <si>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</si>
  <si>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</si>
  <si>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</si>
  <si>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</si>
  <si>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</si>
  <si>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</si>
  <si>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</si>
  <si>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</si>
  <si>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</si>
  <si>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</si>
  <si>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</si>
  <si>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</si>
  <si>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</si>
  <si>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</si>
  <si>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</si>
  <si>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</si>
  <si>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</si>
  <si>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</si>
  <si>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</si>
  <si>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</si>
  <si>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</si>
  <si>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</si>
  <si>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</si>
  <si>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</si>
  <si>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</si>
  <si>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</si>
  <si>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</si>
  <si>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</si>
  <si>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</si>
  <si>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</si>
  <si>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</si>
  <si>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</si>
  <si>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</si>
  <si>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</si>
  <si>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</si>
  <si>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</si>
  <si>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</si>
  <si>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</si>
  <si>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</si>
  <si>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</si>
  <si>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</si>
  <si>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</si>
  <si>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</si>
  <si>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</si>
  <si>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</si>
  <si>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</si>
  <si>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</si>
  <si>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</si>
  <si>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</si>
  <si>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</si>
  <si>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</si>
  <si>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</si>
  <si>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</si>
  <si>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</si>
  <si>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</si>
  <si>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</si>
  <si>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</si>
  <si>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</si>
  <si>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</si>
  <si>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</si>
  <si>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</si>
  <si>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</si>
  <si>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</si>
  <si>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</si>
  <si>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</si>
  <si>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</si>
  <si>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</si>
  <si>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</si>
  <si>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</si>
  <si>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</si>
  <si>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</si>
  <si>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</si>
  <si>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</si>
  <si>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</si>
  <si>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</si>
  <si>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</si>
  <si>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</si>
  <si>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</si>
  <si>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</si>
  <si>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</si>
  <si>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</si>
  <si>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</si>
  <si>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</si>
  <si>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</si>
  <si>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</si>
  <si>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</si>
  <si>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</si>
  <si>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</si>
  <si>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</si>
  <si>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</si>
  <si>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</si>
  <si>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</si>
  <si>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</si>
  <si>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</si>
  <si>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</si>
  <si>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</si>
  <si>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</si>
  <si>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</si>
  <si>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</si>
  <si>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</si>
  <si>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</si>
  <si>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</si>
  <si>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</si>
  <si>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</si>
  <si>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</si>
  <si>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</si>
  <si>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</si>
  <si>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</si>
  <si>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</si>
  <si>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</si>
  <si>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</si>
  <si>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</si>
  <si>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</si>
  <si>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</si>
  <si>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</si>
  <si>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</si>
  <si>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</si>
  <si>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</si>
  <si>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</si>
  <si>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</si>
  <si>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</si>
  <si>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</si>
  <si>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</si>
  <si>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</si>
  <si>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</si>
  <si>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</si>
  <si>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</si>
  <si>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</si>
  <si>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</si>
  <si>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</si>
  <si>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</si>
  <si>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</si>
  <si>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</si>
  <si>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</si>
  <si>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</si>
  <si>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</si>
  <si>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</si>
  <si>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</si>
  <si>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</si>
  <si>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</si>
  <si>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</si>
  <si>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</si>
  <si>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</si>
  <si>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</si>
  <si>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</si>
  <si>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</si>
  <si>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</si>
  <si>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</si>
  <si>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</si>
  <si>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</si>
  <si>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</si>
  <si>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</si>
  <si>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</si>
  <si>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</si>
  <si>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</si>
  <si>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</si>
  <si>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</si>
  <si>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</si>
  <si>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</si>
  <si>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</si>
  <si>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</si>
  <si>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</si>
  <si>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</si>
  <si>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</si>
  <si>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</si>
  <si>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</si>
  <si>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</si>
  <si>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</si>
  <si>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</si>
  <si>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</si>
  <si>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</si>
  <si>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</si>
  <si>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</si>
  <si>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</si>
  <si>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</si>
  <si>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</si>
  <si>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</si>
  <si>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</si>
  <si>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</si>
  <si>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</si>
  <si>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</si>
  <si>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</si>
  <si>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</si>
  <si>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</si>
  <si>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</si>
  <si>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</si>
  <si>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</si>
  <si>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</si>
  <si>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</si>
  <si>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</si>
  <si>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</si>
  <si>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</si>
  <si>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</si>
  <si>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</si>
  <si>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</si>
  <si>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</si>
  <si>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</si>
  <si>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</si>
  <si>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</si>
  <si>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</si>
  <si>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</si>
  <si>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</si>
  <si>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</si>
  <si>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</si>
  <si>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</si>
  <si>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</si>
  <si>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</si>
  <si>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</si>
  <si>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</si>
  <si>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</si>
  <si>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</si>
  <si>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</si>
  <si>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</si>
  <si>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</si>
  <si>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</si>
  <si>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</si>
  <si>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</si>
  <si>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</si>
  <si>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</si>
  <si>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</si>
  <si>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</si>
  <si>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</si>
  <si>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</si>
  <si>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</si>
  <si>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</si>
  <si>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</si>
  <si>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</si>
  <si>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</si>
  <si>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</si>
  <si>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</si>
  <si>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</si>
  <si>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</si>
  <si>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</si>
  <si>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</si>
  <si>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</si>
  <si>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</si>
  <si>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</si>
  <si>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</si>
  <si>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</si>
  <si>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</si>
  <si>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</si>
  <si>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</si>
  <si>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</si>
  <si>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</si>
  <si>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</si>
  <si>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</si>
  <si>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</si>
  <si>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</si>
  <si>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</si>
  <si>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</si>
  <si>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</si>
  <si>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</si>
  <si>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</si>
  <si>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</si>
  <si>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</si>
  <si>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</si>
  <si>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</si>
  <si>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</si>
  <si>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</si>
  <si>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</si>
  <si>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</si>
  <si>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</si>
  <si>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</si>
  <si>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</si>
  <si>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</si>
  <si>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</si>
  <si>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</si>
  <si>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</si>
  <si>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</si>
  <si>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</si>
  <si>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</si>
  <si>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</si>
  <si>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</si>
  <si>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</si>
  <si>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</si>
  <si>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</si>
  <si>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</si>
  <si>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</si>
  <si>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</si>
  <si>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</si>
  <si>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</si>
  <si>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</si>
  <si>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</si>
  <si>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</si>
  <si>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</si>
  <si>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</si>
  <si>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</si>
  <si>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</si>
  <si>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</si>
  <si>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</si>
  <si>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</si>
  <si>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</si>
  <si>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</si>
  <si>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</si>
  <si>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</si>
  <si>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</si>
  <si>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</si>
  <si>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</si>
  <si>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</si>
  <si>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</si>
  <si>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</si>
  <si>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</si>
  <si>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</si>
  <si>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</si>
  <si>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</si>
  <si>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</si>
  <si>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</si>
  <si>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</si>
  <si>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</si>
  <si>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</si>
  <si>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</si>
  <si>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</si>
  <si>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</si>
  <si>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</si>
  <si>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</si>
  <si>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</si>
  <si>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</si>
  <si>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</si>
  <si>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</si>
  <si>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</si>
  <si>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</si>
  <si>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</si>
  <si>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</si>
  <si>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</si>
  <si>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</si>
  <si>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</si>
  <si>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</si>
  <si>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</si>
  <si>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</si>
  <si>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</si>
  <si>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</si>
  <si>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</si>
  <si>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</si>
  <si>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</si>
  <si>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</si>
  <si>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</si>
  <si>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</si>
  <si>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</si>
  <si>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</si>
  <si>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</si>
  <si>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</si>
  <si>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</si>
  <si>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</si>
  <si>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</si>
  <si>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</si>
  <si>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</si>
  <si>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</si>
  <si>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</si>
  <si>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</si>
  <si>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</si>
  <si>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</si>
  <si>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</si>
  <si>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</si>
  <si>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</si>
  <si>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</si>
  <si>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</si>
  <si>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</si>
  <si>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</si>
  <si>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</si>
  <si>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</si>
  <si>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</si>
  <si>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</si>
  <si>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</si>
  <si>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</si>
  <si>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</si>
  <si>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</si>
  <si>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</si>
  <si>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</si>
  <si>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</si>
  <si>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</si>
  <si>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</si>
  <si>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</si>
  <si>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</si>
  <si>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</si>
  <si>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</si>
  <si>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</si>
  <si>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</si>
  <si>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</si>
  <si>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</si>
  <si>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</si>
  <si>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</si>
  <si>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</si>
  <si>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</si>
  <si>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</si>
  <si>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</si>
  <si>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</si>
  <si>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</si>
  <si>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</si>
  <si>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</si>
  <si>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</si>
  <si>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</si>
  <si>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</si>
  <si>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</si>
  <si>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</si>
  <si>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</si>
  <si>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</si>
  <si>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</si>
  <si>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</si>
  <si>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</si>
  <si>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</si>
  <si>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</si>
  <si>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</si>
  <si>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</si>
  <si>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</si>
  <si>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</si>
  <si>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</si>
  <si>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</si>
  <si>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</si>
  <si>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</si>
  <si>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</si>
  <si>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</si>
  <si>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</si>
  <si>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</si>
  <si>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</si>
  <si>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</si>
  <si>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</si>
  <si>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</si>
  <si>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</si>
  <si>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</si>
  <si>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</si>
  <si>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</si>
  <si>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</si>
  <si>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</si>
  <si>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</si>
  <si>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</si>
  <si>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</si>
  <si>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</si>
  <si>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</si>
  <si>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</si>
  <si>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</si>
  <si>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</si>
  <si>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</si>
  <si>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</si>
  <si>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</si>
  <si>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</si>
  <si>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</si>
  <si>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</si>
  <si>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</si>
  <si>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</si>
  <si>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</si>
  <si>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</si>
  <si>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</si>
  <si>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</si>
  <si>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</si>
  <si>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</si>
  <si>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</si>
  <si>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</si>
  <si>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</si>
  <si>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</si>
  <si>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</si>
  <si>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</si>
  <si>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</si>
  <si>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</si>
  <si>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</si>
  <si>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</si>
  <si>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</si>
  <si>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</si>
  <si>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</si>
  <si>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</si>
  <si>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</si>
  <si>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</si>
  <si>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</si>
  <si>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</si>
  <si>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</si>
  <si>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</si>
  <si>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</si>
  <si>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</si>
  <si>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</si>
  <si>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</si>
  <si>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</si>
  <si>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</si>
  <si>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</si>
  <si>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</si>
  <si>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</si>
  <si>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</si>
  <si>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</si>
  <si>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</si>
  <si>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</si>
  <si>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</si>
  <si>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</si>
  <si>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</si>
  <si>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</si>
  <si>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</si>
  <si>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</si>
  <si>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</si>
  <si>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</si>
  <si>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</si>
  <si>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</si>
  <si>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</si>
  <si>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</si>
  <si>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</si>
  <si>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</si>
  <si>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</si>
  <si>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</si>
  <si>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</si>
  <si>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</si>
  <si>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</si>
  <si>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</si>
  <si>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</si>
  <si>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</si>
  <si>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</si>
  <si>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</si>
  <si>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</si>
  <si>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</si>
  <si>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</si>
  <si>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</si>
  <si>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</si>
  <si>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</si>
  <si>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</si>
  <si>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</si>
  <si>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</si>
  <si>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</si>
  <si>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</si>
  <si>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</si>
  <si>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</si>
  <si>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</si>
  <si>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</si>
  <si>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</si>
  <si>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</si>
  <si>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</si>
  <si>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</si>
  <si>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</si>
  <si>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</si>
  <si>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</si>
  <si>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</si>
  <si>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</si>
  <si>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</si>
  <si>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</si>
  <si>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</si>
  <si>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</si>
  <si>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</si>
  <si>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</si>
  <si>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</si>
  <si>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</si>
  <si>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</si>
  <si>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</si>
  <si>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</si>
  <si>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</si>
  <si>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</si>
  <si>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</si>
  <si>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</si>
  <si>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</si>
  <si>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</si>
  <si>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</si>
  <si>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</si>
  <si>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</si>
  <si>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</si>
  <si>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</si>
  <si>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</si>
  <si>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</si>
  <si>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</si>
  <si>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</si>
  <si>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</si>
  <si>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</si>
  <si>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</si>
  <si>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</si>
  <si>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</si>
  <si>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</si>
  <si>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</si>
  <si>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</si>
  <si>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</si>
  <si>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</si>
  <si>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</si>
  <si>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</si>
  <si>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</si>
  <si>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</si>
  <si>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</si>
  <si>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</si>
  <si>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</si>
  <si>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</si>
  <si>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</si>
  <si>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</si>
  <si>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</si>
  <si>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</si>
  <si>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</si>
  <si>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</si>
  <si>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</si>
  <si>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</si>
  <si>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</si>
  <si>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</si>
  <si>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</si>
  <si>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</si>
  <si>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</si>
  <si>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</si>
  <si>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</si>
  <si>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</si>
  <si>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</si>
  <si>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</si>
  <si>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</si>
  <si>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</si>
  <si>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</si>
  <si>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</si>
  <si>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</si>
  <si>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</si>
  <si>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</si>
  <si>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</si>
  <si>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</si>
  <si>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</si>
  <si>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</si>
  <si>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</si>
  <si>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</si>
  <si>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</si>
  <si>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</si>
  <si>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</si>
  <si>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</si>
  <si>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</si>
  <si>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</si>
  <si>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</si>
  <si>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</si>
  <si>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</si>
  <si>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</si>
  <si>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</si>
  <si>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</si>
  <si>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</si>
  <si>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</si>
  <si>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</si>
  <si>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</si>
  <si>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</si>
  <si>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</si>
  <si>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</si>
  <si>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</si>
  <si>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</si>
  <si>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</si>
  <si>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</si>
  <si>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</si>
  <si>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</si>
  <si>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</si>
  <si>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</si>
  <si>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</si>
  <si>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</si>
  <si>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</si>
  <si>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</si>
  <si>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</si>
  <si>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</si>
  <si>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</si>
  <si>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</si>
  <si>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</si>
  <si>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</si>
  <si>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</si>
  <si>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</si>
  <si>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</si>
  <si>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</si>
  <si>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</si>
  <si>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</si>
  <si>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</si>
  <si>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</si>
  <si>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</si>
  <si>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</si>
  <si>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</si>
  <si>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</si>
  <si>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</si>
  <si>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</si>
  <si>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</si>
  <si>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</si>
  <si>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</si>
  <si>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</si>
  <si>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</si>
  <si>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</si>
  <si>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</si>
  <si>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</si>
  <si>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</si>
  <si>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</si>
  <si>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</si>
  <si>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</si>
  <si>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</si>
  <si>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</si>
  <si>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</si>
  <si>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</si>
  <si>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</si>
  <si>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</si>
  <si>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</si>
  <si>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</si>
  <si>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</si>
  <si>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</si>
  <si>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</si>
  <si>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</si>
  <si>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</si>
  <si>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</si>
  <si>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</si>
  <si>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</si>
  <si>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</si>
  <si>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</si>
  <si>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</si>
  <si>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</si>
  <si>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</si>
  <si>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</si>
  <si>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</si>
  <si>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</si>
  <si>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</si>
  <si>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</si>
  <si>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</si>
  <si>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</si>
  <si>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</si>
  <si>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</si>
  <si>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</si>
  <si>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</si>
  <si>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</si>
  <si>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</si>
  <si>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</si>
  <si>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</si>
  <si>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</si>
  <si>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</si>
  <si>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</si>
  <si>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</si>
  <si>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</si>
  <si>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</si>
  <si>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</si>
  <si>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</si>
  <si>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</si>
  <si>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</si>
  <si>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</si>
  <si>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</si>
  <si>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</si>
  <si>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</si>
  <si>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</si>
  <si>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</si>
  <si>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</si>
  <si>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</si>
  <si>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</si>
  <si>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</si>
  <si>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</si>
  <si>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</si>
  <si>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</si>
  <si>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</si>
  <si>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</si>
  <si>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</si>
  <si>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</si>
  <si>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</si>
  <si>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</si>
  <si>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</si>
  <si>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</si>
  <si>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</si>
  <si>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</si>
  <si>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</si>
  <si>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</si>
  <si>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</si>
  <si>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</si>
  <si>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</si>
  <si>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</si>
  <si>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</si>
  <si>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</si>
  <si>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</si>
  <si>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</si>
  <si>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</si>
  <si>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</si>
  <si>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</si>
  <si>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</si>
  <si>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</si>
  <si>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</si>
  <si>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</si>
  <si>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</si>
  <si>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</si>
  <si>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</si>
  <si>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</si>
  <si>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</si>
  <si>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</si>
  <si>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</si>
  <si>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</si>
  <si>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</si>
  <si>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</si>
  <si>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</si>
  <si>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</si>
  <si>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</si>
  <si>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</si>
  <si>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</si>
  <si>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</si>
  <si>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</si>
  <si>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</si>
  <si>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</si>
  <si>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</si>
  <si>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</si>
  <si>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</si>
  <si>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</si>
  <si>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</si>
  <si>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</si>
  <si>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</si>
  <si>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</si>
  <si>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</si>
  <si>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</si>
  <si>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</si>
  <si>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</si>
  <si>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</si>
  <si>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</si>
  <si>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</si>
  <si>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</si>
  <si>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</si>
  <si>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</si>
  <si>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</si>
  <si>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</si>
  <si>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</si>
  <si>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</si>
  <si>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</si>
  <si>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</si>
  <si>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</si>
  <si>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</si>
  <si>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</si>
  <si>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</si>
  <si>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</si>
  <si>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</si>
  <si>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</si>
  <si>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</si>
  <si>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</si>
  <si>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</si>
  <si>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</si>
  <si>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</si>
  <si>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</si>
  <si>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</si>
  <si>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</si>
  <si>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</si>
  <si>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</si>
  <si>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</si>
  <si>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</si>
  <si>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</si>
  <si>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</si>
  <si>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</si>
  <si>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</si>
  <si>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</si>
  <si>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</si>
  <si>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</si>
  <si>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</si>
  <si>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</si>
  <si>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</si>
  <si>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</si>
  <si>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</si>
  <si>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</si>
  <si>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</si>
  <si>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</si>
  <si>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</si>
  <si>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</si>
  <si>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</si>
  <si>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</si>
  <si>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</si>
  <si>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</si>
  <si>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</si>
  <si>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</si>
  <si>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</si>
  <si>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</si>
  <si>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</si>
  <si>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</si>
  <si>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</si>
  <si>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</si>
  <si>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</si>
  <si>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</si>
  <si>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</si>
  <si>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</si>
  <si>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</si>
  <si>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</si>
  <si>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</si>
  <si>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</si>
  <si>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</si>
  <si>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</si>
  <si>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</si>
  <si>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</si>
  <si>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</si>
  <si>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</si>
  <si>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</si>
  <si>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</si>
  <si>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</si>
  <si>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</si>
  <si>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</si>
  <si>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</si>
  <si>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</si>
  <si>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</si>
  <si>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</si>
  <si>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</si>
  <si>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</si>
  <si>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</si>
  <si>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</si>
  <si>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</si>
  <si>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</si>
  <si>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</si>
  <si>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</si>
  <si>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</si>
  <si>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</si>
  <si>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</si>
  <si>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</si>
  <si>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</si>
  <si>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</si>
  <si>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</si>
  <si>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</si>
  <si>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</si>
  <si>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</si>
  <si>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</si>
  <si>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</si>
  <si>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</si>
  <si>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</si>
  <si>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</si>
  <si>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</si>
  <si>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</si>
  <si>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</si>
  <si>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</si>
  <si>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</si>
  <si>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</si>
  <si>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</si>
  <si>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</si>
  <si>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</si>
  <si>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</si>
  <si>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</si>
  <si>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</si>
  <si>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</si>
  <si>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</si>
  <si>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</si>
  <si>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</si>
  <si>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</si>
  <si>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</si>
  <si>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</si>
  <si>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</si>
  <si>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</si>
  <si>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</si>
  <si>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</si>
  <si>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</si>
  <si>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</si>
  <si>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</si>
  <si>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</si>
  <si>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</si>
  <si>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</si>
  <si>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</si>
  <si>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</si>
  <si>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</si>
  <si>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</si>
  <si>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</si>
  <si>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</si>
  <si>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</si>
  <si>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</si>
  <si>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</si>
  <si>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</si>
  <si>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</si>
  <si>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</si>
  <si>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</si>
  <si>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</si>
  <si>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</si>
  <si>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</si>
  <si>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</si>
  <si>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</si>
  <si>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</si>
  <si>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</si>
  <si>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</si>
  <si>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</si>
  <si>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</si>
  <si>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</si>
  <si>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</si>
  <si>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</si>
  <si>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</si>
  <si>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</si>
  <si>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</si>
  <si>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</si>
  <si>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</si>
  <si>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</si>
  <si>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</si>
  <si>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</si>
  <si>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</si>
  <si>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</si>
  <si>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</si>
  <si>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</si>
  <si>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</si>
  <si>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</si>
  <si>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</si>
  <si>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</si>
  <si>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</si>
  <si>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</si>
  <si>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</si>
  <si>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</si>
  <si>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</si>
  <si>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</si>
  <si>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</si>
  <si>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</si>
  <si>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</si>
  <si>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</si>
  <si>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</si>
  <si>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</si>
  <si>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</si>
  <si>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</si>
  <si>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</si>
  <si>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</si>
  <si>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</si>
  <si>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</si>
  <si>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</si>
  <si>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</si>
  <si>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</si>
  <si>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</si>
  <si>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</si>
  <si>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</si>
  <si>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</si>
  <si>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</si>
  <si>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</si>
  <si>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</si>
  <si>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</si>
  <si>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</si>
  <si>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</si>
  <si>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</si>
  <si>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</si>
  <si>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</si>
  <si>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</si>
  <si>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</si>
  <si>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</si>
  <si>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</si>
  <si>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</si>
  <si>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</si>
  <si>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</si>
  <si>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</si>
  <si>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</si>
  <si>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</si>
  <si>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</si>
  <si>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</si>
  <si>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</si>
  <si>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</si>
  <si>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</si>
  <si>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</si>
  <si>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</si>
  <si>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</si>
  <si>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</si>
  <si>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</si>
  <si>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</si>
  <si>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</si>
  <si>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</si>
  <si>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</si>
  <si>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</si>
  <si>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</si>
  <si>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</si>
  <si>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</si>
  <si>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</si>
  <si>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</si>
  <si>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</si>
  <si>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</si>
  <si>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</si>
  <si>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</si>
  <si>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</si>
  <si>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</si>
  <si>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</si>
  <si>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</si>
  <si>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</si>
  <si>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</si>
  <si>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</si>
  <si>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</si>
  <si>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</si>
  <si>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</si>
  <si>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</si>
  <si>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</si>
  <si>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</si>
  <si>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</si>
  <si>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</si>
  <si>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</si>
  <si>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</si>
  <si>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</si>
  <si>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</si>
  <si>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</si>
  <si>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</si>
  <si>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</si>
  <si>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</si>
  <si>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</si>
  <si>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</si>
  <si>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</si>
  <si>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</si>
  <si>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</si>
  <si>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</si>
  <si>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</si>
  <si>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</si>
  <si>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</si>
  <si>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</si>
  <si>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</si>
  <si>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</si>
  <si>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</si>
  <si>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</si>
  <si>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</si>
  <si>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</si>
  <si>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</si>
  <si>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</si>
  <si>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</si>
  <si>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</si>
  <si>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</si>
  <si>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</si>
  <si>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</si>
  <si>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</si>
  <si>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</si>
  <si>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</si>
  <si>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</si>
  <si>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</si>
  <si>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</si>
  <si>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</si>
  <si>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</si>
  <si>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</si>
  <si>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</si>
  <si>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</si>
  <si>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</si>
  <si>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</si>
  <si>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</si>
  <si>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</si>
  <si>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</si>
  <si>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</si>
  <si>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</si>
  <si>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</si>
  <si>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</si>
  <si>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</si>
  <si>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</si>
  <si>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</si>
  <si>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</si>
  <si>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</si>
  <si>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</si>
  <si>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</si>
  <si>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</si>
  <si>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</si>
  <si>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</si>
  <si>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</si>
  <si>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</si>
  <si>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</si>
  <si>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</si>
  <si>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</si>
  <si>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</si>
  <si>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</si>
  <si>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</si>
  <si>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</si>
  <si>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</si>
  <si>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</si>
  <si>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</si>
  <si>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</si>
  <si>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</si>
  <si>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</si>
  <si>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</si>
  <si>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</si>
  <si>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</si>
  <si>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</si>
  <si>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</si>
  <si>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</si>
  <si>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</si>
  <si>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</si>
  <si>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</si>
  <si>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</si>
  <si>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</si>
  <si>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</si>
  <si>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</si>
  <si>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</si>
  <si>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</si>
  <si>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</si>
  <si>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</si>
  <si>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</si>
  <si>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</si>
  <si>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</si>
  <si>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</si>
  <si>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</si>
  <si>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</si>
  <si>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</si>
  <si>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</si>
  <si>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</si>
  <si>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</si>
  <si>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</si>
  <si>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</si>
  <si>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</si>
  <si>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</si>
  <si>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</si>
  <si>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</si>
  <si>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</si>
  <si>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</si>
  <si>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</si>
  <si>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</si>
  <si>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</si>
  <si>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</si>
  <si>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</si>
  <si>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</si>
  <si>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</si>
  <si>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</si>
  <si>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</si>
  <si>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</si>
  <si>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</si>
  <si>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</si>
  <si>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</si>
  <si>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</si>
  <si>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</si>
  <si>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</si>
  <si>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</si>
  <si>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</si>
  <si>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</si>
  <si>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</si>
  <si>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</si>
  <si>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</si>
  <si>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</si>
  <si>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</si>
  <si>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</si>
  <si>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</si>
  <si>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</si>
  <si>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</si>
  <si>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</si>
  <si>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</si>
  <si>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</si>
  <si>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</si>
  <si>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</si>
  <si>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</si>
  <si>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</si>
  <si>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</si>
  <si>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</si>
  <si>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</si>
  <si>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</si>
  <si>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</si>
  <si>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</si>
  <si>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</si>
  <si>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</si>
  <si>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</si>
  <si>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</si>
  <si>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</si>
  <si>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</si>
  <si>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</si>
  <si>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</si>
  <si>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</si>
  <si>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</si>
  <si>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</si>
  <si>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</si>
  <si>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</si>
  <si>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</si>
  <si>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</si>
  <si>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</si>
  <si>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</si>
  <si>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</si>
  <si>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</si>
  <si>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</si>
  <si>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</si>
  <si>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</si>
  <si>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</si>
  <si>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</si>
  <si>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</si>
  <si>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</si>
  <si>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</si>
  <si>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</si>
  <si>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</si>
  <si>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</si>
  <si>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</si>
  <si>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</si>
  <si>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</si>
  <si>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</si>
  <si>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</si>
  <si>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</si>
  <si>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</si>
  <si>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</si>
  <si>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</si>
  <si>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</si>
  <si>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</si>
  <si>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</si>
  <si>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</si>
  <si>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</si>
  <si>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</si>
  <si>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</si>
  <si>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</si>
  <si>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</si>
  <si>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</si>
  <si>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</si>
  <si>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</si>
  <si>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</si>
  <si>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</si>
  <si>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</si>
  <si>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</si>
  <si>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</si>
  <si>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</si>
  <si>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</si>
  <si>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</si>
  <si>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</si>
  <si>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</si>
  <si>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</si>
  <si>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</si>
  <si>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</si>
  <si>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</si>
  <si>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</si>
  <si>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</si>
  <si>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</si>
  <si>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</si>
  <si>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</si>
  <si>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</si>
  <si>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</si>
  <si>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</si>
  <si>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</si>
  <si>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</si>
  <si>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</si>
  <si>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</si>
  <si>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</si>
  <si>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</si>
  <si>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</si>
  <si>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</si>
  <si>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</si>
  <si>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</si>
  <si>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</si>
  <si>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</si>
  <si>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</si>
  <si>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</si>
  <si>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</si>
  <si>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</si>
  <si>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</si>
  <si>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</si>
  <si>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</si>
  <si>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</si>
  <si>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</si>
  <si>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</si>
  <si>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</si>
  <si>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</si>
  <si>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</si>
  <si>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</si>
  <si>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</si>
  <si>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</si>
  <si>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</si>
  <si>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</si>
  <si>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</si>
  <si>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</si>
  <si>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</si>
  <si>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</si>
  <si>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</si>
  <si>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</si>
  <si>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</si>
  <si>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</si>
  <si>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</si>
  <si>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</si>
  <si>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</si>
  <si>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</si>
  <si>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</si>
  <si>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</si>
  <si>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</si>
  <si>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</si>
  <si>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</si>
  <si>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</si>
  <si>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</si>
  <si>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</si>
  <si>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</si>
  <si>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</si>
  <si>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</si>
  <si>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</si>
  <si>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</si>
  <si>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</si>
  <si>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</si>
  <si>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</si>
  <si>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</si>
  <si>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</si>
  <si>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</si>
  <si>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</si>
  <si>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</si>
  <si>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</si>
  <si>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</si>
  <si>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</si>
  <si>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</si>
  <si>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</si>
  <si>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</si>
  <si>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</si>
  <si>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</si>
  <si>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</si>
  <si>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</si>
  <si>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</si>
  <si>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</si>
  <si>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</si>
  <si>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</si>
  <si>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</si>
  <si>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</si>
  <si>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</si>
  <si>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</si>
  <si>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</si>
  <si>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</si>
  <si>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</si>
  <si>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</si>
  <si>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</si>
  <si>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</si>
  <si>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</si>
  <si>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</si>
  <si>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</si>
  <si>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</si>
  <si>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</si>
  <si>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</si>
  <si>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</si>
  <si>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</si>
  <si>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</si>
  <si>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</si>
  <si>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</si>
  <si>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</si>
  <si>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</si>
  <si>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</si>
  <si>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</si>
  <si>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</si>
  <si>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</si>
  <si>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</si>
  <si>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</si>
  <si>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</si>
  <si>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</si>
  <si>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</si>
  <si>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</si>
  <si>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</si>
  <si>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</si>
  <si>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</si>
  <si>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</si>
  <si>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</si>
  <si>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</si>
  <si>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</si>
  <si>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</si>
  <si>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</si>
  <si>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</si>
  <si>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</si>
  <si>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</si>
  <si>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</si>
  <si>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</si>
  <si>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</si>
  <si>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</si>
  <si>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</si>
  <si>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</si>
  <si>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</si>
  <si>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</si>
  <si>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</si>
  <si>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</si>
  <si>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</si>
  <si>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</si>
  <si>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</si>
  <si>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</si>
  <si>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</si>
  <si>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</si>
  <si>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</si>
  <si>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</si>
  <si>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</si>
  <si>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</si>
  <si>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</si>
  <si>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</si>
  <si>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</si>
  <si>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</si>
  <si>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</si>
  <si>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</si>
  <si>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</si>
  <si>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</si>
  <si>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</si>
  <si>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</si>
  <si>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</si>
  <si>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</si>
  <si>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</si>
  <si>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</si>
  <si>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</si>
  <si>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</si>
  <si>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</si>
  <si>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</si>
  <si>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</si>
  <si>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</si>
  <si>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</si>
  <si>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</si>
  <si>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</si>
  <si>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</si>
  <si>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</si>
  <si>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</si>
  <si>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</si>
  <si>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</si>
  <si>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</si>
  <si>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</si>
  <si>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</si>
  <si>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</si>
  <si>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</si>
  <si>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</si>
  <si>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</si>
  <si>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</si>
  <si>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</si>
  <si>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</si>
  <si>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</si>
  <si>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</si>
  <si>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</si>
  <si>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</si>
  <si>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</si>
  <si>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</si>
  <si>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</si>
  <si>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</si>
  <si>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</si>
  <si>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</si>
  <si>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</si>
  <si>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</si>
  <si>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</si>
  <si>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</si>
  <si>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</si>
  <si>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</si>
  <si>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</si>
  <si>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</si>
  <si>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</si>
  <si>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</si>
  <si>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</si>
  <si>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</si>
  <si>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</si>
  <si>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</si>
  <si>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</si>
  <si>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</si>
  <si>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</si>
  <si>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</si>
  <si>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</si>
  <si>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</si>
  <si>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</si>
  <si>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</si>
  <si>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</si>
  <si>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</si>
  <si>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</si>
  <si>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</si>
  <si>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</si>
  <si>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</si>
  <si>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</si>
  <si>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</si>
  <si>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</si>
  <si>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</si>
  <si>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</si>
  <si>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</si>
  <si>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</si>
  <si>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</si>
  <si>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</si>
  <si>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</si>
  <si>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</si>
  <si>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</si>
  <si>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</si>
  <si>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</si>
  <si>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</si>
  <si>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</si>
  <si>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</si>
  <si>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</si>
  <si>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</si>
  <si>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</si>
  <si>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</si>
  <si>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</si>
  <si>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</si>
  <si>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</si>
  <si>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</si>
  <si>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</si>
  <si>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</si>
  <si>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</si>
  <si>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</si>
  <si>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</si>
  <si>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</si>
  <si>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</si>
  <si>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</si>
  <si>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</si>
  <si>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</si>
  <si>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</si>
  <si>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</si>
  <si>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</si>
  <si>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</si>
  <si>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</si>
  <si>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</si>
  <si>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</si>
  <si>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</si>
  <si>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</si>
  <si>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</si>
  <si>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</si>
  <si>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</si>
  <si>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</si>
  <si>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</si>
  <si>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</si>
  <si>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</si>
  <si>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</si>
  <si>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</si>
  <si>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</si>
  <si>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</si>
  <si>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</si>
  <si>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</si>
  <si>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</si>
  <si>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</si>
  <si>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</si>
  <si>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</si>
  <si>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</si>
  <si>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</si>
  <si>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</si>
  <si>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</si>
  <si>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</si>
  <si>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</si>
  <si>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</si>
  <si>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</si>
  <si>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</si>
  <si>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</si>
  <si>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</si>
  <si>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</si>
  <si>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</si>
  <si>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</si>
  <si>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</si>
  <si>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</si>
  <si>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</si>
  <si>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</si>
  <si>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</si>
  <si>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</si>
  <si>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</si>
  <si>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</si>
  <si>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</si>
  <si>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</si>
  <si>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</si>
  <si>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</si>
  <si>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</si>
  <si>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</si>
  <si>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</si>
  <si>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</si>
  <si>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</si>
  <si>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</si>
  <si>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</si>
  <si>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</si>
  <si>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</si>
  <si>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</si>
  <si>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</si>
  <si>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</si>
  <si>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</si>
  <si>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</si>
  <si>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</si>
  <si>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</si>
  <si>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</si>
  <si>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</si>
  <si>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</si>
  <si>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</si>
  <si>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</si>
  <si>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</si>
  <si>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</si>
  <si>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</si>
  <si>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</si>
  <si>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</si>
  <si>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</si>
  <si>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</si>
  <si>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</si>
  <si>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</si>
  <si>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</si>
  <si>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</si>
  <si>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</si>
  <si>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</si>
  <si>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</si>
  <si>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</si>
  <si>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</si>
  <si>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</si>
  <si>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</si>
  <si>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</si>
  <si>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</si>
  <si>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</si>
  <si>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</si>
  <si>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</si>
  <si>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</si>
  <si>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</si>
  <si>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</si>
  <si>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</si>
  <si>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</si>
  <si>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</si>
  <si>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</si>
  <si>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</si>
  <si>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</si>
  <si>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</si>
  <si>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</si>
  <si>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</si>
  <si>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</si>
  <si>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</si>
  <si>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</si>
  <si>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</si>
  <si>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</si>
  <si>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</si>
  <si>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</si>
  <si>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</si>
  <si>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</si>
  <si>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</si>
  <si>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</si>
  <si>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</si>
  <si>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</si>
  <si>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</si>
  <si>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</si>
  <si>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</si>
  <si>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</si>
  <si>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</si>
  <si>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</si>
  <si>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</si>
  <si>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</si>
  <si>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</si>
  <si>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</si>
  <si>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</si>
  <si>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</si>
  <si>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</si>
  <si>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</si>
  <si>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</si>
  <si>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</si>
  <si>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</si>
  <si>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</si>
  <si>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</si>
  <si>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</si>
  <si>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</si>
  <si>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</si>
  <si>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</si>
  <si>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</si>
  <si>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</si>
  <si>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</si>
  <si>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</si>
  <si>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</si>
  <si>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</si>
  <si>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</si>
  <si>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</si>
  <si>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</si>
  <si>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</si>
  <si>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</si>
  <si>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</si>
  <si>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</si>
  <si>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</si>
  <si>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</si>
  <si>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</si>
  <si>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</si>
  <si>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</si>
  <si>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</si>
  <si>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</si>
  <si>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</si>
  <si>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</si>
  <si>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</si>
  <si>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</si>
  <si>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</si>
  <si>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</si>
  <si>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</si>
  <si>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</si>
  <si>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</si>
  <si>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</si>
  <si>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</si>
  <si>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</si>
  <si>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</si>
  <si>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</si>
  <si>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</si>
  <si>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</si>
  <si>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</si>
  <si>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</si>
  <si>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</si>
  <si>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</si>
  <si>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</si>
  <si>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</si>
  <si>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</si>
  <si>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</si>
  <si>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</si>
  <si>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</si>
  <si>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</si>
  <si>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</si>
  <si>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</si>
  <si>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</si>
  <si>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</si>
  <si>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</si>
  <si>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</si>
  <si>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</si>
  <si>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</si>
  <si>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</si>
  <si>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</si>
  <si>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</si>
  <si>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</si>
  <si>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</si>
  <si>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</si>
  <si>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</si>
  <si>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</si>
  <si>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</si>
  <si>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</si>
  <si>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</si>
  <si>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</si>
  <si>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</si>
  <si>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</si>
  <si>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</si>
  <si>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</si>
  <si>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</si>
  <si>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</si>
  <si>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</si>
  <si>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</si>
  <si>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</si>
  <si>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</si>
  <si>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</si>
  <si>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</si>
  <si>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</si>
  <si>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</si>
  <si>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</si>
  <si>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</si>
  <si>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</si>
  <si>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</si>
  <si>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</si>
  <si>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</si>
  <si>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</si>
  <si>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</si>
  <si>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</si>
  <si>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</si>
  <si>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</si>
  <si>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</si>
  <si>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</si>
  <si>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</si>
  <si>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</si>
  <si>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</si>
  <si>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</si>
  <si>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</si>
  <si>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</si>
  <si>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</si>
  <si>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</si>
  <si>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</si>
  <si>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</si>
  <si>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</si>
  <si>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</si>
  <si>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</si>
  <si>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</si>
  <si>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</si>
  <si>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</si>
  <si>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</si>
  <si>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</si>
  <si>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</si>
  <si>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</si>
  <si>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</si>
  <si>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</si>
  <si>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</si>
  <si>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</si>
  <si>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</si>
  <si>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</si>
  <si>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</si>
  <si>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</si>
  <si>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</si>
  <si>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</si>
  <si>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</si>
  <si>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</si>
  <si>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</si>
  <si>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</si>
  <si>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</si>
  <si>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</si>
  <si>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</si>
  <si>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</si>
  <si>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</si>
  <si>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</si>
  <si>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</si>
  <si>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</si>
  <si>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</si>
  <si>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</si>
  <si>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</si>
  <si>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</si>
  <si>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</si>
  <si>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</si>
  <si>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</si>
  <si>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</si>
  <si>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</si>
  <si>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</si>
  <si>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</si>
  <si>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</si>
  <si>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</si>
  <si>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</si>
  <si>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</si>
  <si>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</si>
  <si>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</si>
  <si>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</si>
  <si>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</si>
  <si>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</si>
  <si>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</si>
  <si>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</si>
  <si>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</si>
  <si>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</si>
  <si>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</si>
  <si>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</si>
  <si>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</si>
  <si>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</si>
  <si>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</si>
  <si>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</si>
  <si>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</si>
  <si>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</si>
  <si>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</si>
  <si>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</si>
  <si>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</si>
  <si>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</si>
  <si>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</si>
  <si>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</si>
  <si>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</si>
  <si>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</si>
  <si>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</si>
  <si>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</si>
  <si>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</si>
  <si>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</si>
  <si>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</si>
  <si>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</si>
  <si>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</si>
  <si>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</si>
  <si>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</si>
  <si>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</si>
  <si>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</si>
  <si>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</si>
  <si>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</si>
  <si>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</si>
  <si>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</si>
  <si>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</si>
  <si>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</si>
  <si>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</si>
  <si>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</si>
  <si>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</si>
  <si>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</si>
  <si>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</si>
  <si>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</si>
  <si>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</si>
  <si>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</si>
  <si>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</si>
  <si>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</si>
  <si>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</si>
  <si>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</si>
  <si>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</si>
  <si>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</si>
  <si>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</si>
  <si>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</si>
  <si>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</si>
  <si>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</si>
  <si>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</si>
  <si>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</si>
  <si>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</si>
  <si>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</si>
  <si>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</si>
  <si>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</si>
  <si>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</si>
  <si>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</si>
  <si>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</si>
  <si>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</si>
  <si>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</si>
  <si>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</si>
  <si>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</si>
  <si>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</si>
  <si>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</si>
  <si>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</si>
  <si>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</si>
  <si>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</si>
  <si>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</si>
  <si>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</si>
  <si>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</si>
  <si>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</si>
  <si>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</si>
  <si>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</si>
  <si>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</si>
  <si>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</si>
  <si>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</si>
  <si>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</si>
  <si>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</si>
  <si>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</si>
  <si>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</si>
  <si>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</si>
  <si>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</si>
  <si>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</si>
  <si>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</si>
  <si>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</si>
  <si>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</si>
  <si>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</si>
  <si>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</si>
  <si>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</si>
  <si>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</si>
  <si>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</si>
  <si>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</si>
  <si>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</si>
  <si>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</si>
  <si>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</si>
  <si>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</si>
  <si>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</si>
  <si>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</si>
  <si>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</si>
  <si>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</si>
  <si>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</si>
  <si>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</si>
  <si>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</si>
  <si>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</si>
  <si>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</si>
  <si>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</si>
  <si>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</si>
  <si>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</si>
  <si>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</si>
  <si>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</si>
  <si>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</si>
  <si>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</si>
  <si>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</si>
  <si>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</si>
  <si>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</si>
  <si>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</si>
  <si>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</si>
  <si>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</si>
  <si>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</si>
  <si>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</si>
  <si>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</si>
  <si>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</si>
  <si>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</si>
  <si>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</si>
  <si>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</si>
  <si>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</si>
  <si>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</si>
  <si>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</si>
  <si>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</si>
  <si>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</si>
  <si>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</si>
  <si>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</si>
  <si>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</si>
  <si>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</si>
  <si>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</si>
  <si>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</si>
  <si>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</si>
  <si>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</si>
  <si>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</si>
  <si>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</si>
  <si>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</si>
  <si>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</si>
  <si>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</si>
  <si>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</si>
  <si>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</si>
  <si>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</si>
  <si>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</si>
  <si>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</si>
  <si>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</si>
  <si>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</si>
  <si>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</si>
  <si>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</si>
  <si>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</si>
  <si>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</si>
  <si>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</si>
  <si>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</si>
  <si>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</si>
  <si>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</si>
  <si>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</si>
  <si>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</si>
  <si>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</si>
  <si>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</si>
  <si>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</si>
  <si>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</si>
  <si>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</si>
  <si>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</si>
  <si>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</si>
  <si>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</si>
  <si>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</si>
  <si>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</si>
  <si>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</si>
  <si>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</si>
  <si>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</si>
  <si>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</si>
  <si>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</si>
  <si>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</si>
  <si>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</si>
  <si>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</si>
  <si>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</si>
  <si>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</si>
  <si>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</si>
  <si>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</si>
  <si>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</si>
  <si>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</si>
  <si>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</si>
  <si>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</si>
  <si>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</si>
  <si>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</si>
  <si>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</si>
  <si>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</si>
  <si>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</si>
  <si>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</si>
  <si>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</si>
  <si>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</si>
  <si>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</si>
  <si>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</si>
  <si>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</si>
  <si>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</si>
  <si>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</si>
  <si>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</si>
  <si>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</si>
  <si>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</si>
  <si>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</si>
  <si>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</si>
  <si>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</si>
  <si>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</si>
  <si>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</si>
  <si>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</si>
  <si>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</si>
  <si>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</si>
  <si>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</si>
  <si>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</si>
  <si>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</si>
  <si>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</si>
  <si>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</si>
  <si>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</si>
  <si>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</si>
  <si>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</si>
  <si>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</si>
  <si>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</si>
  <si>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</si>
  <si>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</si>
  <si>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</si>
  <si>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</si>
  <si>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</si>
  <si>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</si>
  <si>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</si>
  <si>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</si>
  <si>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</si>
  <si>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</si>
  <si>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</si>
  <si>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</si>
  <si>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</si>
  <si>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</si>
  <si>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</si>
  <si>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</si>
  <si>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</si>
  <si>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</si>
  <si>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</si>
  <si>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</si>
  <si>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</si>
  <si>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</si>
  <si>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</si>
  <si>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</si>
  <si>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</si>
  <si>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</si>
  <si>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</si>
  <si>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</si>
  <si>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</si>
  <si>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</si>
  <si>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</si>
  <si>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</si>
  <si>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</si>
  <si>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</si>
  <si>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</si>
  <si>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</si>
  <si>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</si>
  <si>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</si>
  <si>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</si>
  <si>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</si>
  <si>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</si>
  <si>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</si>
  <si>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</si>
  <si>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</si>
  <si>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</si>
  <si>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</si>
  <si>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</si>
  <si>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</si>
  <si>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</si>
  <si>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</si>
  <si>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</si>
  <si>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</si>
  <si>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</si>
  <si>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</si>
  <si>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</si>
  <si>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</si>
  <si>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</si>
  <si>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</si>
  <si>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</si>
  <si>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</si>
  <si>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</si>
  <si>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</si>
  <si>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</si>
  <si>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</si>
  <si>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</si>
  <si>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</si>
  <si>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</si>
  <si>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</si>
  <si>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</si>
  <si>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</si>
  <si>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</si>
  <si>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</si>
  <si>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</si>
  <si>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</si>
  <si>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</si>
  <si>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</si>
  <si>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</si>
  <si>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</si>
  <si>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</si>
  <si>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</si>
  <si>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</si>
  <si>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</si>
  <si>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</si>
  <si>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</si>
  <si>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</si>
  <si>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</si>
  <si>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</si>
  <si>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</si>
  <si>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</si>
  <si>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</si>
  <si>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</si>
  <si>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</si>
  <si>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</si>
  <si>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</si>
  <si>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</si>
  <si>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</si>
  <si>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</si>
  <si>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</si>
  <si>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</si>
  <si>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</si>
  <si>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</si>
  <si>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</si>
  <si>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</si>
  <si>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</si>
  <si>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</si>
  <si>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</si>
  <si>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</si>
  <si>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</si>
  <si>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</si>
  <si>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</si>
  <si>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</si>
  <si>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</si>
  <si>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</si>
  <si>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</si>
  <si>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</si>
  <si>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</si>
  <si>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</si>
  <si>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</si>
  <si>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</si>
  <si>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</si>
  <si>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</si>
  <si>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</si>
  <si>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</si>
  <si>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</si>
  <si>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</si>
  <si>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</si>
  <si>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</si>
  <si>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</si>
  <si>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</si>
  <si>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</si>
  <si>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</si>
  <si>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</si>
  <si>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</si>
  <si>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</si>
  <si>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</si>
  <si>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</si>
  <si>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</si>
  <si>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</si>
  <si>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</si>
  <si>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</si>
  <si>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</si>
  <si>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</si>
  <si>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</si>
  <si>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</si>
  <si>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</si>
  <si>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</si>
  <si>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</si>
  <si>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</si>
  <si>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</si>
  <si>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</si>
  <si>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</si>
  <si>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</si>
  <si>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</si>
  <si>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</si>
  <si>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</si>
  <si>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</si>
  <si>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</si>
  <si>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</si>
  <si>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</si>
  <si>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</si>
  <si>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</si>
  <si>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</si>
  <si>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</si>
  <si>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</si>
  <si>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</si>
  <si>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</si>
  <si>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</si>
  <si>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</si>
  <si>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</si>
  <si>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</si>
  <si>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</si>
  <si>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</si>
  <si>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</si>
  <si>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</si>
  <si>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</si>
  <si>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</si>
  <si>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</si>
  <si>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</si>
  <si>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</si>
  <si>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</si>
  <si>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</si>
  <si>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</si>
  <si>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</si>
  <si>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</si>
  <si>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</si>
  <si>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</si>
  <si>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</si>
  <si>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</si>
  <si>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</si>
  <si>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</si>
  <si>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</si>
  <si>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</si>
  <si>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</si>
  <si>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</si>
  <si>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</si>
  <si>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</si>
  <si>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</si>
  <si>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</si>
  <si>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</si>
  <si>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</si>
  <si>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</si>
  <si>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</si>
  <si>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</si>
  <si>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</si>
  <si>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</si>
  <si>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</si>
  <si>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</si>
  <si>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</si>
  <si>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</si>
  <si>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</si>
  <si>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</si>
  <si>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</si>
  <si>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</si>
  <si>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</si>
  <si>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</si>
  <si>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</si>
  <si>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</si>
  <si>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</si>
  <si>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</si>
  <si>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</si>
  <si>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</si>
  <si>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</si>
  <si>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</si>
  <si>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</si>
  <si>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</si>
  <si>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</si>
  <si>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</si>
  <si>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</si>
  <si>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</si>
  <si>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</si>
  <si>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</si>
  <si>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</si>
  <si>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</si>
  <si>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</si>
  <si>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</si>
  <si>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</si>
  <si>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</si>
  <si>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</si>
  <si>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</si>
  <si>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</si>
  <si>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</si>
  <si>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</si>
  <si>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</si>
  <si>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</si>
  <si>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</si>
  <si>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</si>
  <si>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</si>
  <si>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</si>
  <si>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</si>
  <si>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</si>
  <si>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</si>
  <si>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</si>
  <si>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</si>
  <si>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</si>
  <si>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</si>
  <si>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</si>
  <si>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</si>
  <si>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</si>
  <si>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</si>
  <si>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</si>
  <si>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</si>
  <si>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</si>
  <si>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</si>
  <si>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</si>
  <si>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</si>
  <si>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</si>
  <si>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</si>
  <si>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</si>
  <si>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</si>
  <si>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</si>
  <si>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</si>
  <si>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</si>
  <si>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</si>
  <si>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</si>
  <si>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</si>
  <si>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</si>
  <si>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</si>
  <si>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</si>
  <si>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</si>
  <si>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</si>
  <si>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</si>
  <si>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</si>
  <si>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</si>
  <si>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</si>
  <si>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</si>
  <si>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</si>
  <si>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</si>
  <si>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</si>
  <si>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</si>
  <si>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</si>
  <si>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</si>
  <si>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</si>
  <si>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</si>
  <si>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</si>
  <si>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</si>
  <si>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</si>
  <si>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</si>
  <si>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</si>
  <si>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</si>
  <si>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</si>
  <si>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</si>
  <si>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</si>
  <si>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</si>
  <si>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</si>
  <si>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</si>
  <si>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</si>
  <si>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</si>
  <si>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</si>
  <si>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</si>
  <si>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</si>
  <si>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</si>
  <si>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</si>
  <si>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</si>
  <si>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</si>
  <si>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</si>
  <si>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</si>
  <si>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</si>
  <si>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</si>
  <si>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</si>
  <si>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</si>
  <si>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</si>
  <si>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</si>
  <si>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</si>
  <si>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</si>
  <si>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</si>
  <si>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</si>
  <si>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</si>
  <si>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</si>
  <si>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</si>
  <si>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</si>
  <si>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</si>
  <si>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</si>
  <si>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</si>
  <si>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</si>
  <si>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</si>
  <si>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</si>
  <si>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</si>
  <si>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</si>
  <si>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</si>
  <si>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</si>
  <si>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</si>
  <si>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</si>
  <si>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</si>
  <si>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</si>
  <si>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</si>
  <si>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</si>
  <si>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</si>
  <si>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</si>
  <si>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</si>
  <si>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</si>
  <si>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</si>
  <si>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</si>
  <si>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</si>
  <si>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</si>
  <si>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</si>
  <si>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</si>
  <si>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</si>
  <si>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</si>
  <si>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</si>
  <si>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</si>
  <si>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</si>
  <si>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</si>
  <si>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</si>
  <si>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</si>
  <si>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</si>
  <si>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</si>
  <si>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</si>
  <si>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</si>
  <si>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</si>
  <si>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</si>
  <si>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</si>
  <si>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</si>
  <si>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</si>
  <si>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</si>
  <si>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</si>
  <si>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</si>
  <si>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</si>
  <si>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</si>
  <si>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</si>
  <si>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</si>
  <si>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</si>
  <si>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</si>
  <si>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</si>
  <si>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</si>
  <si>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</si>
  <si>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</si>
  <si>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</si>
  <si>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</si>
  <si>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</si>
  <si>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</si>
  <si>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</si>
  <si>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</si>
  <si>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</si>
  <si>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</si>
  <si>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</si>
  <si>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</si>
  <si>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</si>
  <si>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</si>
  <si>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</si>
  <si>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</si>
  <si>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</si>
  <si>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</si>
  <si>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</si>
  <si>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</si>
  <si>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</si>
  <si>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</si>
  <si>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</si>
  <si>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</si>
  <si>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</si>
  <si>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</si>
  <si>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</si>
  <si>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</si>
  <si>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</si>
  <si>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</si>
  <si>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</si>
  <si>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</si>
  <si>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</si>
  <si>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</si>
  <si>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</si>
  <si>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</si>
  <si>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</si>
  <si>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</si>
  <si>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</si>
  <si>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</si>
  <si>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</si>
  <si>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</si>
  <si>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</si>
  <si>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</si>
  <si>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</si>
  <si>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</si>
  <si>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</si>
  <si>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</si>
  <si>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</si>
  <si>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</si>
  <si>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</si>
  <si>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</si>
  <si>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</si>
  <si>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</si>
  <si>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</si>
  <si>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</si>
  <si>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</si>
  <si>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</si>
  <si>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</si>
  <si>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</si>
  <si>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</si>
  <si>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</si>
  <si>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</si>
  <si>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</si>
  <si>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</si>
  <si>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</si>
  <si>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</si>
  <si>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</si>
  <si>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</si>
  <si>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</si>
  <si>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</si>
  <si>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</si>
  <si>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</si>
  <si>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</si>
  <si>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</si>
  <si>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</si>
  <si>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</si>
  <si>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</si>
  <si>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</si>
  <si>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</si>
  <si>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</si>
  <si>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</si>
  <si>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</si>
  <si>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</si>
  <si>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</si>
  <si>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</si>
  <si>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</si>
  <si>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</si>
  <si>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</si>
  <si>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</si>
  <si>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</si>
  <si>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</si>
  <si>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</si>
  <si>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</si>
  <si>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</si>
  <si>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</si>
  <si>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</si>
  <si>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</si>
  <si>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</si>
  <si>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</si>
  <si>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</si>
  <si>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</si>
  <si>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</si>
  <si>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</si>
  <si>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</si>
  <si>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</si>
  <si>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</si>
  <si>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</si>
  <si>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</si>
  <si>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</si>
  <si>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</si>
  <si>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</si>
  <si>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</si>
  <si>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</si>
  <si>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</si>
  <si>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</si>
  <si>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</si>
  <si>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</si>
  <si>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</si>
  <si>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</si>
  <si>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</si>
  <si>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</si>
  <si>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</si>
  <si>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</si>
  <si>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</si>
  <si>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</si>
  <si>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</si>
  <si>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</si>
  <si>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</si>
  <si>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</si>
  <si>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</si>
  <si>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</si>
  <si>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</si>
  <si>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</si>
  <si>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</si>
  <si>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</si>
  <si>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</si>
  <si>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</si>
  <si>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</si>
  <si>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</si>
  <si>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</si>
  <si>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</si>
  <si>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</si>
  <si>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</si>
  <si>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</si>
  <si>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</si>
  <si>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</si>
  <si>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</si>
  <si>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</si>
  <si>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</si>
  <si>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</si>
  <si>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</si>
  <si>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</si>
  <si>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</si>
  <si>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</si>
  <si>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</si>
  <si>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</si>
  <si>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</si>
  <si>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</si>
  <si>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</si>
  <si>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</si>
  <si>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</si>
  <si>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</si>
  <si>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</si>
  <si>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</si>
  <si>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</si>
  <si>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</si>
  <si>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</si>
  <si>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</si>
  <si>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</si>
  <si>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</si>
  <si>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</si>
  <si>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</si>
  <si>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</si>
  <si>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</si>
  <si>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</si>
  <si>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</si>
  <si>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</si>
  <si>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</si>
  <si>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</si>
  <si>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</si>
  <si>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</si>
  <si>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</si>
  <si>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</si>
  <si>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</si>
  <si>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</si>
  <si>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</si>
  <si>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</si>
  <si>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</si>
  <si>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</si>
  <si>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</si>
  <si>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</si>
  <si>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</si>
  <si>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</si>
  <si>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</si>
  <si>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</si>
  <si>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</si>
  <si>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</si>
  <si>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</si>
  <si>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</si>
  <si>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</si>
  <si>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</si>
  <si>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</si>
  <si>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</si>
  <si>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</si>
  <si>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</si>
  <si>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</si>
  <si>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</si>
  <si>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</si>
  <si>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</si>
  <si>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</si>
  <si>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</si>
  <si>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</si>
  <si>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</si>
  <si>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</si>
  <si>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</si>
  <si>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</si>
  <si>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</si>
  <si>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</si>
  <si>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</si>
  <si>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</si>
  <si>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</si>
  <si>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</si>
  <si>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</si>
  <si>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</si>
  <si>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</si>
  <si>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</si>
  <si>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</si>
  <si>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</si>
  <si>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</si>
  <si>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</si>
  <si>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</si>
  <si>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</si>
  <si>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</si>
  <si>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</si>
  <si>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</si>
  <si>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</si>
  <si>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</si>
  <si>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</si>
  <si>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</si>
  <si>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</si>
  <si>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</si>
  <si>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</si>
  <si>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</si>
  <si>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</si>
  <si>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</si>
  <si>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</si>
  <si>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</si>
  <si>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</si>
  <si>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</si>
  <si>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</si>
  <si>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</si>
  <si>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</si>
  <si>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</si>
  <si>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</si>
  <si>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</si>
  <si>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</si>
  <si>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</si>
  <si>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</si>
  <si>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</si>
  <si>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</si>
  <si>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</si>
  <si>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</si>
  <si>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</si>
  <si>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</si>
  <si>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</si>
  <si>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</si>
  <si>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</si>
  <si>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</si>
  <si>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</si>
  <si>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</si>
  <si>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</si>
  <si>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</si>
  <si>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</si>
  <si>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</si>
  <si>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</si>
  <si>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</si>
  <si>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</si>
  <si>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</si>
  <si>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</si>
  <si>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</si>
  <si>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</si>
  <si>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</si>
  <si>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</si>
  <si>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</si>
  <si>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</si>
  <si>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</si>
  <si>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</si>
  <si>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</si>
  <si>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</si>
  <si>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</si>
  <si>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</si>
  <si>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</si>
  <si>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</si>
  <si>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</si>
  <si>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</si>
  <si>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</si>
  <si>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</si>
  <si>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</si>
  <si>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</si>
  <si>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</si>
  <si>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</si>
  <si>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</si>
  <si>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</si>
  <si>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</si>
  <si>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</si>
  <si>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</si>
  <si>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</si>
  <si>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</si>
  <si>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</si>
  <si>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</si>
  <si>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</si>
  <si>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</si>
  <si>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</si>
  <si>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</si>
  <si>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</si>
  <si>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</si>
  <si>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</si>
  <si>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</si>
  <si>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</si>
  <si>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</si>
  <si>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</si>
  <si>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</si>
  <si>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</si>
  <si>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</si>
  <si>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</si>
  <si>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</si>
  <si>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</si>
  <si>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</si>
  <si>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</si>
  <si>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</si>
  <si>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</si>
  <si>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</si>
  <si>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</si>
  <si>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</si>
  <si>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</si>
  <si>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</si>
  <si>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</si>
  <si>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</si>
  <si>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</si>
  <si>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</si>
  <si>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</si>
  <si>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</si>
  <si>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</si>
  <si>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</si>
  <si>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</si>
  <si>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</si>
  <si>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</si>
  <si>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</si>
  <si>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</si>
  <si>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</si>
  <si>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</si>
  <si>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</si>
  <si>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</si>
  <si>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</si>
  <si>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</si>
  <si>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</si>
  <si>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</si>
  <si>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</si>
  <si>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</si>
  <si>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</si>
  <si>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</si>
  <si>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</si>
  <si>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</si>
  <si>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</si>
  <si>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</si>
  <si>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</si>
  <si>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</si>
  <si>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</si>
  <si>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</si>
  <si>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</si>
  <si>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</si>
  <si>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</si>
  <si>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</si>
  <si>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</si>
  <si>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</si>
  <si>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</si>
  <si>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</si>
  <si>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</si>
  <si>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</si>
  <si>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</si>
  <si>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</si>
  <si>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</si>
  <si>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</si>
  <si>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</si>
  <si>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</si>
  <si>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</si>
  <si>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</si>
  <si>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</si>
  <si>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</si>
  <si>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</si>
  <si>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</si>
  <si>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</si>
  <si>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</si>
  <si>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</si>
  <si>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</si>
  <si>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</si>
  <si>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</si>
  <si>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</si>
  <si>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</si>
  <si>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</si>
  <si>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</si>
  <si>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</si>
  <si>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</si>
  <si>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</si>
  <si>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</si>
  <si>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</si>
  <si>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</si>
  <si>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</si>
  <si>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</si>
  <si>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</si>
  <si>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</si>
  <si>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</si>
  <si>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</si>
  <si>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</si>
  <si>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</si>
  <si>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</si>
  <si>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</si>
  <si>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</si>
  <si>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</si>
  <si>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</si>
  <si>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</si>
  <si>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</si>
  <si>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</si>
  <si>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</si>
  <si>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</si>
  <si>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</si>
  <si>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</si>
  <si>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</si>
  <si>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</si>
  <si>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</si>
  <si>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</si>
  <si>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</si>
  <si>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</si>
  <si>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</si>
  <si>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</si>
  <si>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</si>
  <si>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</si>
  <si>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</si>
  <si>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</si>
  <si>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</si>
  <si>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</si>
  <si>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</si>
  <si>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</si>
  <si>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</si>
  <si>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</si>
  <si>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</si>
  <si>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</si>
  <si>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</si>
  <si>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</si>
  <si>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</si>
  <si>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</si>
  <si>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</si>
  <si>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</si>
  <si>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</si>
  <si>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</si>
  <si>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</si>
  <si>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</si>
  <si>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</si>
  <si>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</si>
  <si>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</si>
  <si>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</si>
  <si>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</si>
  <si>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</si>
  <si>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</si>
  <si>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</si>
  <si>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</si>
  <si>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</si>
  <si>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</si>
  <si>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</si>
  <si>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</si>
  <si>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</si>
  <si>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</si>
  <si>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</si>
  <si>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</si>
  <si>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</si>
  <si>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</si>
  <si>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</si>
  <si>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</si>
  <si>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</si>
  <si>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</si>
  <si>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</si>
  <si>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</si>
  <si>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</si>
  <si>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</si>
  <si>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</si>
  <si>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</si>
  <si>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</si>
  <si>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</si>
  <si>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</si>
  <si>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</si>
  <si>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</si>
  <si>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</si>
  <si>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</si>
  <si>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</si>
  <si>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</si>
  <si>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</si>
  <si>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</si>
  <si>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</si>
  <si>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</si>
  <si>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</si>
  <si>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</si>
  <si>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</si>
  <si>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</si>
  <si>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</si>
  <si>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</si>
  <si>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</si>
  <si>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</si>
  <si>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</si>
  <si>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</si>
  <si>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</si>
  <si>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</si>
  <si>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</si>
  <si>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</si>
  <si>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</si>
  <si>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</si>
  <si>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</si>
  <si>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</si>
  <si>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</si>
  <si>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</si>
  <si>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</si>
  <si>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</si>
  <si>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</si>
  <si>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</si>
  <si>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</si>
  <si>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</si>
  <si>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</si>
  <si>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</si>
  <si>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</si>
  <si>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</si>
  <si>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</si>
  <si>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</si>
  <si>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</si>
  <si>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</si>
  <si>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</si>
  <si>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</si>
  <si>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</si>
  <si>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</si>
  <si>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</si>
  <si>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</si>
  <si>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</si>
  <si>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</si>
  <si>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</si>
  <si>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</si>
  <si>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</si>
  <si>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</si>
  <si>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</si>
  <si>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</si>
  <si>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</si>
  <si>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</si>
  <si>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</si>
  <si>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</si>
  <si>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</si>
  <si>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</si>
  <si>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</si>
  <si>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</si>
  <si>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</si>
  <si>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</si>
  <si>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</si>
  <si>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</si>
  <si>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</si>
  <si>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</si>
  <si>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</si>
  <si>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</si>
  <si>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</si>
  <si>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</si>
  <si>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</si>
  <si>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</si>
  <si>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</si>
  <si>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</si>
  <si>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</si>
  <si>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</si>
  <si>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</si>
  <si>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</si>
  <si>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</si>
  <si>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</si>
  <si>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</si>
  <si>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</si>
  <si>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</si>
  <si>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</si>
  <si>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</si>
  <si>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</si>
  <si>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</si>
  <si>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</si>
  <si>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</si>
  <si>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</si>
  <si>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</si>
  <si>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</si>
  <si>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</si>
  <si>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</si>
  <si>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</si>
  <si>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</si>
  <si>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</si>
  <si>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</si>
  <si>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</si>
  <si>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</si>
  <si>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</si>
  <si>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</si>
  <si>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</si>
  <si>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</si>
  <si>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</si>
  <si>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</si>
  <si>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</si>
  <si>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</si>
  <si>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</si>
  <si>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</si>
  <si>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</si>
  <si>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</si>
  <si>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</si>
  <si>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</si>
  <si>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</si>
  <si>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</si>
  <si>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</si>
  <si>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</si>
  <si>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</si>
  <si>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</si>
  <si>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</si>
  <si>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</si>
  <si>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</si>
  <si>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</si>
  <si>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</si>
  <si>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</si>
  <si>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</si>
  <si>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</si>
  <si>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</si>
  <si>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</si>
  <si>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</si>
  <si>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</si>
  <si>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</si>
  <si>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</si>
  <si>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</si>
  <si>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</si>
  <si>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</si>
  <si>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</si>
  <si>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</si>
  <si>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</si>
  <si>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</si>
  <si>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</si>
  <si>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</si>
  <si>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</si>
  <si>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</si>
  <si>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</si>
  <si>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</si>
  <si>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</si>
  <si>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</si>
  <si>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</si>
  <si>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</si>
  <si>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</si>
  <si>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</si>
  <si>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</si>
  <si>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</si>
  <si>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</si>
  <si>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</si>
  <si>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</si>
  <si>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</si>
  <si>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</si>
  <si>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</si>
  <si>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</si>
  <si>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</si>
  <si>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</si>
  <si>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</si>
  <si>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</si>
  <si>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</si>
  <si>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</si>
  <si>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</si>
  <si>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</si>
  <si>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</si>
  <si>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</si>
  <si>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</si>
  <si>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</si>
  <si>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</si>
  <si>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</si>
  <si>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</si>
  <si>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</si>
  <si>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</si>
  <si>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</si>
  <si>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</si>
  <si>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</si>
  <si>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</si>
  <si>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</si>
  <si>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</si>
  <si>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</si>
  <si>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</si>
  <si>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</si>
  <si>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</si>
  <si>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</si>
  <si>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</si>
  <si>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</si>
  <si>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</si>
  <si>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</si>
  <si>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</si>
  <si>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</si>
  <si>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</si>
  <si>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</si>
  <si>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</si>
  <si>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</si>
  <si>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</si>
  <si>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</si>
  <si>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</si>
  <si>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</si>
  <si>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</si>
  <si>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</si>
  <si>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</si>
  <si>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</si>
  <si>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</si>
  <si>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</si>
  <si>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</si>
  <si>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</si>
  <si>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</si>
  <si>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</si>
  <si>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</si>
  <si>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</si>
  <si>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</si>
  <si>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</si>
  <si>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</si>
  <si>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</si>
  <si>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</si>
  <si>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</si>
  <si>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</si>
  <si>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</si>
  <si>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</si>
  <si>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</si>
  <si>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</si>
  <si>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</si>
  <si>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</si>
  <si>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</si>
  <si>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</si>
  <si>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</si>
  <si>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</si>
  <si>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</si>
  <si>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</si>
  <si>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</si>
  <si>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</si>
  <si>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</si>
  <si>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</si>
  <si>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</si>
  <si>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</si>
  <si>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</si>
  <si>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</si>
  <si>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</si>
  <si>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</si>
  <si>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</si>
  <si>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</si>
  <si>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</si>
  <si>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</si>
  <si>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</si>
  <si>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</si>
  <si>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</si>
  <si>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</si>
  <si>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</si>
  <si>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</si>
  <si>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</si>
  <si>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</si>
  <si>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</si>
  <si>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</si>
  <si>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</si>
  <si>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</si>
  <si>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</si>
  <si>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</si>
  <si>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</si>
  <si>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</si>
  <si>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</si>
  <si>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</si>
  <si>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</si>
  <si>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</si>
  <si>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</si>
  <si>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</si>
  <si>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</si>
  <si>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</si>
  <si>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</si>
  <si>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</si>
  <si>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</si>
  <si>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</si>
  <si>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</si>
  <si>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</si>
  <si>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</si>
  <si>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</si>
  <si>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</si>
  <si>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</si>
  <si>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</si>
  <si>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</si>
  <si>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</si>
  <si>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</si>
  <si>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</si>
  <si>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</si>
  <si>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</si>
  <si>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</si>
  <si>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</si>
  <si>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</si>
  <si>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</si>
  <si>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</si>
  <si>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</si>
  <si>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</si>
  <si>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</si>
  <si>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</si>
  <si>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</si>
  <si>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</si>
  <si>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</si>
  <si>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</si>
  <si>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</si>
  <si>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</si>
  <si>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</si>
  <si>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</si>
  <si>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</si>
  <si>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</si>
  <si>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</si>
  <si>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</si>
  <si>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</si>
  <si>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</si>
  <si>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</si>
  <si>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</si>
  <si>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</si>
  <si>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</si>
  <si>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</si>
  <si>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</si>
  <si>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</si>
  <si>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</si>
  <si>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</si>
  <si>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</si>
  <si>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</si>
  <si>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</si>
  <si>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</si>
  <si>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</si>
  <si>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</si>
  <si>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</si>
  <si>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</si>
  <si>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</si>
  <si>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</si>
  <si>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</si>
  <si>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</si>
  <si>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</si>
  <si>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</si>
  <si>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</si>
  <si>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</si>
  <si>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</si>
  <si>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</si>
  <si>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</si>
  <si>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</si>
  <si>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</si>
  <si>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</si>
  <si>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</si>
  <si>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</si>
  <si>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</si>
  <si>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</si>
  <si>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</si>
  <si>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</si>
  <si>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</si>
  <si>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</si>
  <si>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</si>
  <si>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</si>
  <si>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</si>
  <si>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</si>
  <si>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</si>
  <si>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</si>
  <si>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</si>
  <si>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</si>
  <si>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</si>
  <si>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</si>
  <si>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</si>
  <si>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</si>
  <si>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</si>
  <si>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</si>
  <si>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</si>
  <si>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</si>
  <si>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</si>
  <si>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</si>
  <si>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</si>
  <si>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</si>
  <si>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</si>
  <si>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</si>
  <si>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</si>
  <si>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</si>
  <si>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</si>
  <si>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</si>
  <si>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</si>
  <si>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</si>
  <si>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</si>
  <si>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</si>
  <si>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</si>
  <si>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</si>
  <si>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</si>
  <si>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</si>
  <si>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</si>
  <si>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</si>
  <si>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</si>
  <si>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</si>
  <si>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</si>
  <si>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</si>
  <si>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</si>
  <si>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</si>
  <si>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</si>
  <si>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</si>
  <si>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</si>
  <si>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</si>
  <si>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</si>
  <si>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</si>
  <si>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</si>
  <si>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</si>
  <si>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</si>
  <si>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</si>
  <si>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</si>
  <si>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</si>
  <si>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</si>
  <si>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</si>
  <si>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</si>
  <si>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</si>
  <si>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</si>
  <si>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</si>
  <si>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</si>
  <si>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</si>
  <si>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</si>
  <si>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</si>
  <si>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</si>
  <si>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</si>
  <si>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</si>
  <si>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</si>
  <si>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</si>
  <si>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</si>
  <si>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</si>
  <si>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</si>
  <si>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</si>
  <si>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</si>
  <si>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</si>
  <si>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</si>
  <si>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</si>
  <si>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</si>
  <si>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</si>
  <si>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</si>
  <si>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</si>
  <si>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</si>
  <si>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</si>
  <si>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</si>
  <si>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</si>
  <si>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</si>
  <si>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</si>
  <si>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</si>
  <si>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</si>
  <si>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</si>
  <si>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</si>
  <si>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</si>
  <si>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</si>
  <si>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</si>
  <si>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</si>
  <si>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</si>
  <si>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</si>
  <si>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</si>
  <si>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</si>
  <si>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</si>
  <si>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</si>
  <si>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</si>
  <si>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</si>
  <si>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</si>
  <si>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</si>
  <si>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</si>
  <si>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</si>
  <si>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</si>
  <si>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</si>
  <si>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</si>
  <si>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</si>
  <si>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</si>
  <si>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</si>
  <si>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</si>
  <si>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</si>
  <si>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</si>
  <si>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</si>
  <si>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</si>
  <si>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</si>
  <si>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</si>
  <si>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</si>
  <si>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</si>
  <si>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</si>
  <si>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</si>
  <si>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</si>
  <si>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</si>
  <si>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</si>
  <si>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</si>
  <si>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</si>
  <si>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</si>
  <si>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</si>
  <si>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</si>
  <si>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</si>
  <si>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</si>
  <si>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</si>
  <si>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</si>
  <si>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</si>
  <si>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</si>
  <si>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</si>
  <si>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</si>
  <si>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</si>
  <si>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</si>
  <si>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</si>
  <si>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</si>
  <si>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</si>
  <si>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</si>
  <si>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</si>
  <si>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</si>
  <si>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</si>
  <si>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</si>
  <si>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</si>
  <si>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</si>
  <si>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</si>
  <si>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</si>
  <si>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</si>
  <si>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</si>
  <si>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</si>
  <si>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</si>
  <si>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</si>
  <si>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</si>
  <si>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</si>
  <si>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</si>
  <si>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</si>
  <si>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</si>
  <si>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</si>
  <si>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</si>
  <si>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</si>
  <si>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</si>
  <si>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</si>
  <si>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</si>
  <si>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</si>
  <si>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</si>
  <si>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</si>
  <si>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</si>
  <si>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</si>
  <si>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</si>
  <si>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</si>
  <si>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</si>
  <si>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</si>
  <si>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</si>
  <si>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</si>
  <si>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</si>
  <si>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</si>
  <si>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</si>
  <si>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</si>
  <si>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</si>
  <si>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</si>
  <si>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</si>
  <si>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</si>
  <si>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</si>
  <si>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</si>
  <si>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</si>
  <si>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</si>
  <si>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</si>
  <si>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</si>
  <si>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</si>
  <si>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</si>
  <si>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</si>
  <si>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</si>
  <si>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</si>
  <si>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</si>
  <si>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</si>
  <si>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</si>
  <si>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</si>
  <si>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</si>
  <si>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</si>
  <si>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</si>
  <si>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</si>
  <si>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</si>
  <si>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</si>
  <si>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</si>
  <si>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</si>
  <si>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</si>
  <si>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</si>
  <si>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</si>
  <si>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</si>
  <si>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</si>
  <si>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</si>
  <si>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</si>
  <si>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</si>
  <si>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</si>
  <si>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</si>
  <si>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</si>
  <si>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</si>
  <si>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</si>
  <si>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</si>
  <si>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</si>
  <si>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</si>
  <si>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</si>
  <si>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</si>
  <si>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</si>
  <si>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</si>
  <si>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</si>
  <si>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</si>
  <si>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</si>
  <si>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</si>
  <si>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</si>
  <si>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</si>
  <si>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</si>
  <si>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</si>
  <si>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</si>
  <si>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</si>
  <si>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</si>
  <si>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</si>
  <si>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</si>
  <si>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</si>
  <si>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</si>
  <si>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</si>
  <si>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</si>
  <si>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</si>
  <si>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</si>
  <si>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</si>
  <si>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</si>
  <si>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</si>
  <si>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</si>
  <si>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</si>
  <si>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</si>
  <si>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</si>
  <si>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</si>
  <si>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</si>
  <si>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</si>
  <si>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</si>
  <si>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</si>
  <si>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</si>
  <si>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</si>
  <si>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</si>
  <si>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</si>
  <si>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</si>
  <si>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</si>
  <si>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</si>
  <si>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</si>
  <si>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</si>
  <si>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</si>
  <si>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</si>
  <si>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</si>
  <si>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</si>
  <si>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</si>
  <si>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</si>
  <si>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</si>
  <si>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</si>
  <si>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</si>
  <si>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</si>
  <si>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</si>
  <si>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</si>
  <si>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</si>
  <si>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</si>
  <si>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</si>
  <si>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</si>
  <si>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</si>
  <si>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</si>
  <si>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</si>
  <si>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</si>
  <si>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</si>
  <si>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</si>
  <si>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</si>
  <si>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</si>
  <si>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</si>
  <si>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</si>
  <si>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</si>
  <si>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</si>
  <si>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</si>
  <si>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</si>
  <si>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</si>
  <si>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</si>
  <si>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</si>
  <si>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</si>
  <si>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</si>
  <si>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</si>
  <si>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</si>
  <si>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</si>
  <si>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</si>
  <si>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</si>
  <si>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</si>
  <si>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</si>
  <si>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</si>
  <si>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</si>
  <si>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</si>
  <si>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</si>
  <si>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</si>
  <si>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</si>
  <si>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</si>
  <si>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</si>
  <si>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</si>
  <si>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</si>
  <si>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</si>
  <si>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</si>
  <si>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</si>
  <si>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</si>
  <si>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</si>
  <si>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</si>
  <si>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</si>
  <si>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</si>
  <si>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</si>
  <si>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</si>
  <si>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</si>
  <si>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</si>
  <si>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</si>
  <si>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</si>
  <si>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</si>
  <si>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</si>
  <si>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</si>
  <si>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</si>
  <si>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</si>
  <si>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</si>
  <si>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</si>
  <si>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</si>
  <si>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</si>
  <si>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</si>
  <si>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</si>
  <si>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</si>
  <si>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</si>
  <si>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</si>
  <si>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</si>
  <si>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</si>
  <si>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</si>
  <si>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</si>
  <si>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</si>
  <si>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</si>
  <si>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</si>
  <si>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</si>
  <si>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</si>
  <si>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</si>
  <si>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</si>
  <si>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</si>
  <si>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</si>
  <si>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</si>
  <si>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</si>
  <si>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</si>
  <si>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</si>
  <si>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</si>
  <si>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</si>
  <si>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</si>
  <si>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</si>
  <si>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</si>
  <si>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</si>
  <si>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</si>
  <si>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</si>
  <si>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</si>
  <si>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</si>
  <si>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</si>
  <si>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</si>
  <si>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</si>
  <si>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</si>
  <si>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</si>
  <si>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</si>
  <si>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</si>
  <si>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</si>
  <si>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</si>
  <si>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</si>
  <si>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</si>
  <si>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</si>
  <si>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</si>
  <si>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</si>
  <si>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</si>
  <si>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</si>
  <si>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</si>
  <si>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</si>
  <si>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</si>
  <si>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</si>
  <si>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</si>
  <si>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</si>
  <si>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</si>
  <si>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</si>
  <si>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</si>
  <si>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</si>
  <si>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</si>
  <si>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</si>
  <si>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</si>
  <si>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</si>
  <si>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</si>
  <si>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</si>
  <si>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</si>
  <si>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</si>
  <si>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</si>
  <si>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</si>
  <si>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</si>
  <si>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</si>
  <si>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</si>
  <si>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</si>
  <si>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</si>
  <si>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</si>
  <si>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</si>
  <si>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</si>
  <si>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</si>
  <si>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</si>
  <si>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</si>
  <si>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</si>
  <si>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</si>
  <si>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</si>
  <si>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</si>
  <si>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</si>
  <si>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</si>
  <si>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</si>
  <si>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</si>
  <si>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</si>
  <si>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</si>
  <si>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</si>
  <si>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</si>
  <si>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</si>
  <si>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</si>
  <si>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</si>
  <si>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</si>
  <si>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</si>
  <si>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</si>
  <si>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</si>
  <si>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</si>
  <si>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</si>
  <si>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</si>
  <si>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</si>
  <si>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</si>
  <si>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</si>
  <si>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</si>
  <si>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</si>
  <si>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</si>
  <si>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</si>
  <si>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</si>
  <si>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</si>
  <si>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</si>
  <si>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</si>
  <si>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</si>
  <si>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</si>
  <si>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</si>
  <si>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</si>
  <si>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</si>
  <si>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</si>
  <si>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</si>
  <si>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</si>
  <si>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</si>
  <si>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</si>
  <si>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</si>
  <si>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</si>
  <si>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</si>
  <si>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</si>
  <si>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</si>
  <si>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</si>
  <si>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</si>
  <si>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</si>
  <si>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</si>
  <si>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</si>
  <si>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</si>
  <si>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</si>
  <si>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</si>
  <si>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</si>
  <si>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</si>
  <si>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</si>
  <si>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</si>
  <si>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</si>
  <si>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</si>
  <si>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</si>
  <si>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</si>
  <si>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</si>
  <si>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</si>
  <si>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</si>
  <si>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</si>
  <si>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</si>
  <si>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</si>
  <si>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</si>
  <si>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</si>
  <si>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</si>
  <si>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</si>
  <si>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</si>
  <si>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</si>
  <si>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</si>
  <si>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</si>
  <si>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</si>
  <si>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</si>
  <si>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</si>
  <si>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</si>
  <si>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</si>
  <si>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</si>
  <si>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</si>
  <si>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</si>
  <si>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</si>
  <si>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</si>
  <si>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</si>
  <si>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</si>
  <si>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</si>
  <si>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</si>
  <si>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</si>
  <si>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</si>
  <si>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</si>
  <si>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</si>
  <si>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</si>
  <si>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</si>
  <si>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</si>
  <si>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</si>
  <si>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</si>
  <si>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</si>
  <si>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</si>
  <si>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</si>
  <si>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</si>
  <si>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</si>
  <si>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</si>
  <si>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</si>
  <si>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</si>
  <si>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</si>
  <si>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</si>
  <si>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</si>
  <si>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</si>
  <si>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</si>
  <si>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</si>
  <si>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</si>
  <si>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</si>
  <si>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</si>
  <si>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</si>
  <si>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</si>
  <si>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</si>
  <si>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</si>
  <si>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</si>
  <si>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</si>
  <si>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</si>
  <si>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</si>
  <si>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</si>
  <si>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</si>
  <si>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</si>
  <si>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</si>
  <si>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</si>
  <si>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</si>
  <si>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</si>
  <si>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</si>
  <si>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</si>
  <si>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</si>
  <si>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</si>
  <si>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</si>
  <si>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</si>
  <si>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</si>
  <si>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</si>
  <si>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</si>
  <si>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</si>
  <si>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</si>
  <si>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</si>
  <si>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</si>
  <si>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</si>
  <si>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</si>
  <si>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</si>
  <si>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</si>
  <si>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</si>
  <si>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</si>
  <si>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</si>
  <si>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</si>
  <si>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</si>
  <si>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</si>
  <si>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</si>
  <si>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</si>
  <si>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</si>
  <si>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</si>
  <si>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</si>
  <si>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</si>
  <si>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</si>
  <si>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</si>
  <si>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</si>
  <si>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</si>
  <si>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</si>
  <si>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</si>
  <si>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</si>
  <si>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</si>
  <si>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</si>
  <si>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</si>
  <si>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</si>
  <si>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</si>
  <si>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</si>
  <si>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</si>
  <si>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</si>
  <si>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</si>
  <si>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</si>
  <si>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</si>
  <si>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</si>
  <si>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</si>
  <si>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</si>
  <si>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</si>
  <si>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</si>
  <si>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</si>
  <si>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</si>
  <si>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</si>
  <si>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</si>
  <si>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</si>
  <si>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</si>
  <si>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</si>
  <si>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</si>
  <si>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</si>
  <si>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</si>
  <si>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</si>
  <si>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</si>
  <si>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</si>
  <si>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</si>
  <si>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</si>
  <si>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</si>
  <si>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</si>
  <si>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</si>
  <si>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</si>
  <si>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</si>
  <si>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</si>
  <si>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</si>
  <si>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</si>
  <si>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</si>
  <si>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</si>
  <si>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</si>
  <si>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</si>
  <si>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</si>
  <si>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</si>
  <si>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</si>
  <si>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</si>
  <si>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</si>
  <si>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</si>
  <si>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</si>
  <si>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</si>
  <si>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</si>
  <si>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</si>
  <si>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</si>
  <si>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</si>
  <si>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</si>
  <si>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</si>
  <si>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</si>
  <si>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</si>
  <si>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</si>
  <si>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</si>
  <si>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</si>
  <si>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</si>
  <si>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</si>
  <si>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</si>
  <si>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</si>
  <si>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</si>
  <si>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</si>
  <si>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</si>
  <si>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</si>
  <si>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</si>
  <si>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</si>
  <si>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</si>
  <si>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</si>
  <si>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</si>
  <si>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</si>
  <si>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</si>
  <si>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</si>
  <si>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</si>
  <si>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</si>
  <si>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</si>
  <si>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</si>
  <si>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</si>
  <si>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</si>
  <si>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</si>
  <si>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</si>
  <si>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</si>
  <si>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</si>
  <si>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</si>
  <si>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</si>
  <si>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</si>
  <si>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</si>
  <si>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</si>
  <si>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</si>
  <si>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</si>
  <si>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</si>
  <si>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</si>
  <si>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</si>
  <si>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</si>
  <si>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</si>
  <si>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</si>
  <si>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</si>
  <si>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</si>
  <si>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</si>
  <si>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</si>
  <si>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</si>
  <si>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</si>
  <si>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</si>
  <si>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</si>
  <si>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</si>
  <si>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</si>
  <si>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</si>
  <si>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</si>
  <si>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</si>
  <si>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</si>
  <si>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</si>
  <si>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</si>
  <si>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</si>
  <si>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</si>
  <si>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</si>
  <si>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</si>
  <si>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</si>
  <si>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</si>
  <si>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</si>
  <si>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</si>
  <si>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</si>
  <si>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</si>
  <si>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</si>
  <si>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</si>
  <si>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</si>
  <si>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</si>
  <si>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</si>
  <si>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</si>
  <si>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</si>
  <si>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</si>
  <si>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</si>
  <si>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</si>
  <si>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</si>
  <si>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</si>
  <si>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</si>
  <si>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</si>
  <si>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</si>
  <si>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</si>
  <si>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</si>
  <si>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</si>
  <si>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</si>
  <si>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</si>
  <si>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</si>
  <si>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</si>
  <si>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</si>
  <si>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</si>
  <si>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</si>
  <si>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</si>
  <si>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</si>
  <si>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</si>
  <si>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</si>
  <si>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</si>
  <si>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</si>
  <si>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</si>
  <si>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</si>
  <si>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</si>
  <si>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</si>
  <si>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</si>
  <si>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</si>
  <si>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</si>
  <si>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</si>
  <si>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</si>
  <si>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</si>
  <si>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</si>
  <si>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</si>
  <si>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</si>
  <si>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</si>
  <si>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</si>
  <si>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</si>
  <si>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</si>
  <si>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</si>
  <si>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</si>
  <si>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</si>
  <si>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</si>
  <si>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</si>
  <si>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</si>
  <si>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</si>
  <si>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</si>
  <si>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</si>
  <si>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</si>
  <si>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</si>
  <si>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</si>
  <si>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</si>
  <si>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</si>
  <si>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</si>
  <si>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</si>
  <si>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</si>
  <si>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</si>
  <si>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</si>
  <si>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</si>
  <si>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</si>
  <si>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</si>
  <si>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</si>
  <si>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</si>
  <si>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</si>
  <si>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</si>
  <si>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</si>
  <si>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</si>
  <si>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</si>
  <si>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</si>
  <si>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</si>
  <si>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</si>
  <si>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</si>
  <si>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</si>
  <si>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</si>
  <si>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</si>
  <si>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</si>
  <si>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</si>
  <si>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</si>
  <si>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</si>
  <si>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</si>
  <si>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</si>
  <si>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</si>
  <si>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</si>
  <si>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</si>
  <si>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</si>
  <si>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</si>
  <si>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</si>
  <si>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</si>
  <si>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</si>
  <si>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</si>
  <si>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</si>
  <si>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</si>
  <si>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</si>
  <si>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</si>
  <si>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</si>
  <si>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</si>
  <si>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</si>
  <si>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</si>
  <si>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</si>
  <si>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</si>
  <si>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</si>
  <si>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</si>
  <si>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</si>
  <si>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</si>
  <si>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</si>
  <si>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</si>
  <si>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</si>
  <si>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</si>
  <si>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</si>
  <si>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</si>
  <si>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</si>
  <si>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</si>
  <si>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</si>
  <si>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</si>
  <si>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</si>
  <si>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</si>
  <si>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</si>
  <si>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</si>
  <si>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</si>
  <si>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</si>
  <si>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</si>
  <si>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</si>
  <si>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</si>
  <si>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</si>
  <si>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</si>
  <si>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</si>
  <si>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</si>
  <si>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</si>
  <si>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</si>
  <si>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</si>
  <si>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</si>
  <si>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</si>
  <si>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</si>
  <si>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</si>
  <si>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</si>
  <si>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</si>
  <si>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</si>
  <si>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</si>
  <si>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</si>
  <si>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</si>
  <si>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</si>
  <si>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</si>
  <si>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</si>
  <si>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</si>
  <si>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</si>
  <si>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</si>
  <si>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</si>
  <si>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</si>
  <si>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</si>
  <si>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</si>
  <si>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</si>
  <si>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</si>
  <si>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</si>
  <si>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</si>
  <si>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</si>
  <si>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</si>
  <si>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</si>
  <si>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</si>
  <si>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</si>
  <si>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</si>
  <si>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</si>
  <si>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</si>
  <si>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</si>
  <si>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</si>
  <si>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</si>
  <si>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</si>
  <si>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</si>
  <si>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</si>
  <si>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</si>
  <si>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</si>
  <si>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</si>
  <si>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</si>
  <si>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</si>
  <si>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</si>
  <si>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</si>
  <si>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</si>
  <si>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</si>
  <si>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</si>
  <si>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</si>
  <si>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</si>
  <si>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</si>
  <si>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</si>
  <si>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</si>
  <si>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</si>
  <si>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</si>
  <si>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</si>
  <si>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</si>
  <si>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</si>
  <si>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</si>
  <si>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</si>
  <si>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</si>
  <si>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</si>
  <si>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</si>
  <si>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</si>
  <si>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</si>
  <si>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</si>
  <si>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</si>
  <si>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</si>
  <si>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</si>
  <si>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</si>
  <si>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</si>
  <si>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</si>
  <si>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</si>
  <si>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</si>
  <si>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</si>
  <si>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</si>
  <si>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</si>
  <si>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</si>
  <si>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</si>
  <si>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</si>
  <si>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</si>
  <si>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</si>
  <si>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</si>
  <si>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</si>
  <si>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</si>
  <si>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</si>
  <si>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</si>
  <si>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</si>
  <si>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</si>
  <si>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</si>
  <si>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</si>
  <si>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</si>
  <si>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</si>
  <si>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</si>
  <si>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</si>
  <si>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</si>
  <si>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</si>
  <si>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</si>
  <si>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</si>
  <si>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</si>
  <si>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</si>
  <si>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</si>
  <si>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</si>
  <si>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</si>
  <si>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</si>
  <si>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</si>
  <si>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</si>
  <si>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</si>
  <si>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</si>
  <si>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</si>
  <si>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</si>
  <si>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</si>
  <si>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</si>
  <si>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</si>
  <si>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</si>
  <si>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</si>
  <si>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</si>
  <si>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</si>
  <si>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</si>
  <si>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</si>
  <si>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</si>
  <si>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</si>
  <si>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</si>
  <si>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</si>
  <si>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</si>
  <si>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</si>
  <si>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</si>
  <si>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</si>
  <si>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</si>
  <si>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</si>
  <si>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</si>
  <si>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</si>
  <si>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</si>
  <si>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</si>
  <si>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</si>
  <si>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</si>
  <si>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</si>
  <si>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</si>
  <si>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</si>
  <si>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</si>
  <si>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</si>
  <si>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</si>
  <si>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</si>
  <si>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</si>
  <si>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</si>
  <si>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</si>
  <si>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</si>
  <si>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</si>
  <si>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</si>
  <si>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</si>
  <si>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</si>
  <si>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</si>
  <si>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</si>
  <si>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</si>
  <si>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</si>
  <si>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</si>
  <si>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</si>
  <si>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</si>
  <si>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</si>
  <si>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</si>
  <si>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</si>
  <si>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</si>
  <si>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</si>
  <si>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</si>
  <si>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</si>
  <si>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</si>
  <si>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</si>
  <si>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</si>
  <si>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</si>
  <si>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</si>
  <si>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</si>
  <si>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</si>
  <si>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</si>
  <si>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</si>
  <si>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</si>
  <si>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</si>
  <si>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</si>
  <si>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</si>
  <si>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</si>
  <si>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</si>
  <si>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</si>
  <si>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</si>
  <si>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</si>
  <si>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</si>
  <si>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</si>
  <si>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</si>
  <si>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</si>
  <si>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</si>
  <si>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</si>
  <si>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</si>
  <si>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</si>
  <si>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</si>
  <si>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</si>
  <si>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</si>
  <si>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</si>
  <si>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</si>
  <si>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</si>
  <si>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</si>
  <si>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</si>
  <si>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</si>
  <si>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</si>
  <si>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</si>
  <si>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</si>
  <si>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</si>
  <si>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</si>
  <si>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</si>
  <si>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</si>
  <si>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</si>
  <si>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</si>
  <si>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</si>
  <si>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</si>
  <si>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</si>
  <si>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</si>
  <si>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</si>
  <si>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</si>
  <si>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</si>
  <si>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</si>
  <si>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</si>
  <si>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</si>
  <si>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</si>
  <si>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</si>
  <si>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</si>
  <si>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</si>
  <si>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</si>
  <si>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</si>
  <si>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</si>
  <si>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</si>
  <si>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</si>
  <si>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</si>
  <si>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</si>
  <si>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</si>
  <si>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</si>
  <si>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</si>
  <si>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</si>
  <si>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</si>
  <si>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</si>
  <si>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</si>
  <si>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</si>
  <si>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</si>
  <si>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</si>
  <si>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</si>
  <si>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</si>
  <si>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</si>
  <si>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</si>
  <si>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</si>
  <si>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</si>
  <si>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</si>
  <si>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</si>
  <si>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</si>
  <si>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</si>
  <si>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</si>
  <si>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</si>
  <si>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</si>
  <si>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</si>
  <si>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</si>
  <si>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</si>
  <si>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</si>
  <si>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</si>
  <si>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</si>
  <si>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</si>
  <si>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</si>
  <si>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</si>
  <si>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</si>
  <si>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</si>
  <si>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</si>
  <si>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</si>
  <si>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</si>
  <si>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</si>
  <si>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</si>
  <si>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</si>
  <si>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</si>
  <si>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</si>
  <si>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</si>
  <si>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</si>
  <si>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</si>
  <si>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</si>
  <si>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</si>
  <si>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</si>
  <si>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</si>
  <si>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</si>
  <si>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</si>
  <si>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</si>
  <si>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</si>
  <si>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</si>
  <si>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</si>
  <si>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</si>
  <si>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</si>
  <si>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</si>
  <si>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</si>
  <si>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</si>
  <si>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</si>
  <si>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</si>
  <si>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</si>
  <si>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</si>
  <si>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</si>
  <si>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</si>
  <si>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</si>
  <si>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</si>
  <si>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</si>
  <si>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</si>
  <si>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</si>
  <si>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</si>
  <si>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</si>
  <si>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</si>
  <si>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</si>
  <si>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</si>
  <si>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</si>
  <si>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</si>
  <si>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</si>
  <si>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</si>
  <si>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</si>
  <si>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</si>
  <si>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</si>
  <si>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</si>
  <si>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</si>
  <si>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</si>
  <si>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</si>
  <si>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</si>
  <si>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</si>
  <si>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</si>
  <si>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</si>
  <si>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</si>
  <si>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</si>
  <si>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</si>
  <si>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</si>
  <si>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</si>
  <si>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</si>
  <si>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</si>
  <si>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</si>
  <si>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</si>
  <si>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</si>
  <si>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</si>
  <si>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</si>
  <si>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</si>
  <si>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</si>
  <si>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</si>
  <si>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</si>
  <si>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</si>
  <si>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</si>
  <si>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</si>
  <si>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</si>
  <si>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</si>
  <si>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</si>
  <si>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</si>
  <si>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</si>
  <si>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</si>
  <si>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</si>
  <si>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</si>
  <si>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</si>
  <si>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</si>
  <si>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</si>
  <si>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</si>
  <si>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</si>
  <si>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</si>
  <si>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</si>
  <si>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</si>
  <si>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</si>
  <si>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</si>
  <si>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</si>
  <si>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</si>
  <si>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</si>
  <si>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</si>
  <si>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</si>
  <si>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</si>
  <si>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</si>
  <si>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</si>
  <si>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</si>
  <si>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</si>
  <si>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</si>
  <si>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</si>
  <si>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</si>
  <si>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</si>
  <si>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</si>
  <si>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</si>
  <si>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</si>
  <si>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</si>
  <si>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</si>
  <si>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</si>
  <si>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</si>
  <si>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</si>
  <si>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</si>
  <si>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</si>
  <si>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</si>
  <si>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</si>
  <si>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</si>
  <si>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</si>
  <si>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</si>
  <si>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</si>
  <si>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</si>
  <si>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</si>
  <si>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</si>
  <si>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</si>
  <si>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</si>
  <si>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</si>
  <si>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</si>
  <si>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</si>
  <si>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</si>
  <si>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</si>
  <si>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</si>
  <si>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</si>
  <si>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</si>
  <si>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</si>
  <si>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</si>
  <si>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</si>
  <si>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</si>
  <si>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</si>
  <si>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</si>
  <si>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</si>
  <si>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</si>
  <si>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</si>
  <si>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</si>
  <si>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</si>
  <si>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</si>
  <si>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</si>
  <si>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</si>
  <si>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</si>
  <si>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</si>
  <si>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</si>
  <si>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</si>
  <si>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</si>
  <si>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</si>
  <si>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</si>
  <si>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</si>
  <si>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</si>
  <si>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</si>
  <si>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</si>
  <si>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</si>
  <si>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</si>
  <si>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</si>
  <si>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</si>
  <si>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</si>
  <si>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</si>
  <si>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</si>
  <si>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</si>
  <si>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</si>
  <si>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</si>
  <si>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</si>
  <si>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</si>
  <si>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</si>
  <si>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</si>
  <si>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</si>
  <si>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</si>
  <si>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</si>
  <si>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</si>
  <si>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</si>
  <si>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</si>
  <si>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</si>
  <si>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</si>
  <si>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</si>
  <si>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</si>
  <si>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</si>
  <si>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</si>
  <si>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</si>
  <si>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</si>
  <si>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</si>
  <si>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</si>
  <si>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</si>
  <si>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</si>
  <si>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</si>
  <si>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</si>
  <si>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</si>
  <si>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</si>
  <si>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</si>
  <si>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</si>
  <si>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</si>
  <si>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</si>
  <si>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</si>
  <si>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</si>
  <si>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</si>
  <si>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</si>
  <si>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</si>
  <si>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</si>
  <si>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</si>
  <si>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</si>
  <si>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</si>
  <si>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</si>
  <si>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</si>
  <si>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</si>
  <si>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</si>
  <si>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</si>
  <si>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</si>
  <si>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</si>
  <si>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</si>
  <si>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</si>
  <si>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</si>
  <si>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</si>
  <si>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</si>
  <si>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</si>
  <si>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</si>
  <si>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</si>
  <si>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</si>
  <si>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</si>
  <si>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</si>
  <si>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</si>
  <si>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</si>
  <si>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</si>
  <si>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</si>
  <si>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</si>
  <si>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</si>
  <si>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</si>
  <si>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</si>
  <si>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</si>
  <si>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</si>
  <si>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</si>
  <si>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</si>
  <si>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</si>
  <si>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</si>
  <si>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</si>
  <si>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</si>
  <si>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</si>
  <si>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</si>
  <si>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</si>
  <si>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</si>
  <si>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</si>
  <si>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</si>
  <si>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</si>
  <si>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</si>
  <si>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</si>
  <si>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</si>
  <si>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</si>
  <si>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</si>
  <si>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</si>
  <si>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</si>
  <si>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</si>
  <si>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</si>
  <si>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</si>
  <si>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</si>
  <si>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</si>
  <si>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</si>
  <si>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</si>
  <si>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</si>
  <si>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</si>
  <si>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</si>
  <si>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</si>
  <si>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</si>
  <si>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</si>
  <si>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</si>
  <si>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</si>
  <si>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</si>
  <si>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</si>
  <si>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</si>
  <si>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</si>
  <si>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</si>
  <si>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</si>
  <si>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</si>
  <si>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</si>
  <si>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</si>
  <si>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</si>
  <si>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</si>
  <si>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</si>
  <si>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</si>
  <si>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</si>
  <si>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</si>
  <si>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</si>
  <si>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</si>
  <si>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</si>
  <si>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</si>
  <si>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</si>
  <si>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</si>
  <si>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</si>
  <si>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</si>
  <si>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</si>
  <si>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</si>
  <si>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</si>
  <si>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</si>
  <si>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</si>
  <si>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</si>
  <si>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</si>
  <si>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</si>
  <si>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</si>
  <si>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</si>
  <si>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</si>
  <si>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</si>
  <si>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</si>
  <si>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</si>
  <si>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</si>
  <si>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</si>
  <si>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</si>
  <si>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</si>
  <si>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</si>
  <si>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</si>
  <si>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</si>
  <si>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</si>
  <si>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</si>
  <si>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</si>
  <si>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</si>
  <si>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</si>
  <si>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</si>
  <si>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</si>
  <si>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</si>
  <si>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</si>
  <si>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</si>
  <si>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</si>
  <si>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</si>
  <si>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</si>
  <si>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</si>
  <si>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</si>
  <si>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</si>
  <si>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</si>
  <si>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</si>
  <si>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</si>
  <si>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</si>
  <si>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</si>
  <si>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</si>
  <si>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</si>
  <si>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</si>
  <si>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</si>
  <si>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</si>
  <si>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</si>
  <si>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</si>
  <si>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</si>
  <si>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</si>
  <si>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</si>
  <si>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</si>
  <si>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</si>
  <si>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</si>
  <si>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</si>
  <si>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</si>
  <si>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</si>
  <si>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</si>
  <si>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</si>
  <si>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</si>
  <si>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</si>
  <si>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</si>
  <si>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</si>
  <si>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</si>
  <si>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</si>
  <si>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</si>
  <si>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</si>
  <si>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</si>
  <si>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</si>
  <si>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</si>
  <si>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</si>
  <si>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</si>
  <si>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</si>
  <si>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</si>
  <si>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</si>
  <si>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</si>
  <si>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</si>
  <si>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</si>
  <si>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</si>
  <si>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</si>
  <si>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</si>
  <si>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</si>
  <si>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</si>
  <si>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</si>
  <si>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</si>
  <si>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</si>
  <si>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</si>
  <si>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</si>
  <si>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</si>
  <si>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</si>
  <si>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</si>
  <si>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</si>
  <si>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</si>
  <si>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</si>
  <si>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</si>
  <si>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</si>
  <si>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</si>
  <si>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</si>
  <si>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</si>
  <si>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</si>
  <si>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</si>
  <si>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</si>
  <si>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</si>
  <si>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</si>
  <si>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</si>
  <si>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</si>
  <si>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</si>
  <si>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</si>
  <si>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</si>
  <si>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</si>
  <si>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</si>
  <si>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</si>
  <si>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</si>
  <si>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</si>
  <si>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</si>
  <si>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</si>
  <si>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</si>
  <si>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</si>
  <si>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</si>
  <si>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</si>
  <si>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</si>
  <si>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</si>
  <si>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</si>
  <si>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</si>
  <si>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</si>
  <si>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</si>
  <si>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</si>
  <si>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</si>
  <si>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</si>
  <si>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</si>
  <si>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</si>
  <si>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</si>
  <si>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</si>
  <si>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</si>
  <si>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</si>
  <si>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</si>
  <si>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</si>
  <si>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</si>
  <si>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</si>
  <si>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</si>
  <si>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</si>
  <si>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</si>
  <si>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</si>
  <si>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</si>
  <si>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</si>
  <si>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</si>
  <si>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</si>
  <si>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</si>
  <si>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</si>
  <si>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</si>
  <si>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</si>
  <si>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</si>
  <si>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</si>
  <si>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</si>
  <si>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</si>
  <si>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</si>
  <si>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</si>
  <si>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</si>
  <si>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</si>
  <si>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</si>
  <si>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</si>
  <si>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</si>
  <si>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</si>
  <si>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</si>
  <si>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</si>
  <si>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</si>
  <si>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</si>
  <si>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</si>
  <si>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</si>
  <si>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</si>
  <si>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</si>
  <si>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</si>
  <si>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</si>
  <si>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</si>
  <si>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</si>
  <si>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</si>
  <si>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</si>
  <si>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</si>
  <si>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</si>
  <si>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</si>
  <si>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</si>
  <si>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</si>
  <si>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</si>
  <si>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</si>
  <si>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</si>
  <si>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</si>
  <si>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</si>
  <si>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</si>
  <si>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</si>
  <si>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</si>
  <si>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</si>
  <si>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</si>
  <si>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</si>
  <si>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</si>
  <si>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</si>
  <si>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</si>
  <si>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</si>
  <si>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</si>
  <si>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</si>
  <si>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</si>
  <si>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</si>
  <si>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</si>
  <si>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</si>
  <si>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</si>
  <si>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</si>
  <si>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</si>
  <si>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</si>
  <si>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</si>
  <si>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</si>
  <si>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</si>
  <si>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</si>
  <si>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</si>
  <si>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</si>
  <si>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</si>
  <si>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</si>
  <si>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</si>
  <si>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</si>
  <si>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</si>
  <si>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</si>
  <si>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</si>
  <si>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</si>
  <si>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</si>
  <si>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</si>
  <si>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</si>
  <si>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</si>
  <si>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</si>
  <si>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</si>
  <si>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</si>
  <si>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</si>
  <si>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</si>
  <si>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</si>
  <si>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</si>
  <si>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</si>
  <si>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</si>
  <si>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</si>
  <si>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</si>
  <si>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</si>
  <si>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</si>
  <si>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</si>
  <si>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</si>
  <si>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</si>
  <si>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</si>
  <si>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</si>
  <si>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</si>
  <si>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</si>
  <si>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</si>
  <si>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</si>
  <si>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</si>
  <si>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</si>
  <si>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</si>
  <si>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</si>
  <si>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</si>
  <si>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</si>
  <si>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</si>
  <si>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</si>
  <si>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</si>
  <si>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</si>
  <si>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</si>
  <si>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</si>
  <si>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</si>
  <si>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</si>
  <si>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</si>
  <si>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</si>
  <si>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</si>
  <si>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</si>
  <si>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</si>
  <si>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</si>
  <si>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</si>
  <si>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</si>
  <si>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</si>
  <si>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</si>
  <si>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</si>
  <si>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</si>
  <si>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</si>
  <si>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</si>
  <si>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</si>
  <si>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</si>
  <si>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</si>
  <si>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</si>
  <si>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</si>
  <si>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</si>
  <si>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</si>
  <si>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</si>
  <si>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</si>
  <si>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</si>
  <si>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</si>
  <si>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</si>
  <si>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</si>
  <si>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</si>
  <si>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</si>
  <si>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</si>
  <si>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</si>
  <si>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</si>
  <si>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</si>
  <si>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</si>
  <si>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</si>
  <si>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</si>
  <si>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</si>
  <si>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</si>
  <si>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</si>
  <si>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</si>
  <si>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</si>
  <si>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</si>
  <si>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</si>
  <si>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</si>
  <si>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</si>
  <si>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</si>
  <si>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</si>
  <si>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</si>
  <si>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</si>
  <si>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</si>
  <si>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</si>
  <si>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</si>
  <si>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</si>
  <si>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</si>
  <si>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</si>
  <si>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</si>
  <si>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</si>
  <si>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</si>
  <si>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</si>
  <si>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</si>
  <si>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</si>
  <si>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</si>
  <si>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</si>
  <si>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</si>
  <si>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</si>
  <si>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</si>
  <si>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</si>
  <si>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</si>
  <si>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</si>
  <si>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</si>
  <si>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</si>
  <si>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</si>
  <si>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</si>
  <si>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</si>
  <si>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</si>
  <si>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</si>
  <si>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</si>
  <si>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</si>
  <si>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</si>
  <si>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</si>
  <si>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</si>
  <si>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</si>
  <si>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</si>
  <si>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</si>
  <si>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</si>
  <si>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</si>
  <si>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</si>
  <si>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</si>
  <si>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</si>
  <si>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</si>
  <si>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</si>
  <si>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</si>
  <si>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</si>
  <si>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</si>
  <si>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</si>
  <si>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</si>
  <si>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</si>
  <si>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</si>
  <si>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</si>
  <si>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</si>
  <si>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</si>
  <si>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</si>
  <si>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</si>
  <si>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</si>
  <si>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</si>
  <si>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</si>
  <si>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</si>
  <si>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</si>
  <si>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</si>
  <si>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</si>
  <si>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</si>
  <si>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</si>
  <si>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</si>
  <si>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</si>
  <si>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</si>
  <si>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</si>
  <si>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</si>
  <si>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</si>
  <si>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</si>
  <si>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</si>
  <si>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</si>
  <si>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</si>
  <si>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</si>
  <si>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</si>
  <si>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</si>
  <si>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</si>
  <si>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</si>
  <si>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</si>
  <si>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</si>
  <si>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</si>
  <si>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</si>
  <si>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</si>
  <si>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</si>
  <si>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</si>
  <si>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</si>
  <si>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</si>
  <si>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</si>
  <si>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</si>
  <si>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</si>
  <si>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</si>
  <si>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</si>
  <si>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</si>
  <si>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</si>
  <si>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</si>
  <si>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</si>
  <si>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</si>
  <si>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</si>
  <si>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</si>
  <si>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</si>
  <si>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</si>
  <si>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</si>
  <si>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</si>
  <si>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</si>
  <si>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</si>
  <si>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</si>
  <si>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</si>
  <si>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</si>
  <si>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</si>
  <si>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</si>
  <si>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</si>
  <si>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</si>
  <si>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</si>
  <si>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</si>
  <si>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</si>
  <si>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</si>
  <si>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</si>
  <si>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</si>
  <si>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</si>
  <si>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</si>
  <si>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</si>
  <si>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</si>
  <si>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</si>
  <si>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</si>
  <si>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</si>
  <si>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</si>
  <si>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</si>
  <si>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</si>
  <si>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</si>
  <si>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</si>
  <si>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</si>
  <si>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</si>
  <si>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</si>
  <si>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</si>
  <si>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</si>
  <si>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</si>
  <si>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</si>
  <si>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</si>
  <si>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</si>
  <si>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</si>
  <si>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</si>
  <si>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</si>
  <si>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</si>
  <si>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</si>
  <si>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</si>
  <si>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</si>
  <si>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</si>
  <si>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</si>
  <si>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</si>
  <si>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</si>
  <si>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</si>
  <si>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</si>
  <si>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</si>
  <si>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</si>
  <si>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</si>
  <si>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</si>
  <si>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</si>
  <si>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</si>
  <si>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</si>
  <si>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</si>
  <si>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</si>
  <si>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</si>
  <si>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</si>
  <si>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</si>
  <si>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</si>
  <si>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</si>
  <si>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</si>
  <si>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</si>
  <si>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</si>
  <si>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</si>
  <si>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</si>
  <si>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</si>
  <si>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</si>
  <si>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</si>
  <si>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</si>
  <si>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</si>
  <si>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</si>
  <si>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</si>
  <si>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</si>
  <si>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</si>
  <si>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</si>
  <si>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</si>
  <si>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</si>
  <si>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</si>
  <si>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</si>
  <si>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</si>
  <si>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</si>
  <si>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</si>
  <si>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</si>
  <si>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</si>
  <si>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</si>
  <si>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</si>
  <si>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</si>
  <si>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</si>
  <si>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</si>
  <si>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</si>
  <si>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</si>
  <si>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</si>
  <si>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</si>
  <si>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</si>
  <si>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</si>
  <si>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</si>
  <si>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</si>
  <si>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</si>
  <si>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</si>
  <si>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</si>
  <si>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</si>
  <si>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</si>
  <si>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</si>
  <si>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</si>
  <si>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</si>
  <si>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</si>
  <si>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</si>
  <si>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</si>
  <si>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</si>
  <si>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</si>
  <si>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</si>
  <si>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</si>
  <si>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</si>
  <si>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</si>
  <si>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</si>
  <si>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</si>
  <si>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</si>
  <si>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</si>
  <si>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</si>
  <si>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</si>
  <si>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</si>
  <si>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</si>
  <si>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</si>
  <si>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</si>
  <si>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</si>
  <si>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</si>
  <si>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</si>
  <si>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</si>
  <si>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</si>
  <si>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</si>
  <si>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</si>
  <si>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</si>
  <si>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</si>
  <si>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</si>
  <si>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</si>
  <si>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</si>
  <si>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</si>
  <si>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</si>
  <si>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</si>
  <si>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</si>
  <si>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</si>
  <si>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</si>
  <si>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</si>
  <si>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</si>
  <si>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</si>
  <si>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</si>
  <si>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</si>
  <si>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</si>
  <si>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</si>
  <si>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</si>
  <si>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</si>
  <si>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</si>
  <si>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</si>
  <si>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</si>
  <si>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</si>
  <si>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</si>
  <si>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</si>
  <si>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</si>
  <si>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</si>
  <si>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</si>
  <si>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</si>
  <si>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</si>
  <si>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</si>
  <si>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</si>
  <si>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</si>
  <si>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</si>
  <si>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</si>
  <si>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</si>
  <si>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</si>
  <si>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</si>
  <si>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</si>
  <si>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</si>
  <si>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</si>
  <si>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</si>
  <si>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</si>
  <si>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</si>
  <si>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</si>
  <si>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</si>
  <si>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</si>
  <si>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</si>
  <si>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</si>
  <si>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</si>
  <si>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</si>
  <si>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</si>
  <si>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</si>
  <si>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</si>
  <si>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</si>
  <si>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</si>
  <si>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</si>
  <si>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</si>
  <si>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</si>
  <si>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</si>
  <si>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</si>
  <si>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</si>
  <si>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</si>
  <si>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</si>
  <si>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</si>
  <si>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</si>
  <si>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</si>
  <si>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</si>
  <si>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</si>
  <si>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</si>
  <si>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</si>
  <si>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</si>
  <si>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</si>
  <si>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</si>
  <si>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</si>
  <si>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</si>
  <si>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</si>
  <si>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</si>
  <si>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</si>
  <si>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</si>
  <si>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</si>
  <si>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</si>
  <si>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</si>
  <si>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</si>
  <si>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</si>
  <si>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</si>
  <si>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</si>
  <si>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</si>
  <si>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</si>
  <si>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</si>
  <si>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</si>
  <si>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</si>
  <si>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</si>
  <si>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</si>
  <si>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</si>
  <si>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</si>
  <si>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</si>
  <si>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</si>
  <si>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</si>
  <si>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</si>
  <si>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</si>
  <si>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</si>
  <si>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</si>
  <si>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</si>
  <si>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</si>
  <si>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</si>
  <si>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</si>
  <si>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</si>
  <si>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</si>
  <si>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</si>
  <si>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</si>
  <si>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</si>
  <si>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</si>
  <si>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</si>
  <si>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</si>
  <si>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</si>
  <si>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</si>
  <si>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</si>
  <si>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</si>
  <si>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</si>
  <si>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</si>
  <si>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</si>
  <si>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</si>
  <si>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</si>
  <si>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</si>
  <si>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</si>
  <si>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</si>
  <si>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</si>
  <si>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</si>
  <si>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</si>
  <si>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</si>
  <si>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</si>
  <si>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</si>
  <si>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</si>
  <si>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</si>
  <si>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</si>
  <si>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</si>
  <si>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</si>
  <si>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</si>
  <si>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</si>
  <si>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</si>
  <si>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</si>
  <si>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</si>
  <si>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</si>
  <si>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</si>
  <si>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</si>
  <si>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</si>
  <si>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</si>
  <si>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</si>
  <si>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</si>
  <si>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</si>
  <si>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</si>
  <si>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</si>
  <si>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</si>
  <si>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</si>
  <si>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</si>
  <si>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</si>
  <si>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</si>
  <si>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</si>
  <si>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</si>
  <si>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</si>
  <si>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</si>
  <si>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</si>
  <si>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</si>
  <si>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</si>
  <si>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</si>
  <si>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</si>
  <si>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</si>
  <si>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</si>
  <si>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</si>
  <si>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</si>
  <si>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</si>
  <si>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</si>
  <si>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</si>
  <si>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</si>
  <si>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</si>
  <si>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</si>
  <si>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</si>
  <si>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</si>
  <si>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</si>
  <si>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</si>
  <si>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</si>
  <si>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</si>
  <si>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</si>
  <si>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</si>
  <si>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</si>
  <si>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</si>
  <si>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</si>
  <si>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</si>
  <si>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</si>
  <si>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</si>
  <si>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</si>
  <si>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</si>
  <si>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</si>
  <si>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</si>
  <si>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</si>
  <si>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</si>
  <si>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</si>
  <si>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</si>
  <si>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</si>
  <si>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</si>
  <si>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</si>
  <si>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</si>
  <si>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</si>
  <si>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</si>
  <si>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</si>
  <si>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</si>
  <si>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</si>
  <si>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</si>
  <si>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</si>
  <si>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</si>
  <si>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</si>
  <si>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</si>
  <si>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</si>
  <si>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</si>
  <si>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</si>
  <si>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</si>
  <si>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</si>
  <si>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</si>
  <si>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</si>
  <si>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</si>
  <si>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</si>
  <si>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</si>
  <si>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</si>
  <si>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</si>
  <si>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</si>
  <si>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</si>
  <si>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</si>
  <si>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</si>
  <si>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</si>
  <si>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</si>
  <si>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</si>
  <si>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</si>
  <si>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</si>
  <si>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</si>
  <si>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</si>
  <si>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</si>
  <si>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</si>
  <si>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</si>
  <si>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</si>
  <si>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</si>
  <si>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</si>
  <si>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</si>
  <si>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</si>
  <si>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</si>
  <si>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</si>
  <si>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</si>
  <si>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</si>
  <si>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</si>
  <si>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</si>
  <si>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</si>
  <si>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</si>
  <si>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</si>
  <si>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</si>
  <si>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</si>
  <si>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</si>
  <si>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</si>
  <si>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</si>
  <si>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</si>
  <si>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</si>
  <si>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</si>
  <si>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</si>
  <si>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</si>
  <si>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</si>
  <si>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</si>
  <si>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</si>
  <si>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</si>
  <si>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</si>
  <si>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</si>
  <si>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</si>
  <si>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</si>
  <si>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</si>
  <si>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</si>
  <si>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</si>
  <si>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</si>
  <si>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</si>
  <si>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</si>
  <si>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</si>
  <si>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</si>
  <si>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</si>
  <si>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</si>
  <si>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</si>
  <si>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</si>
  <si>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</si>
  <si>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</si>
  <si>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</si>
  <si>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</si>
  <si>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</si>
  <si>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</si>
  <si>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</si>
  <si>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</si>
  <si>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</si>
  <si>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</si>
  <si>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</si>
  <si>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</si>
  <si>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</si>
  <si>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</si>
  <si>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</si>
  <si>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</si>
  <si>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</si>
  <si>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</si>
  <si>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</si>
  <si>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</si>
  <si>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</si>
  <si>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</si>
  <si>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</si>
  <si>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</si>
  <si>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</si>
  <si>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</si>
  <si>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</si>
  <si>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</si>
  <si>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</si>
  <si>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</si>
  <si>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</si>
  <si>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</si>
  <si>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</si>
  <si>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</si>
  <si>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</si>
  <si>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</si>
  <si>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</si>
  <si>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</si>
  <si>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</si>
  <si>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</si>
  <si>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</si>
  <si>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</si>
  <si>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</si>
  <si>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</si>
  <si>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</si>
  <si>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</si>
  <si>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</si>
  <si>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</si>
  <si>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</si>
  <si>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</si>
  <si>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</si>
  <si>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</si>
  <si>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</si>
  <si>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</si>
  <si>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</si>
  <si>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</si>
  <si>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</si>
  <si>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</si>
  <si>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</si>
  <si>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</si>
  <si>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</si>
  <si>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</si>
  <si>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</si>
  <si>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</si>
  <si>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</si>
  <si>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</si>
  <si>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</si>
  <si>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</si>
  <si>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</si>
  <si>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</si>
  <si>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</si>
  <si>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</si>
  <si>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</si>
  <si>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</si>
  <si>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</si>
  <si>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</si>
  <si>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</si>
  <si>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</si>
  <si>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</si>
  <si>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</si>
  <si>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</si>
  <si>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</si>
  <si>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</si>
  <si>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</si>
  <si>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</si>
  <si>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</si>
  <si>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</si>
  <si>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</si>
  <si>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</si>
  <si>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</si>
  <si>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</si>
  <si>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</si>
  <si>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</si>
  <si>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</si>
  <si>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</si>
  <si>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</si>
  <si>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</si>
  <si>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</si>
  <si>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</si>
  <si>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</si>
  <si>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</si>
  <si>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</si>
  <si>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</si>
  <si>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</si>
  <si>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</si>
  <si>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</si>
  <si>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</si>
  <si>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</si>
  <si>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</si>
  <si>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</si>
  <si>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</si>
  <si>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</si>
  <si>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</si>
  <si>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</si>
  <si>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</si>
  <si>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</si>
  <si>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</si>
  <si>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</si>
  <si>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</si>
  <si>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</si>
  <si>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</si>
  <si>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</si>
  <si>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</si>
  <si>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</si>
  <si>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</si>
  <si>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</si>
  <si>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</si>
  <si>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</si>
  <si>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</si>
  <si>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</si>
  <si>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</si>
  <si>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</si>
  <si>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</si>
  <si>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</si>
  <si>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</si>
  <si>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</si>
  <si>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</si>
  <si>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</si>
  <si>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</si>
  <si>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</si>
  <si>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</si>
  <si>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</si>
  <si>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</si>
  <si>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</si>
  <si>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</si>
  <si>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</si>
  <si>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</si>
  <si>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</si>
  <si>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</si>
  <si>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</si>
  <si>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</si>
  <si>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</si>
  <si>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</si>
  <si>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</si>
  <si>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</si>
  <si>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</si>
  <si>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</si>
  <si>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</si>
  <si>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</si>
  <si>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</si>
  <si>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</si>
  <si>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</si>
  <si>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</si>
  <si>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</si>
  <si>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</si>
  <si>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</si>
  <si>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</si>
  <si>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</si>
  <si>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</si>
  <si>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</si>
  <si>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</si>
  <si>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</si>
  <si>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</si>
  <si>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</si>
  <si>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</si>
  <si>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</si>
  <si>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</si>
  <si>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</si>
  <si>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</si>
  <si>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</si>
  <si>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</si>
  <si>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</si>
  <si>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</si>
  <si>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</si>
  <si>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</si>
  <si>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</si>
  <si>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</si>
  <si>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</si>
  <si>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</si>
  <si>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</si>
  <si>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</si>
  <si>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</si>
  <si>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</si>
  <si>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</si>
  <si>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</si>
  <si>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</si>
  <si>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</si>
  <si>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</si>
  <si>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</si>
  <si>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</si>
  <si>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</si>
  <si>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</si>
  <si>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</si>
  <si>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</si>
  <si>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</si>
  <si>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</si>
  <si>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</si>
  <si>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</si>
  <si>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</si>
  <si>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</si>
  <si>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</si>
  <si>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</si>
  <si>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</si>
  <si>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</si>
  <si>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</si>
  <si>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</si>
  <si>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</si>
  <si>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</si>
  <si>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</si>
  <si>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</si>
  <si>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</si>
  <si>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</si>
  <si>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</si>
  <si>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</si>
  <si>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</si>
  <si>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</si>
  <si>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</si>
  <si>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</si>
  <si>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</si>
  <si>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</si>
  <si>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</si>
  <si>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</si>
  <si>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</si>
  <si>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</si>
  <si>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</si>
  <si>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</si>
  <si>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</si>
  <si>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</si>
  <si>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</si>
  <si>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</si>
  <si>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</si>
  <si>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</si>
  <si>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</si>
  <si>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</si>
  <si>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</si>
  <si>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</si>
  <si>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</si>
  <si>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</si>
  <si>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</si>
  <si>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</si>
  <si>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</si>
  <si>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</si>
  <si>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</si>
  <si>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</si>
  <si>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</si>
  <si>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</si>
  <si>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</si>
  <si>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</si>
  <si>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</si>
  <si>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</si>
  <si>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</si>
  <si>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</si>
  <si>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</si>
  <si>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</si>
  <si>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</si>
  <si>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</si>
  <si>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</si>
  <si>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</si>
  <si>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</si>
  <si>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</si>
  <si>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</si>
  <si>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</si>
  <si>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</si>
  <si>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</si>
  <si>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</si>
  <si>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</si>
  <si>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</si>
  <si>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</si>
  <si>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</si>
  <si>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</si>
  <si>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</si>
  <si>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</si>
  <si>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</si>
  <si>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</si>
  <si>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</si>
  <si>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</si>
  <si>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</si>
  <si>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</si>
  <si>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</si>
  <si>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</si>
  <si>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</si>
  <si>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</si>
  <si>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</si>
  <si>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</si>
  <si>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</si>
  <si>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</si>
  <si>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</si>
  <si>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</si>
  <si>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</si>
  <si>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</si>
  <si>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</si>
  <si>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</si>
  <si>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</si>
  <si>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</si>
  <si>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</si>
  <si>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</si>
  <si>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</si>
  <si>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</si>
  <si>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</si>
  <si>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</si>
  <si>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</si>
  <si>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</si>
  <si>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</si>
  <si>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</si>
  <si>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</si>
  <si>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</si>
  <si>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</si>
  <si>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</si>
  <si>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</si>
  <si>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</si>
  <si>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</si>
  <si>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</si>
  <si>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</si>
  <si>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</si>
  <si>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</si>
  <si>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</si>
  <si>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</si>
  <si>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</si>
  <si>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</si>
  <si>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</si>
  <si>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</si>
  <si>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</si>
  <si>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</si>
  <si>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</si>
  <si>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</si>
  <si>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</si>
  <si>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</si>
  <si>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</si>
  <si>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</si>
  <si>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</si>
  <si>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</si>
  <si>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</si>
  <si>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</si>
  <si>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</si>
  <si>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</si>
  <si>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</si>
  <si>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</si>
  <si>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</si>
  <si>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</si>
  <si>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</si>
  <si>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</si>
  <si>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</si>
  <si>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</si>
  <si>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</si>
  <si>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</si>
  <si>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</si>
  <si>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</si>
  <si>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</si>
  <si>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</si>
  <si>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</si>
  <si>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</si>
  <si>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</si>
  <si>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</si>
  <si>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</si>
  <si>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</si>
  <si>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</si>
  <si>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</si>
  <si>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</si>
  <si>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</si>
  <si>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</si>
  <si>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</si>
  <si>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</si>
  <si>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</si>
  <si>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</si>
  <si>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</si>
  <si>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</si>
  <si>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</si>
  <si>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</si>
  <si>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</si>
  <si>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</si>
  <si>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</si>
  <si>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</si>
  <si>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</si>
  <si>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</si>
  <si>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</si>
  <si>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</si>
  <si>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</si>
  <si>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</si>
  <si>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</si>
  <si>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</si>
  <si>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</si>
  <si>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</si>
  <si>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</si>
  <si>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</si>
  <si>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</si>
  <si>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</si>
  <si>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</si>
  <si>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</si>
  <si>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</si>
  <si>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</si>
  <si>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</si>
  <si>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</si>
  <si>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</si>
  <si>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</si>
  <si>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</si>
  <si>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</si>
  <si>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</si>
  <si>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</si>
  <si>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</si>
  <si>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</si>
  <si>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</si>
  <si>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</si>
  <si>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</si>
  <si>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</si>
  <si>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</si>
  <si>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</si>
  <si>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</si>
  <si>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</si>
  <si>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</si>
  <si>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</si>
  <si>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</si>
  <si>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</si>
  <si>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</si>
  <si>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</si>
  <si>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</si>
  <si>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</si>
  <si>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</si>
  <si>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</si>
  <si>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</si>
  <si>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</si>
  <si>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</si>
  <si>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</si>
  <si>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</si>
  <si>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</si>
  <si>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</si>
  <si>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</si>
  <si>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</si>
  <si>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</si>
  <si>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</si>
  <si>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</si>
  <si>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</si>
  <si>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</si>
  <si>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</si>
  <si>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</si>
  <si>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</si>
  <si>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</si>
  <si>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</si>
  <si>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</si>
  <si>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</si>
  <si>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</si>
  <si>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</si>
  <si>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</si>
  <si>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</si>
  <si>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</si>
  <si>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</si>
  <si>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</si>
  <si>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</si>
  <si>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</si>
  <si>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</si>
  <si>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</si>
  <si>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</si>
  <si>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</si>
  <si>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</si>
  <si>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</si>
  <si>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</si>
  <si>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</si>
  <si>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</si>
  <si>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</si>
  <si>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</si>
  <si>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</si>
  <si>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</si>
  <si>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</si>
  <si>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</si>
  <si>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</si>
  <si>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</si>
  <si>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</si>
  <si>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</si>
  <si>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</si>
  <si>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</si>
  <si>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</si>
  <si>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</si>
  <si>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</si>
  <si>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</si>
  <si>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</si>
  <si>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</si>
  <si>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</si>
  <si>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</si>
  <si>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</si>
  <si>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</si>
  <si>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</si>
  <si>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</si>
  <si>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</si>
  <si>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</si>
  <si>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</si>
  <si>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</si>
  <si>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</si>
  <si>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</si>
  <si>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</si>
  <si>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</si>
  <si>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</si>
  <si>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</si>
  <si>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</si>
  <si>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</si>
  <si>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</si>
  <si>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</si>
  <si>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</si>
  <si>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</si>
  <si>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</si>
  <si>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</si>
  <si>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</si>
  <si>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</si>
  <si>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</si>
  <si>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</si>
  <si>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</si>
  <si>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</si>
  <si>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</si>
  <si>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</si>
  <si>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</si>
  <si>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</si>
  <si>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</si>
  <si>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</si>
  <si>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</si>
  <si>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</si>
  <si>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</si>
  <si>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</si>
  <si>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</si>
  <si>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</si>
  <si>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</si>
  <si>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</si>
  <si>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</si>
  <si>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</si>
  <si>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</si>
  <si>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</si>
  <si>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</si>
  <si>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</si>
  <si>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</si>
  <si>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</si>
  <si>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</si>
  <si>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</si>
  <si>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</si>
  <si>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</si>
  <si>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</si>
  <si>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</si>
  <si>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</si>
  <si>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</si>
  <si>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</si>
  <si>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</si>
  <si>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</si>
  <si>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</si>
  <si>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</si>
  <si>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</si>
  <si>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</si>
  <si>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</si>
  <si>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</si>
  <si>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</si>
  <si>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</si>
  <si>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</si>
  <si>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</si>
  <si>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</si>
  <si>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</si>
  <si>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</si>
  <si>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</si>
  <si>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</si>
  <si>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</si>
  <si>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</si>
  <si>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</si>
  <si>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</si>
  <si>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</si>
  <si>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</si>
  <si>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</si>
  <si>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</si>
  <si>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</si>
  <si>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</si>
  <si>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</si>
  <si>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</si>
  <si>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</si>
  <si>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</si>
  <si>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</si>
  <si>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</si>
  <si>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</si>
  <si>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</si>
  <si>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</si>
  <si>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</si>
  <si>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</si>
  <si>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</si>
  <si>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</si>
  <si>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</si>
  <si>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</si>
  <si>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</si>
  <si>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</si>
  <si>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</si>
  <si>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</si>
  <si>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</si>
  <si>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</si>
  <si>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</si>
  <si>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</si>
  <si>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</si>
  <si>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</si>
  <si>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</si>
  <si>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</si>
  <si>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</si>
  <si>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</si>
  <si>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</si>
  <si>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</si>
  <si>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</si>
  <si>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</si>
  <si>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</si>
  <si>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</si>
  <si>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</si>
  <si>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</si>
  <si>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</si>
  <si>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</si>
  <si>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</si>
  <si>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</si>
  <si>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</si>
  <si>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</si>
  <si>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</si>
  <si>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</si>
  <si>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</si>
  <si>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</si>
  <si>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</si>
  <si>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</si>
  <si>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</si>
  <si>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</si>
  <si>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</si>
  <si>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</si>
  <si>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</si>
  <si>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</si>
  <si>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</si>
  <si>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</si>
  <si>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</si>
  <si>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</si>
  <si>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</si>
  <si>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</si>
  <si>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</si>
  <si>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</si>
  <si>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</si>
  <si>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</si>
  <si>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</si>
  <si>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</si>
  <si>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</si>
  <si>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</si>
  <si>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</si>
  <si>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</si>
  <si>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</si>
  <si>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</si>
  <si>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</si>
  <si>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</si>
  <si>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</si>
  <si>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</si>
  <si>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</si>
  <si>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</si>
  <si>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</si>
  <si>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</si>
  <si>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</si>
  <si>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</si>
  <si>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</si>
  <si>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</si>
  <si>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</si>
  <si>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</si>
  <si>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</si>
  <si>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</si>
  <si>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</si>
  <si>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</si>
  <si>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</si>
  <si>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</si>
  <si>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</si>
  <si>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</si>
  <si>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</si>
  <si>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</si>
  <si>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</si>
  <si>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</si>
  <si>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</si>
  <si>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</si>
  <si>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</si>
  <si>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</si>
  <si>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</si>
  <si>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</si>
  <si>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</si>
  <si>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</si>
  <si>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</si>
  <si>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</si>
  <si>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</si>
  <si>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</si>
  <si>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</si>
  <si>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</si>
  <si>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</si>
  <si>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</si>
  <si>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</si>
  <si>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</si>
  <si>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</si>
  <si>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</si>
  <si>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</si>
  <si>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</si>
  <si>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</si>
  <si>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</si>
  <si>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</si>
  <si>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</si>
  <si>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</si>
  <si>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</si>
  <si>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</si>
  <si>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</si>
  <si>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</si>
  <si>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</si>
  <si>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</si>
  <si>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</si>
  <si>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</si>
  <si>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</si>
  <si>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</si>
  <si>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</si>
  <si>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</si>
  <si>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</si>
  <si>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</si>
  <si>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</si>
  <si>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</si>
  <si>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</si>
  <si>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</si>
  <si>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</si>
  <si>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</si>
  <si>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</si>
  <si>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</si>
  <si>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</si>
  <si>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</si>
  <si>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</si>
  <si>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</si>
  <si>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</si>
  <si>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</si>
  <si>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</si>
  <si>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</si>
  <si>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</si>
  <si>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</si>
  <si>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</si>
  <si>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</si>
  <si>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</si>
  <si>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</si>
  <si>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</si>
  <si>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</si>
  <si>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</si>
  <si>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</si>
  <si>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</si>
  <si>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</si>
  <si>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</si>
  <si>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</si>
  <si>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</si>
  <si>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</si>
  <si>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</si>
  <si>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</si>
  <si>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</si>
  <si>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</si>
  <si>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</si>
  <si>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</si>
  <si>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</si>
  <si>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</si>
  <si>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</si>
  <si>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</si>
  <si>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</si>
  <si>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</si>
  <si>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</si>
  <si>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</si>
  <si>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</si>
  <si>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</si>
  <si>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</si>
  <si>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</si>
  <si>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</si>
  <si>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</si>
  <si>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</si>
  <si>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</si>
  <si>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</si>
  <si>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</si>
  <si>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</si>
  <si>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</si>
  <si>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</si>
  <si>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</si>
  <si>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</si>
  <si>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</si>
  <si>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</si>
  <si>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</si>
  <si>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</si>
  <si>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</si>
  <si>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</si>
  <si>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</si>
  <si>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</si>
  <si>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</si>
  <si>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</si>
  <si>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</si>
  <si>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</si>
  <si>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</si>
  <si>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</si>
  <si>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</si>
  <si>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</si>
  <si>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</si>
  <si>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</si>
  <si>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</si>
  <si>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</si>
  <si>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</si>
  <si>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</si>
  <si>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</si>
  <si>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</si>
  <si>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</si>
  <si>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</si>
  <si>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</si>
  <si>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</si>
  <si>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</si>
  <si>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</si>
  <si>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</si>
  <si>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</si>
  <si>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</si>
  <si>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</si>
  <si>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</si>
  <si>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</si>
  <si>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</si>
  <si>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</si>
  <si>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</si>
  <si>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</si>
  <si>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</si>
  <si>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</si>
  <si>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</si>
  <si>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</si>
  <si>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</si>
  <si>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</si>
  <si>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</si>
  <si>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</si>
  <si>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</si>
  <si>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</si>
  <si>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</si>
  <si>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</si>
  <si>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</si>
  <si>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</si>
  <si>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</si>
  <si>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</si>
  <si>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</si>
  <si>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</si>
  <si>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</si>
  <si>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</si>
  <si>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</si>
  <si>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</si>
  <si>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</si>
  <si>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</si>
  <si>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</si>
  <si>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</si>
  <si>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</si>
  <si>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</si>
  <si>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</si>
  <si>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</si>
  <si>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</si>
  <si>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</si>
  <si>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</si>
  <si>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</si>
  <si>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</si>
  <si>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</si>
  <si>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</si>
  <si>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</si>
  <si>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</si>
  <si>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</si>
  <si>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</si>
  <si>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</si>
  <si>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</si>
  <si>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</si>
  <si>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</si>
  <si>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</si>
  <si>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</si>
  <si>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</si>
  <si>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</si>
  <si>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</si>
  <si>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</si>
  <si>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</si>
  <si>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</si>
  <si>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</si>
  <si>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</si>
  <si>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</si>
  <si>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</si>
  <si>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</si>
  <si>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</si>
  <si>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</si>
  <si>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</si>
  <si>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</si>
  <si>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</si>
  <si>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</si>
  <si>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</si>
  <si>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</si>
  <si>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</si>
  <si>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</si>
  <si>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</si>
  <si>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</si>
  <si>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</si>
  <si>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</si>
  <si>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</si>
  <si>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</si>
  <si>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</si>
  <si>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</si>
  <si>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</si>
  <si>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</si>
  <si>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</si>
  <si>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</si>
  <si>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</si>
  <si>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</si>
  <si>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</si>
  <si>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</si>
  <si>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</si>
  <si>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</si>
  <si>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</si>
  <si>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</si>
  <si>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</si>
  <si>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</si>
  <si>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</si>
  <si>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</si>
  <si>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</si>
  <si>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</si>
  <si>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</si>
  <si>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</si>
  <si>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</si>
  <si>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</si>
  <si>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</si>
  <si>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</si>
  <si>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</si>
  <si>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</si>
  <si>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</si>
  <si>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</si>
  <si>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</si>
  <si>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</si>
  <si>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</si>
  <si>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</si>
  <si>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</si>
  <si>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</si>
  <si>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</si>
  <si>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</si>
  <si>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</si>
  <si>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</si>
  <si>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</si>
  <si>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</si>
  <si>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</si>
  <si>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</si>
  <si>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</si>
  <si>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</si>
  <si>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</si>
  <si>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</si>
  <si>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</si>
  <si>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</si>
  <si>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</si>
  <si>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</si>
  <si>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</si>
  <si>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</si>
  <si>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</si>
  <si>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</si>
  <si>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</si>
  <si>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</si>
  <si>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</si>
  <si>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</si>
  <si>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</si>
  <si>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</si>
  <si>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</si>
  <si>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</si>
  <si>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</si>
  <si>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</si>
  <si>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</si>
  <si>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</si>
  <si>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</si>
  <si>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</si>
  <si>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</si>
  <si>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</si>
  <si>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</si>
  <si>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</si>
  <si>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</si>
  <si>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</si>
  <si>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</si>
  <si>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</si>
  <si>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</si>
  <si>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</si>
  <si>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</si>
  <si>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</si>
  <si>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</si>
  <si>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</si>
  <si>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</si>
  <si>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</si>
  <si>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</si>
  <si>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</si>
  <si>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</si>
  <si>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</si>
  <si>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</si>
  <si>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</si>
  <si>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</si>
  <si>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</si>
  <si>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</si>
  <si>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</si>
  <si>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</si>
  <si>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</si>
  <si>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</si>
  <si>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</si>
  <si>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</si>
  <si>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</si>
  <si>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</si>
  <si>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</si>
  <si>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</si>
  <si>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</si>
  <si>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</si>
  <si>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</si>
  <si>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</si>
  <si>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</si>
  <si>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</si>
  <si>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</si>
  <si>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</si>
  <si>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</si>
  <si>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</si>
  <si>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</si>
  <si>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</si>
  <si>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</si>
  <si>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</si>
  <si>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</si>
  <si>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</si>
  <si>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</si>
  <si>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</si>
  <si>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</si>
  <si>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</si>
  <si>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</si>
  <si>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</si>
  <si>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</si>
  <si>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</si>
  <si>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</si>
  <si>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</si>
  <si>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</si>
  <si>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</si>
  <si>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</si>
  <si>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</si>
  <si>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</si>
  <si>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</si>
  <si>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</si>
  <si>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</si>
  <si>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</si>
  <si>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</si>
  <si>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</si>
  <si>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</si>
  <si>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</si>
  <si>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</si>
  <si>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</si>
  <si>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</si>
  <si>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</si>
  <si>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</si>
  <si>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</si>
  <si>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</si>
  <si>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</si>
  <si>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</si>
  <si>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</si>
  <si>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</si>
  <si>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</si>
  <si>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</si>
  <si>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</si>
  <si>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</si>
  <si>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</si>
  <si>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</si>
  <si>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</si>
  <si>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</si>
  <si>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</si>
  <si>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</si>
  <si>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</si>
  <si>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</si>
  <si>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</si>
  <si>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</si>
  <si>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</si>
  <si>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</si>
  <si>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</si>
  <si>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</si>
  <si>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</si>
  <si>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</si>
  <si>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</si>
  <si>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</si>
  <si>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</si>
  <si>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</si>
  <si>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</si>
  <si>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</si>
  <si>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</si>
  <si>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</si>
  <si>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</si>
  <si>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</si>
  <si>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</si>
  <si>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</si>
  <si>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</si>
  <si>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</si>
  <si>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</si>
  <si>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</si>
  <si>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</si>
  <si>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</si>
  <si>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</si>
  <si>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</si>
  <si>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</si>
  <si>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</si>
  <si>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</si>
  <si>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</si>
  <si>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</si>
  <si>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</si>
  <si>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</si>
  <si>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</si>
  <si>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</si>
  <si>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</si>
  <si>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</si>
  <si>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</si>
  <si>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</si>
  <si>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</si>
  <si>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</si>
  <si>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</si>
  <si>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</si>
  <si>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</si>
  <si>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</si>
  <si>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</si>
  <si>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</si>
  <si>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</si>
  <si>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</si>
  <si>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</si>
  <si>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</si>
  <si>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</si>
  <si>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</si>
  <si>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</si>
  <si>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</si>
  <si>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</si>
  <si>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</si>
  <si>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</si>
  <si>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</si>
  <si>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</si>
  <si>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</si>
  <si>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</si>
  <si>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</si>
  <si>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</si>
  <si>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</si>
  <si>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</si>
  <si>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</si>
  <si>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</si>
  <si>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</si>
  <si>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</si>
  <si>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</si>
  <si>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</si>
  <si>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</si>
  <si>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</si>
  <si>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</si>
  <si>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</si>
  <si>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</si>
  <si>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</si>
  <si>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</si>
  <si>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</si>
  <si>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</si>
  <si>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</si>
  <si>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</si>
  <si>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</si>
  <si>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</si>
  <si>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</si>
  <si>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</si>
  <si>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</si>
  <si>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</si>
  <si>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</si>
  <si>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</si>
  <si>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</si>
  <si>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</si>
  <si>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</si>
  <si>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</si>
  <si>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</si>
  <si>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</si>
  <si>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</si>
  <si>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</si>
  <si>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</si>
  <si>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</si>
  <si>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</si>
  <si>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</si>
  <si>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</si>
  <si>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</si>
  <si>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</si>
  <si>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</si>
  <si>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</si>
  <si>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</si>
  <si>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</si>
  <si>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</si>
  <si>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</si>
  <si>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</si>
  <si>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</si>
  <si>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</si>
  <si>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</si>
  <si>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</si>
  <si>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</si>
  <si>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</si>
  <si>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</si>
  <si>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</si>
  <si>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</si>
  <si>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</si>
  <si>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</si>
  <si>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</si>
  <si>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</si>
  <si>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</si>
  <si>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</si>
  <si>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</si>
  <si>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</si>
  <si>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</si>
  <si>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</si>
  <si>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</si>
  <si>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</si>
  <si>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</si>
  <si>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</si>
  <si>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</si>
  <si>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</si>
  <si>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</si>
  <si>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</si>
  <si>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</si>
  <si>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</si>
  <si>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</si>
  <si>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</si>
  <si>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</si>
  <si>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</si>
  <si>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</si>
  <si>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</si>
  <si>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</si>
  <si>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</si>
  <si>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</si>
  <si>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</si>
  <si>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</si>
  <si>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</si>
  <si>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</si>
  <si>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</si>
  <si>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</si>
  <si>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</si>
  <si>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</si>
  <si>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</si>
  <si>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</si>
  <si>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</si>
  <si>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</si>
  <si>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</si>
  <si>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</si>
  <si>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</si>
  <si>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</si>
  <si>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</si>
  <si>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</si>
  <si>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</si>
  <si>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</si>
  <si>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</si>
  <si>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</si>
  <si>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</si>
  <si>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</si>
  <si>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</si>
  <si>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</si>
  <si>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</si>
  <si>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</si>
  <si>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</si>
  <si>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</si>
  <si>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</si>
  <si>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</si>
  <si>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</si>
  <si>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</si>
  <si>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</si>
  <si>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</si>
  <si>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</si>
  <si>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</si>
  <si>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</si>
  <si>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</si>
  <si>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</si>
  <si>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</si>
  <si>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</si>
  <si>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</si>
  <si>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</si>
  <si>
    <t>ADS7046</t>
  </si>
  <si>
    <t>12-Bit  3-MSPS Single-Ended Input Small-Size Low-Power SAR ADC</t>
  </si>
  <si>
    <t>https://www.ti.com/lit/ds/symlink/ads7046.pdf</t>
  </si>
  <si>
    <t>296-48818-1-ND</t>
  </si>
  <si>
    <t>ADS7046IRUGR</t>
  </si>
  <si>
    <t>C543003</t>
  </si>
  <si>
    <t>MAX40100</t>
  </si>
  <si>
    <t>maxim Integrated</t>
  </si>
  <si>
    <t>BGA</t>
  </si>
  <si>
    <t>OPA_OB3_PB1_NB2_VCCA2_VEEA1_SHA3</t>
  </si>
  <si>
    <t>BGA006C035P2X3_072X107X050</t>
  </si>
  <si>
    <t>https://www.analog.com/media/en/technical-documentation/data-sheets/MAX40100.pdf</t>
  </si>
  <si>
    <t>maxim integrated</t>
  </si>
  <si>
    <t>MAX40100ANT+T</t>
  </si>
  <si>
    <t>MAX40100ANT+TCT-ND</t>
  </si>
  <si>
    <t>C2057616</t>
  </si>
  <si>
    <t>Precision Low-Power and Low-Noise Op Amp with RRIO</t>
  </si>
  <si>
    <t>AD8605ACBZ-REEL7</t>
  </si>
  <si>
    <t>AD8606ACBZ-REEL7</t>
  </si>
  <si>
    <t>AD8606ACBZ</t>
  </si>
  <si>
    <t>AD8605ACBZ</t>
  </si>
  <si>
    <t>Single Precision Low Noise CMOS Rail-to-Rail Input/Output Operational Amplifiers</t>
  </si>
  <si>
    <t>Dual Precision Low Noise CMOS Rail-to-Rail Input/Output Operational Amplifiers</t>
  </si>
  <si>
    <t>OPA2_OA1-A3_PC1-C3_NB1-B3_VCCA2_VEEC2</t>
  </si>
  <si>
    <t>BGA005C050P2X3_090X129X055</t>
  </si>
  <si>
    <t>BGA008C050P3X3_143X177X059</t>
  </si>
  <si>
    <t>https://www.analog.com/media/en/technical-documentation/data-sheets/ad8605_8606_8608.pdf</t>
  </si>
  <si>
    <t>505-AD8605ACBZ-REEL7CT-ND</t>
  </si>
  <si>
    <t>505-AD8606ACBZ-REEL7CT-ND</t>
  </si>
  <si>
    <t>C143895</t>
  </si>
  <si>
    <t>C206677</t>
  </si>
  <si>
    <t>QFN040P140X180X050-10</t>
  </si>
  <si>
    <t>NX3L2267</t>
  </si>
  <si>
    <t>Low-ohmic dual single-pole double-throw analog switch</t>
  </si>
  <si>
    <t>NXP Semiconductors</t>
  </si>
  <si>
    <t>XQFN10</t>
  </si>
  <si>
    <t>NX3L2267_XQFN10</t>
  </si>
  <si>
    <t>https://www.nxp.com/docs/en/data-sheet/NX3L2267.pdf</t>
  </si>
  <si>
    <t>NX3L2267GU,115</t>
  </si>
  <si>
    <t>568-8411-1-ND</t>
  </si>
  <si>
    <t>C2673419</t>
  </si>
  <si>
    <t>LT6370IS8E</t>
  </si>
  <si>
    <t>LT6370IMS8</t>
  </si>
  <si>
    <t>LT6370IDD</t>
  </si>
  <si>
    <t>25µV 0.3µV/°C Low Noise Instrumentation Amplifier</t>
  </si>
  <si>
    <t>https://www.analog.com/media/en/technical-documentation/data-sheets/lt6370.pdf</t>
  </si>
  <si>
    <t>LT6370_DD</t>
  </si>
  <si>
    <t>LT6370_S8</t>
  </si>
  <si>
    <t>DFN050P300X300X075-8-EP238X165</t>
  </si>
  <si>
    <t>505-LT6370IS8E#PBF-ND</t>
  </si>
  <si>
    <t>LT6370IS8E#PBF</t>
  </si>
  <si>
    <t>505-LT6370HMS8#TRPBFCT-ND</t>
  </si>
  <si>
    <t>LT6370HMS8#TRPBF</t>
  </si>
  <si>
    <t>505-LT6370IDD#TRPBFCT-ND</t>
  </si>
  <si>
    <t>LT6370IDD#TRPBF</t>
  </si>
  <si>
    <t>DFN-10</t>
  </si>
  <si>
    <t>C673100</t>
  </si>
  <si>
    <t>LT6370IMS8#PBF</t>
  </si>
  <si>
    <t>BGA016C035P4X4_140X140X045</t>
  </si>
  <si>
    <t>220-2228-1-ND</t>
  </si>
  <si>
    <t>ICE40UL1K-SWG16ITR1K</t>
  </si>
  <si>
    <t>Lattice Semiconductor Corporation</t>
  </si>
  <si>
    <t>ICE40UL1K-SWG16</t>
  </si>
  <si>
    <t>iCE40 UltraLite FPGA</t>
  </si>
  <si>
    <t>https://www.latticesemi.com/view_document?document_id=50945</t>
  </si>
  <si>
    <t>LTC1799</t>
  </si>
  <si>
    <t>1kHz to 33MHz Resistor Set SOT-23 Oscillator</t>
  </si>
  <si>
    <t>LTC1799CS5#TRPBFCT-ND</t>
  </si>
  <si>
    <t>LTC1799CS5#TRPBF</t>
  </si>
  <si>
    <t>https://www.analog.com/media/en/technical-documentation/data-sheets/LTC1799.pdf</t>
  </si>
  <si>
    <t>SN74LVC1G34</t>
  </si>
  <si>
    <t>SN74LVC1G34 Single Buffer Gate BGA - YFP</t>
  </si>
  <si>
    <t>GATE BUF 1X1 BGA</t>
  </si>
  <si>
    <t>BGA004C040P2X2_079X079X050</t>
  </si>
  <si>
    <t>https://www.ti.com/lit/ds/symlink/sn74lvc1g34.pdf</t>
  </si>
  <si>
    <t>C2676158</t>
  </si>
  <si>
    <t>SN74LVC1G34YFPR</t>
  </si>
  <si>
    <t>296-23862-1-ND</t>
  </si>
  <si>
    <t>TPS7A2018PYCKR</t>
  </si>
  <si>
    <t>TPS7A2012PYCJR</t>
  </si>
  <si>
    <t>TPS7A2033PYCJR</t>
  </si>
  <si>
    <t>TPS7A2025PYCJR</t>
  </si>
  <si>
    <t>TPS7A2011PYCKR</t>
  </si>
  <si>
    <t>TPS7A20285PYCKR</t>
  </si>
  <si>
    <t>TPS7A2020PYCKR</t>
  </si>
  <si>
    <t>TPS7A2028PYCJR</t>
  </si>
  <si>
    <t>TPS7A2027PYCJR</t>
  </si>
  <si>
    <t>TPS7A20185PYCKR</t>
  </si>
  <si>
    <t>TPS7A20C285PYCKR</t>
  </si>
  <si>
    <t>TPS7A20C22PYCKR</t>
  </si>
  <si>
    <t>TPS7A20C25PYCKR</t>
  </si>
  <si>
    <t>TPS7A202275PYCKR</t>
  </si>
  <si>
    <t>TPS7A2016YCKR</t>
  </si>
  <si>
    <t>TPS7A2030YCKR</t>
  </si>
  <si>
    <t>TPS7A2033YCKR</t>
  </si>
  <si>
    <t>TPS7A2018YCKR</t>
  </si>
  <si>
    <t>296-TPS7A2018PYCKRCT-ND</t>
  </si>
  <si>
    <t>296-TPS7A2012PYCJRCT-ND</t>
  </si>
  <si>
    <t>296-TPS7A2033PYCJRCT-ND</t>
  </si>
  <si>
    <t>296-TPS7A2025PYCJRCT-ND</t>
  </si>
  <si>
    <t>296-TPS7A2011PYCKRCT-ND</t>
  </si>
  <si>
    <t>296-TPS7A20285PYCKRCT-ND</t>
  </si>
  <si>
    <t>296-TPS7A2020PYCKRCT-ND</t>
  </si>
  <si>
    <t>296-TPS7A2028PYCJRCT-ND</t>
  </si>
  <si>
    <t>296-TPS7A2027PYCJRCT-ND</t>
  </si>
  <si>
    <t>296-TPS7A20185PYCKRCT-ND</t>
  </si>
  <si>
    <t>296-TPS7A20C285PYCKRCT-ND</t>
  </si>
  <si>
    <t>296-TPS7A20C22PYCKRCT-ND</t>
  </si>
  <si>
    <t>296-TPS7A20C25PYCKRCT-ND</t>
  </si>
  <si>
    <t>296-TPS7A202275PYCKRCT-ND</t>
  </si>
  <si>
    <t>296-TPS7A2016YCKRCT-ND</t>
  </si>
  <si>
    <t>296-TPS7A2030YCKRCT-ND</t>
  </si>
  <si>
    <t>296-TPS7A2033YCKRCT-ND</t>
  </si>
  <si>
    <t>296-TPS7A2018YCKRCT-ND</t>
  </si>
  <si>
    <t>IC REG LINEAR 1.8V 300MA 4-DSBGA</t>
  </si>
  <si>
    <t>IC REG LINEAR 1.2V 300MA 4-DSBGA</t>
  </si>
  <si>
    <t>IC REG LINEAR 3.3V 300MA 4-DSBGA</t>
  </si>
  <si>
    <t>IC REG LINEAR 2.5V 300MA 4-DSBGA</t>
  </si>
  <si>
    <t>IC REG LINEAR 1.1V 300MA 4-DSBGA</t>
  </si>
  <si>
    <t>IC REG LIN 2.85V 300MA 4-DSBGA</t>
  </si>
  <si>
    <t>IC REG LINEAR 2V 300MA 4-DSBGA</t>
  </si>
  <si>
    <t>IC REG LINEAR 2.8V 300MA 4-DSBGA</t>
  </si>
  <si>
    <t>IC REG LINEAR 2.7V 300MA 4-DSBGA</t>
  </si>
  <si>
    <t>IC REG LIN 1.85V 300MA 4-DSBGA</t>
  </si>
  <si>
    <t>IC REG LINEAR 2.2V 300MA 4-DSBGA</t>
  </si>
  <si>
    <t>IC REG LIN 2.275V 300MA 4-DSBGA</t>
  </si>
  <si>
    <t>IC REG LINEAR 1.6V 300MA 4-DSBGA</t>
  </si>
  <si>
    <t>IC REG LINEAR 3V 300MA 4-DSBGA</t>
  </si>
  <si>
    <t>TPS7A20 BGA</t>
  </si>
  <si>
    <t>BGA004C035P2X2_063X063X033</t>
  </si>
  <si>
    <t>https://www.ti.com/lit/ds/symlink/tps7a20.pdf</t>
  </si>
  <si>
    <t>https://www.ti.com/lit/ds/symlink/tps22991.pdf</t>
  </si>
  <si>
    <t>TPS22991CRAAR</t>
  </si>
  <si>
    <t>TPS22991BRAAR</t>
  </si>
  <si>
    <t>TPS22991CNRAAR</t>
  </si>
  <si>
    <t>TPS22991BNRAAR</t>
  </si>
  <si>
    <t>TPS22991IBNRAAR</t>
  </si>
  <si>
    <t>TPS22991ICNRAAR</t>
  </si>
  <si>
    <t>TPS22991IBRAAR</t>
  </si>
  <si>
    <t>TPS22991ICRAAR</t>
  </si>
  <si>
    <t>296-TPS22991CRAARCT-ND</t>
  </si>
  <si>
    <t>296-TPS22991BRAARCT-ND</t>
  </si>
  <si>
    <t>296-TPS22991CNRAARCT-ND</t>
  </si>
  <si>
    <t>296-TPS22991BNRAARCT-ND</t>
  </si>
  <si>
    <t>296-TPS22991IBNRAARCT-ND</t>
  </si>
  <si>
    <t>296-TPS22991ICNRAARCT-ND</t>
  </si>
  <si>
    <t>296-TPS22991IBRAARCT-ND</t>
  </si>
  <si>
    <t>296-TPS22991ICRAARCT-ND</t>
  </si>
  <si>
    <t>5V 3A 25M Load Switch with Discharge</t>
  </si>
  <si>
    <t>5V 3A 25M Fast Load Switch with Discharge</t>
  </si>
  <si>
    <t>5V 3A 25M Load Switch</t>
  </si>
  <si>
    <t>5V 3A 25M Fast Load Switch</t>
  </si>
  <si>
    <t xml:space="preserve">5.5V 2.7A 28M Fast Load Switch </t>
  </si>
  <si>
    <t xml:space="preserve">5.5V 2.7A 28M Load Switch </t>
  </si>
  <si>
    <t>5.5V 2.7A 28M Fast Load Switch with Discharge</t>
  </si>
  <si>
    <t>5.5V 2.7A 28M Load Switch with Discharge</t>
  </si>
  <si>
    <t>TPS22991C</t>
  </si>
  <si>
    <t>TPS22991B</t>
  </si>
  <si>
    <t>TPS22991CN</t>
  </si>
  <si>
    <t>TPS22991BN</t>
  </si>
  <si>
    <t>TPS22991IBN</t>
  </si>
  <si>
    <t>TPS22991ICN</t>
  </si>
  <si>
    <t>TPS22991IB</t>
  </si>
  <si>
    <t>TPS22991IC</t>
  </si>
  <si>
    <t>UQFN-HR</t>
  </si>
  <si>
    <t>TPS22991</t>
  </si>
  <si>
    <t>QFN040P080X090X050-4</t>
  </si>
  <si>
    <t>C49307573</t>
  </si>
  <si>
    <t>C42113540</t>
  </si>
  <si>
    <t>C49307567</t>
  </si>
  <si>
    <t>C49454445</t>
  </si>
  <si>
    <t>C49454446</t>
  </si>
  <si>
    <t>C5220161</t>
  </si>
  <si>
    <t>C5220159</t>
  </si>
  <si>
    <t>C3746252</t>
  </si>
  <si>
    <t>C6290384</t>
  </si>
  <si>
    <t>C7401711</t>
  </si>
  <si>
    <t>C3025023</t>
  </si>
  <si>
    <t>C5220162</t>
  </si>
  <si>
    <t>C6719128</t>
  </si>
  <si>
    <t>C7073376</t>
  </si>
  <si>
    <t>C5220160</t>
  </si>
  <si>
    <t>C42064755</t>
  </si>
  <si>
    <t>C41589305</t>
  </si>
  <si>
    <t>C42038768</t>
  </si>
  <si>
    <t>C41613873</t>
  </si>
  <si>
    <t>1R/0201</t>
  </si>
  <si>
    <t xml:space="preserve">RES SM 0201 1R </t>
  </si>
  <si>
    <t>0201</t>
  </si>
  <si>
    <t>https://yageogroup.com/content/datasheet/asset/file/PYU-RC_GROUP_51_ROHS_L</t>
  </si>
  <si>
    <t>RC0201FR-071RL</t>
  </si>
  <si>
    <t>YAG3368CT-ND</t>
  </si>
  <si>
    <t>1R2/0201</t>
  </si>
  <si>
    <t xml:space="preserve">RES SM 0201 1R2 </t>
  </si>
  <si>
    <t>RC0201FR-071R2L</t>
  </si>
  <si>
    <t>13-RC0201FR-071R2LCT-ND</t>
  </si>
  <si>
    <t>1R3/0201</t>
  </si>
  <si>
    <t xml:space="preserve">RES SM 0201 1R3 </t>
  </si>
  <si>
    <t>RC0201FR-071R3L</t>
  </si>
  <si>
    <t>13-RC0201FR-071R3LCT-ND</t>
  </si>
  <si>
    <t>1R5/0201</t>
  </si>
  <si>
    <t xml:space="preserve">RES SM 0201 1R5 </t>
  </si>
  <si>
    <t>RC0201FR-071R5L</t>
  </si>
  <si>
    <t>13-RC0201FR-071R5LCT-ND</t>
  </si>
  <si>
    <t>1R8/0201</t>
  </si>
  <si>
    <t xml:space="preserve">RES SM 0201 1R8 </t>
  </si>
  <si>
    <t>RC0201FR-071R8L</t>
  </si>
  <si>
    <t>13-RC0201FR-071R8LCT-ND</t>
  </si>
  <si>
    <t>2R/0201</t>
  </si>
  <si>
    <t xml:space="preserve">RES SM 0201 2R </t>
  </si>
  <si>
    <t>RC0201FR-072RL</t>
  </si>
  <si>
    <t>13-RC0201FR-072RLCT-ND</t>
  </si>
  <si>
    <t>2R2/0201</t>
  </si>
  <si>
    <t xml:space="preserve">RES SM 0201 2R2 </t>
  </si>
  <si>
    <t>RC0201FR-072R2L</t>
  </si>
  <si>
    <t>13-RC0201FR-072R2LCT-ND</t>
  </si>
  <si>
    <t>2R7/0201</t>
  </si>
  <si>
    <t xml:space="preserve">RES SM 0201 2R7 </t>
  </si>
  <si>
    <t>RC0201FR-072R7L</t>
  </si>
  <si>
    <t>13-RC0201FR-072R7LCT-ND</t>
  </si>
  <si>
    <t>3R/0201</t>
  </si>
  <si>
    <t xml:space="preserve">RES SM 0201 3R </t>
  </si>
  <si>
    <t>RC0201FR-073RL</t>
  </si>
  <si>
    <t>13-RC0201FR-073RLCT-ND</t>
  </si>
  <si>
    <t>3R3/0201</t>
  </si>
  <si>
    <t xml:space="preserve">RES SM 0201 3R3 </t>
  </si>
  <si>
    <t>RC0201FR-073R3L</t>
  </si>
  <si>
    <t>13-RC0201FR-073R3LCT-ND</t>
  </si>
  <si>
    <t>3R9/0201</t>
  </si>
  <si>
    <t xml:space="preserve">RES SM 0201 3R9 </t>
  </si>
  <si>
    <t>RC0201FR-073R9L</t>
  </si>
  <si>
    <t>13-RC0201FR-073R9LCT-ND</t>
  </si>
  <si>
    <t>4R3/0201</t>
  </si>
  <si>
    <t xml:space="preserve">RES SM 0201 4R3 </t>
  </si>
  <si>
    <t>RC0201FR-074R3L</t>
  </si>
  <si>
    <t>13-RC0201FR-074R3LCT-ND</t>
  </si>
  <si>
    <t>4R7/0201</t>
  </si>
  <si>
    <t xml:space="preserve">RES SM 0201 4R7 </t>
  </si>
  <si>
    <t>RC0201FR-074R7L</t>
  </si>
  <si>
    <t>13-RC0201FR-074R7LCT-ND</t>
  </si>
  <si>
    <t>5R1/0201</t>
  </si>
  <si>
    <t xml:space="preserve">RES SM 0201 5R1 </t>
  </si>
  <si>
    <t>RC0201FR-075R1L</t>
  </si>
  <si>
    <t>13-RC0201FR-075R1LCT-ND</t>
  </si>
  <si>
    <t>5R6/0201</t>
  </si>
  <si>
    <t xml:space="preserve">RES SM 0201 5R6 </t>
  </si>
  <si>
    <t>RC0201FR-075R6L</t>
  </si>
  <si>
    <t>13-RC0201FR-075R6LCT-ND</t>
  </si>
  <si>
    <t>6R2/0201</t>
  </si>
  <si>
    <t xml:space="preserve">RES SM 0201 6R2 </t>
  </si>
  <si>
    <t>RC0201FR-076R2L</t>
  </si>
  <si>
    <t>13-RC0201FR-076R2LCT-ND</t>
  </si>
  <si>
    <t>6R8/0201</t>
  </si>
  <si>
    <t xml:space="preserve">RES SM 0201 6R8 </t>
  </si>
  <si>
    <t>RC0201FR-076R8L</t>
  </si>
  <si>
    <t>13-RC0201FR-076R8LCT-ND</t>
  </si>
  <si>
    <t>7R5/0201</t>
  </si>
  <si>
    <t xml:space="preserve">RES SM 0201 7R5 </t>
  </si>
  <si>
    <t>RC0201FR-077R5L</t>
  </si>
  <si>
    <t>13-RC0201FR-077R5LCT-ND</t>
  </si>
  <si>
    <t>8R2/0201</t>
  </si>
  <si>
    <t xml:space="preserve">RES SM 0201 8R2 </t>
  </si>
  <si>
    <t>RC0201FR-078R2L</t>
  </si>
  <si>
    <t>13-RC0201FR-078R2LCT-ND</t>
  </si>
  <si>
    <t>9R1/0201</t>
  </si>
  <si>
    <t xml:space="preserve">RES SM 0201 9R1 </t>
  </si>
  <si>
    <t>RC0201FR-079R1L</t>
  </si>
  <si>
    <t>13-RC0201FR-079R1LCT-ND</t>
  </si>
  <si>
    <t>10R/0201</t>
  </si>
  <si>
    <t xml:space="preserve">RES SM 0201 10R </t>
  </si>
  <si>
    <t>RC0201FR-0710RL</t>
  </si>
  <si>
    <t>311-10.0MCT-ND</t>
  </si>
  <si>
    <t>RC0201FR-1310RL</t>
  </si>
  <si>
    <t>13-RC0201FR-1310RLCT-ND</t>
  </si>
  <si>
    <t>11R/0201</t>
  </si>
  <si>
    <t xml:space="preserve">RES SM 0201 11R </t>
  </si>
  <si>
    <t>RC0201FR-0711RL</t>
  </si>
  <si>
    <t>YAG2392CT-ND</t>
  </si>
  <si>
    <t>12R/0201</t>
  </si>
  <si>
    <t xml:space="preserve">RES SM 0201 12R </t>
  </si>
  <si>
    <t>RC0201FR-0712RL</t>
  </si>
  <si>
    <t>311-12.0MCT-ND</t>
  </si>
  <si>
    <t>13R/0201</t>
  </si>
  <si>
    <t xml:space="preserve">RES SM 0201 13R </t>
  </si>
  <si>
    <t>RC0201FR-0713RL</t>
  </si>
  <si>
    <t>YAG2404CT-ND</t>
  </si>
  <si>
    <t>15R/0201</t>
  </si>
  <si>
    <t xml:space="preserve">RES SM 0201 15R </t>
  </si>
  <si>
    <t>RC0201FR-0715RL</t>
  </si>
  <si>
    <t>311-15.0MCT-ND</t>
  </si>
  <si>
    <t>16R/0201</t>
  </si>
  <si>
    <t xml:space="preserve">RES SM 0201 16R </t>
  </si>
  <si>
    <t>RC0201FR-0716RL</t>
  </si>
  <si>
    <t>YAG2441CT-ND</t>
  </si>
  <si>
    <t>18R/0201</t>
  </si>
  <si>
    <t xml:space="preserve">RES SM 0201 18R </t>
  </si>
  <si>
    <t>RC0201FR-0718RL</t>
  </si>
  <si>
    <t>YAG2459CT-ND</t>
  </si>
  <si>
    <t>20R/0201</t>
  </si>
  <si>
    <t xml:space="preserve">RES SM 0201 20R </t>
  </si>
  <si>
    <t>RC0201FR-0720RL</t>
  </si>
  <si>
    <t>YAG2500CT-ND</t>
  </si>
  <si>
    <t>22R/0201</t>
  </si>
  <si>
    <t xml:space="preserve">RES SM 0201 22R </t>
  </si>
  <si>
    <t>RC0201FR-0722RL</t>
  </si>
  <si>
    <t>YAG2518CT-ND</t>
  </si>
  <si>
    <t>RC0201FR-1322RL</t>
  </si>
  <si>
    <t>13-RC0201FR-1322RLCT-ND</t>
  </si>
  <si>
    <t>24R/0201</t>
  </si>
  <si>
    <t xml:space="preserve">RES SM 0201 24R </t>
  </si>
  <si>
    <t>RC0201FR-0724RL</t>
  </si>
  <si>
    <t>YAG2535CT-ND</t>
  </si>
  <si>
    <t>27R/0201</t>
  </si>
  <si>
    <t xml:space="preserve">RES SM 0201 27R </t>
  </si>
  <si>
    <t>RC0201FR-0727RL</t>
  </si>
  <si>
    <t>YAG2554CT-ND</t>
  </si>
  <si>
    <t>30R/0201</t>
  </si>
  <si>
    <t xml:space="preserve">RES SM 0201 30R </t>
  </si>
  <si>
    <t>RC0201FR-0730RL</t>
  </si>
  <si>
    <t>YAG2594CT-ND</t>
  </si>
  <si>
    <t>RC0201FR-1330RL</t>
  </si>
  <si>
    <t>13-RC0201FR-1330RLCT-ND</t>
  </si>
  <si>
    <t>33R/0201</t>
  </si>
  <si>
    <t xml:space="preserve">RES SM 0201 33R </t>
  </si>
  <si>
    <t>RC0201FR-0733RL</t>
  </si>
  <si>
    <t>311-33.0MCT-ND</t>
  </si>
  <si>
    <t>RC0201FR-1333RL</t>
  </si>
  <si>
    <t>13-RC0201FR-1333RLCT-ND</t>
  </si>
  <si>
    <t>36R/0201</t>
  </si>
  <si>
    <t xml:space="preserve">RES SM 0201 36R </t>
  </si>
  <si>
    <t>RC0201FR-0736RL</t>
  </si>
  <si>
    <t>YAG2628CT-ND</t>
  </si>
  <si>
    <t>39R/0201</t>
  </si>
  <si>
    <t xml:space="preserve">RES SM 0201 39R </t>
  </si>
  <si>
    <t>RC0201FR-0739RL</t>
  </si>
  <si>
    <t>YAG2643CT-ND</t>
  </si>
  <si>
    <t>RC0201FR-1339RL</t>
  </si>
  <si>
    <t>13-RC0201FR-1339RLCT-ND</t>
  </si>
  <si>
    <t>43R/0201</t>
  </si>
  <si>
    <t xml:space="preserve">RES SM 0201 43R </t>
  </si>
  <si>
    <t>RC0201FR-0743RL</t>
  </si>
  <si>
    <t>YAG2675CT-ND</t>
  </si>
  <si>
    <t>47R/0201</t>
  </si>
  <si>
    <t xml:space="preserve">RES SM 0201 47R </t>
  </si>
  <si>
    <t>RC0201FR-0747RL</t>
  </si>
  <si>
    <t>YAG2694CT-ND</t>
  </si>
  <si>
    <t>RC0201FR-1347RL</t>
  </si>
  <si>
    <t>13-RC0201FR-1347RLCT-ND</t>
  </si>
  <si>
    <t>51R/0201</t>
  </si>
  <si>
    <t xml:space="preserve">RES SM 0201 51R </t>
  </si>
  <si>
    <t>RC0201FR-0751RL</t>
  </si>
  <si>
    <t>YAG2288CT-ND</t>
  </si>
  <si>
    <t>56R/0201</t>
  </si>
  <si>
    <t xml:space="preserve">RES SM 0201 56R </t>
  </si>
  <si>
    <t>RC0201FR-0756RL</t>
  </si>
  <si>
    <t>YAG2344CT-ND</t>
  </si>
  <si>
    <t>62R/0201</t>
  </si>
  <si>
    <t xml:space="preserve">RES SM 0201 62R </t>
  </si>
  <si>
    <t>RC0201FR-0762RL</t>
  </si>
  <si>
    <t>YAG2755CT-ND</t>
  </si>
  <si>
    <t>68R/0201</t>
  </si>
  <si>
    <t xml:space="preserve">RES SM 0201 68R </t>
  </si>
  <si>
    <t>RC0201FR-0768RL</t>
  </si>
  <si>
    <t>YAG2773CT-ND</t>
  </si>
  <si>
    <t>75R/0201</t>
  </si>
  <si>
    <t xml:space="preserve">RES SM 0201 75R </t>
  </si>
  <si>
    <t>RC0201FR-0775RL</t>
  </si>
  <si>
    <t>YAG2289CT-ND</t>
  </si>
  <si>
    <t>82R/0201</t>
  </si>
  <si>
    <t xml:space="preserve">RES SM 0201 82R </t>
  </si>
  <si>
    <t>RC0201FR-0782RL</t>
  </si>
  <si>
    <t>YAG2818CT-ND</t>
  </si>
  <si>
    <t>91R/0201</t>
  </si>
  <si>
    <t xml:space="preserve">RES SM 0201 91R </t>
  </si>
  <si>
    <t>RC0201FR-0791RL</t>
  </si>
  <si>
    <t>YAG2843CT-ND</t>
  </si>
  <si>
    <t>100R/0201</t>
  </si>
  <si>
    <t xml:space="preserve">RES SM 0201 100R </t>
  </si>
  <si>
    <t>RC0201FR-13100RL</t>
  </si>
  <si>
    <t>13-RC0201FR-13100RLCT-ND</t>
  </si>
  <si>
    <t>RC0201FR-07100RL</t>
  </si>
  <si>
    <t>311-100MCT-ND</t>
  </si>
  <si>
    <t>110R/0201</t>
  </si>
  <si>
    <t xml:space="preserve">RES SM 0201 110R </t>
  </si>
  <si>
    <t>RC0201FR-07110RL</t>
  </si>
  <si>
    <t>YAG2379CT-ND</t>
  </si>
  <si>
    <t>120R/0201</t>
  </si>
  <si>
    <t xml:space="preserve">RES SM 0201 120R </t>
  </si>
  <si>
    <t>RC0201FR-13120RL</t>
  </si>
  <si>
    <t>13-RC0201FR-13120RLCT-ND</t>
  </si>
  <si>
    <t>RC0201FR-07120RL</t>
  </si>
  <si>
    <t>311-120MCT-ND</t>
  </si>
  <si>
    <t>130R/0201</t>
  </si>
  <si>
    <t xml:space="preserve">RES SM 0201 130R </t>
  </si>
  <si>
    <t>RC0201FR-07130RL</t>
  </si>
  <si>
    <t>YAG2394CT-ND</t>
  </si>
  <si>
    <t>150R/0201</t>
  </si>
  <si>
    <t xml:space="preserve">RES SM 0201 150R </t>
  </si>
  <si>
    <t>RC0201FR-07150RL</t>
  </si>
  <si>
    <t>YAG2273CT-ND</t>
  </si>
  <si>
    <t>RC0201FR-13150RL</t>
  </si>
  <si>
    <t>13-RC0201FR-13150RLCT-ND</t>
  </si>
  <si>
    <t>160R/0201</t>
  </si>
  <si>
    <t xml:space="preserve">RES SM 0201 160R </t>
  </si>
  <si>
    <t>RC0201FR-07160RL</t>
  </si>
  <si>
    <t>YAG2427CT-ND</t>
  </si>
  <si>
    <t>180R/0201</t>
  </si>
  <si>
    <t xml:space="preserve">RES SM 0201 180R </t>
  </si>
  <si>
    <t>RC0201FR-07180RL</t>
  </si>
  <si>
    <t>YAG2450CT-ND</t>
  </si>
  <si>
    <t>200R/0201</t>
  </si>
  <si>
    <t xml:space="preserve">RES SM 0201 200R </t>
  </si>
  <si>
    <t>RC0201FR-13200RL</t>
  </si>
  <si>
    <t>13-RC0201FR-13200RLCT-ND</t>
  </si>
  <si>
    <t>RC0201FR-07200RL</t>
  </si>
  <si>
    <t>YAG2495CT-ND</t>
  </si>
  <si>
    <t>220R/0201</t>
  </si>
  <si>
    <t xml:space="preserve">RES SM 0201 220R </t>
  </si>
  <si>
    <t>RC0201FR-13220RL</t>
  </si>
  <si>
    <t>13-RC0201FR-13220RLCT-ND</t>
  </si>
  <si>
    <t>RC0201FR-07220RL</t>
  </si>
  <si>
    <t>YAG2509CT-ND</t>
  </si>
  <si>
    <t>240R/0201</t>
  </si>
  <si>
    <t xml:space="preserve">RES SM 0201 240R </t>
  </si>
  <si>
    <t>RC0201FR-07240RL</t>
  </si>
  <si>
    <t>YAG2528CT-ND</t>
  </si>
  <si>
    <t>RC0201FR-13240RL</t>
  </si>
  <si>
    <t>13-RC0201FR-13240RLCT-ND</t>
  </si>
  <si>
    <t>270R/0201</t>
  </si>
  <si>
    <t xml:space="preserve">RES SM 0201 270R </t>
  </si>
  <si>
    <t>RC0201FR-07270RL</t>
  </si>
  <si>
    <t>YAG2337CT-ND</t>
  </si>
  <si>
    <t>300R/0201</t>
  </si>
  <si>
    <t xml:space="preserve">RES SM 0201 300R </t>
  </si>
  <si>
    <t>RC0201FR-13300RL</t>
  </si>
  <si>
    <t>13-RC0201FR-13300RLCT-ND</t>
  </si>
  <si>
    <t>RC0201FR-07300RL</t>
  </si>
  <si>
    <t>YAG2339CT-ND</t>
  </si>
  <si>
    <t>330R/0201</t>
  </si>
  <si>
    <t xml:space="preserve">RES SM 0201 330R </t>
  </si>
  <si>
    <t>RC0201FR-07330RL</t>
  </si>
  <si>
    <t>YAG2604CT-ND</t>
  </si>
  <si>
    <t>360R/0201</t>
  </si>
  <si>
    <t xml:space="preserve">RES SM 0201 360R </t>
  </si>
  <si>
    <t>RC0201FR-07360RL</t>
  </si>
  <si>
    <t>YAG2622CT-ND</t>
  </si>
  <si>
    <t>390R/0201</t>
  </si>
  <si>
    <t xml:space="preserve">RES SM 0201 390R </t>
  </si>
  <si>
    <t>RC0201FR-07390RL</t>
  </si>
  <si>
    <t>YAG2283CT-ND</t>
  </si>
  <si>
    <t>RC0201FR-13390RL</t>
  </si>
  <si>
    <t>13-RC0201FR-13390RLCT-ND</t>
  </si>
  <si>
    <t>430R/0201</t>
  </si>
  <si>
    <t xml:space="preserve">RES SM 0201 430R </t>
  </si>
  <si>
    <t>RC0201FR-07430RL</t>
  </si>
  <si>
    <t>YAG2669CT-ND</t>
  </si>
  <si>
    <t>470R/0201</t>
  </si>
  <si>
    <t xml:space="preserve">RES SM 0201 470R </t>
  </si>
  <si>
    <t>RC0201FR-07470RL</t>
  </si>
  <si>
    <t>YAG2689CT-ND</t>
  </si>
  <si>
    <t>RC0201FR-13470RL</t>
  </si>
  <si>
    <t>13-RC0201FR-13470RLCT-ND</t>
  </si>
  <si>
    <t>510R/0201</t>
  </si>
  <si>
    <t xml:space="preserve">RES SM 0201 510R </t>
  </si>
  <si>
    <t>RC0201FR-07510RL</t>
  </si>
  <si>
    <t>YAG2714CT-ND</t>
  </si>
  <si>
    <t>560R/0201</t>
  </si>
  <si>
    <t xml:space="preserve">RES SM 0201 560R </t>
  </si>
  <si>
    <t>RC0201FR-07560RL</t>
  </si>
  <si>
    <t>YAG2343CT-ND</t>
  </si>
  <si>
    <t>620R/0201</t>
  </si>
  <si>
    <t xml:space="preserve">RES SM 0201 620R </t>
  </si>
  <si>
    <t>RC0201FR-07620RL</t>
  </si>
  <si>
    <t>YAG2348CT-ND</t>
  </si>
  <si>
    <t>680R/0201</t>
  </si>
  <si>
    <t xml:space="preserve">RES SM 0201 680R </t>
  </si>
  <si>
    <t>RC0201FR-07680RL</t>
  </si>
  <si>
    <t>YAG2769CT-ND</t>
  </si>
  <si>
    <t>750R/0201</t>
  </si>
  <si>
    <t xml:space="preserve">RES SM 0201 750R </t>
  </si>
  <si>
    <t>RC0201FR-07750RL</t>
  </si>
  <si>
    <t>YAG2794CT-ND</t>
  </si>
  <si>
    <t>820R/0201</t>
  </si>
  <si>
    <t xml:space="preserve">RES SM 0201 820R </t>
  </si>
  <si>
    <t>RC0201FR-07820RL</t>
  </si>
  <si>
    <t>YAG2352CT-ND</t>
  </si>
  <si>
    <t>910R/0201</t>
  </si>
  <si>
    <t xml:space="preserve">RES SM 0201 910R </t>
  </si>
  <si>
    <t>RC0201FR-07910RL</t>
  </si>
  <si>
    <t>YAG2841CT-ND</t>
  </si>
  <si>
    <t>1K/0201</t>
  </si>
  <si>
    <t xml:space="preserve">RES SM 0201 1K </t>
  </si>
  <si>
    <t>RC0201FR-071KL</t>
  </si>
  <si>
    <t>311-1KMCT-ND</t>
  </si>
  <si>
    <t>RC0201FR-131KL</t>
  </si>
  <si>
    <t>13-RC0201FR-131KLCT-ND</t>
  </si>
  <si>
    <t>1K1/0201</t>
  </si>
  <si>
    <t xml:space="preserve">RES SM 0201 1K1 </t>
  </si>
  <si>
    <t>RC0201FR-071K1L</t>
  </si>
  <si>
    <t>YAG2474CT-ND</t>
  </si>
  <si>
    <t>RC0201FR-131K1L</t>
  </si>
  <si>
    <t>13-RC0201FR-131K1LCT-ND</t>
  </si>
  <si>
    <t>1K2/0201</t>
  </si>
  <si>
    <t xml:space="preserve">RES SM 0201 1K2 </t>
  </si>
  <si>
    <t>RC0201FR-071K2L</t>
  </si>
  <si>
    <t>YAG2478CT-ND</t>
  </si>
  <si>
    <t>1K3/0201</t>
  </si>
  <si>
    <t xml:space="preserve">RES SM 0201 1K3 </t>
  </si>
  <si>
    <t>RC0201FR-071K3L</t>
  </si>
  <si>
    <t>YAG2333CT-ND</t>
  </si>
  <si>
    <t>1K5/0201</t>
  </si>
  <si>
    <t xml:space="preserve">RES SM 0201 1K5 </t>
  </si>
  <si>
    <t>RC0201FR-071K5L</t>
  </si>
  <si>
    <t>YAG2274CT-ND</t>
  </si>
  <si>
    <t>RC0201FR-131K5L</t>
  </si>
  <si>
    <t>13-RC0201FR-131K5LCT-ND</t>
  </si>
  <si>
    <t>1K6/0201</t>
  </si>
  <si>
    <t xml:space="preserve">RES SM 0201 1K6 </t>
  </si>
  <si>
    <t>RC0201FR-071K6L</t>
  </si>
  <si>
    <t>YAG2488CT-ND</t>
  </si>
  <si>
    <t>1K8/0201</t>
  </si>
  <si>
    <t xml:space="preserve">RES SM 0201 1K8 </t>
  </si>
  <si>
    <t>RC0201FR-071K8L</t>
  </si>
  <si>
    <t>YAG2492CT-ND</t>
  </si>
  <si>
    <t>2K/0201</t>
  </si>
  <si>
    <t xml:space="preserve">RES SM 0201 2K </t>
  </si>
  <si>
    <t>RC0201FR-072KL</t>
  </si>
  <si>
    <t>YAG2280CT-ND</t>
  </si>
  <si>
    <t>RC0201FR-132KL</t>
  </si>
  <si>
    <t>13-RC0201FR-132KLCT-ND</t>
  </si>
  <si>
    <t>2K2/0201</t>
  </si>
  <si>
    <t xml:space="preserve">RES SM 0201 2K2 </t>
  </si>
  <si>
    <t>RC0201FR-072K2L</t>
  </si>
  <si>
    <t>YAG2572CT-ND</t>
  </si>
  <si>
    <t>RC0201FR-132K2L</t>
  </si>
  <si>
    <t>13-RC0201FR-132K2LCT-ND</t>
  </si>
  <si>
    <t>2K4/0201</t>
  </si>
  <si>
    <t xml:space="preserve">RES SM 0201 2K4 </t>
  </si>
  <si>
    <t>RC0201FR-072K4L</t>
  </si>
  <si>
    <t>YAG2576CT-ND</t>
  </si>
  <si>
    <t>2K7/0201</t>
  </si>
  <si>
    <t xml:space="preserve">RES SM 0201 2K7 </t>
  </si>
  <si>
    <t>RC0201FR-072K7L</t>
  </si>
  <si>
    <t>YAG2581CT-ND</t>
  </si>
  <si>
    <t>3K/0201</t>
  </si>
  <si>
    <t xml:space="preserve">RES SM 0201 3K </t>
  </si>
  <si>
    <t>RC0201FR-073KL</t>
  </si>
  <si>
    <t>YAG2656CT-ND</t>
  </si>
  <si>
    <t>3K3/0201</t>
  </si>
  <si>
    <t xml:space="preserve">RES SM 0201 3K3 </t>
  </si>
  <si>
    <t>RC0201FR-073K3L</t>
  </si>
  <si>
    <t>YAG2285CT-ND</t>
  </si>
  <si>
    <t>RC0201FR-133K3L</t>
  </si>
  <si>
    <t>13-RC0201FR-133K3LCT-ND</t>
  </si>
  <si>
    <t>3K6/0201</t>
  </si>
  <si>
    <t xml:space="preserve">RES SM 0201 3K6 </t>
  </si>
  <si>
    <t>RC0201FR-073K6L</t>
  </si>
  <si>
    <t>YAG2651CT-ND</t>
  </si>
  <si>
    <t>3K9/0201</t>
  </si>
  <si>
    <t xml:space="preserve">RES SM 0201 3K9 </t>
  </si>
  <si>
    <t>RC0201FR-073K9L</t>
  </si>
  <si>
    <t>YAG2655CT-ND</t>
  </si>
  <si>
    <t>4K3/0201</t>
  </si>
  <si>
    <t xml:space="preserve">RES SM 0201 4K3 </t>
  </si>
  <si>
    <t>RC0201FR-074K3L</t>
  </si>
  <si>
    <t>YAG2706CT-ND</t>
  </si>
  <si>
    <t>4K7/0201</t>
  </si>
  <si>
    <t xml:space="preserve">RES SM 0201 4K7 </t>
  </si>
  <si>
    <t>RC0201FR-074K7L</t>
  </si>
  <si>
    <t>311-4.70KMCT-ND</t>
  </si>
  <si>
    <t>RC0201FR-134K7L</t>
  </si>
  <si>
    <t>13-RC0201FR-134K7LCT-ND</t>
  </si>
  <si>
    <t>5K1/0201</t>
  </si>
  <si>
    <t xml:space="preserve">RES SM 0201 5K1 </t>
  </si>
  <si>
    <t>RC0201FR-135K1L</t>
  </si>
  <si>
    <t>13-RC0201FR-135K1LCT-ND</t>
  </si>
  <si>
    <t>RC0201FR-075K1L</t>
  </si>
  <si>
    <t>YAG2741CT-ND</t>
  </si>
  <si>
    <t>5K6/0201</t>
  </si>
  <si>
    <t xml:space="preserve">RES SM 0201 5K6 </t>
  </si>
  <si>
    <t>RC0201FR-075K6L</t>
  </si>
  <si>
    <t>YAG2346CT-ND</t>
  </si>
  <si>
    <t>RC0201FR-135K6L</t>
  </si>
  <si>
    <t>13-RC0201FR-135K6LCT-ND</t>
  </si>
  <si>
    <t>6K2/0201</t>
  </si>
  <si>
    <t xml:space="preserve">RES SM 0201 6K2 </t>
  </si>
  <si>
    <t>RC0201FR-076K2L</t>
  </si>
  <si>
    <t>YAG2780CT-ND</t>
  </si>
  <si>
    <t>6K8/0201</t>
  </si>
  <si>
    <t xml:space="preserve">RES SM 0201 6K8 </t>
  </si>
  <si>
    <t>RC0201FR-076K8L</t>
  </si>
  <si>
    <t>YAG2351CT-ND</t>
  </si>
  <si>
    <t>7K5/0201</t>
  </si>
  <si>
    <t xml:space="preserve">RES SM 0201 7K5 </t>
  </si>
  <si>
    <t>RC0201FR-077K5L</t>
  </si>
  <si>
    <t>13-RC0201FR-077K5LCT-ND</t>
  </si>
  <si>
    <t>8K2/0201</t>
  </si>
  <si>
    <t xml:space="preserve">RES SM 0201 8K2 </t>
  </si>
  <si>
    <t>RC0201FR-078K2L</t>
  </si>
  <si>
    <t>YAG2353CT-ND</t>
  </si>
  <si>
    <t>9K1/0201</t>
  </si>
  <si>
    <t xml:space="preserve">RES SM 0201 9K1 </t>
  </si>
  <si>
    <t>RC0201FR-079K1L</t>
  </si>
  <si>
    <t>YAG2857CT-ND</t>
  </si>
  <si>
    <t>10K/0201</t>
  </si>
  <si>
    <t xml:space="preserve">RES SM 0201 10K </t>
  </si>
  <si>
    <t>RC0201FR-0710KL</t>
  </si>
  <si>
    <t>311-10.0KMCT-ND</t>
  </si>
  <si>
    <t>RC0201FR-1310KL</t>
  </si>
  <si>
    <t>13-RC0201FR-1310KLCT-ND</t>
  </si>
  <si>
    <t>11K/0201</t>
  </si>
  <si>
    <t xml:space="preserve">RES SM 0201 11K </t>
  </si>
  <si>
    <t>RC0201FR-0711KL</t>
  </si>
  <si>
    <t>YAG2332CT-ND</t>
  </si>
  <si>
    <t>12K/0201</t>
  </si>
  <si>
    <t xml:space="preserve">RES SM 0201 12K </t>
  </si>
  <si>
    <t>RC0201FR-0712KL</t>
  </si>
  <si>
    <t>311-12.0KMCT-ND</t>
  </si>
  <si>
    <t>13K/0201</t>
  </si>
  <si>
    <t xml:space="preserve">RES SM 0201 13K </t>
  </si>
  <si>
    <t>RC0201FR-0713KL</t>
  </si>
  <si>
    <t>YAG2401CT-ND</t>
  </si>
  <si>
    <t>15K/0201</t>
  </si>
  <si>
    <t xml:space="preserve">RES SM 0201 15K </t>
  </si>
  <si>
    <t>RC0201FR-0715KL</t>
  </si>
  <si>
    <t>YAG2423CT-ND</t>
  </si>
  <si>
    <t>RC0201FR-1315KL</t>
  </si>
  <si>
    <t>13-RC0201FR-1315KLCT-ND</t>
  </si>
  <si>
    <t>16K/0201</t>
  </si>
  <si>
    <t xml:space="preserve">RES SM 0201 16K </t>
  </si>
  <si>
    <t>RC0201FR-0716KL</t>
  </si>
  <si>
    <t>YAG2437CT-ND</t>
  </si>
  <si>
    <t>18K/0201</t>
  </si>
  <si>
    <t xml:space="preserve">RES SM 0201 18K </t>
  </si>
  <si>
    <t>RC0201FR-0718KL</t>
  </si>
  <si>
    <t>311-18.0KMCT-ND</t>
  </si>
  <si>
    <t>20K/0201</t>
  </si>
  <si>
    <t xml:space="preserve">RES SM 0201 20K </t>
  </si>
  <si>
    <t>RC0201FR-0720KL</t>
  </si>
  <si>
    <t>YAG2276CT-ND</t>
  </si>
  <si>
    <t>RC0201FR-1320KL</t>
  </si>
  <si>
    <t>13-RC0201FR-1320KLCT-ND</t>
  </si>
  <si>
    <t>22K/0201</t>
  </si>
  <si>
    <t xml:space="preserve">RES SM 0201 22K </t>
  </si>
  <si>
    <t>RC0201FR-0722KL</t>
  </si>
  <si>
    <t>YAG2278CT-ND</t>
  </si>
  <si>
    <t>RC0201FR-1322KL</t>
  </si>
  <si>
    <t>13-RC0201FR-1322KLCT-ND</t>
  </si>
  <si>
    <t>24K/0201</t>
  </si>
  <si>
    <t xml:space="preserve">RES SM 0201 24K </t>
  </si>
  <si>
    <t>RC0201FR-0724KL</t>
  </si>
  <si>
    <t>YAG2336CT-ND</t>
  </si>
  <si>
    <t>27K/0201</t>
  </si>
  <si>
    <t xml:space="preserve">RES SM 0201 27K </t>
  </si>
  <si>
    <t>RC0201FR-0727KL</t>
  </si>
  <si>
    <t>YAG2552CT-ND</t>
  </si>
  <si>
    <t>RC0201FR-1327KL</t>
  </si>
  <si>
    <t>13-RC0201FR-1327KLCT-ND</t>
  </si>
  <si>
    <t>30K/0201</t>
  </si>
  <si>
    <t xml:space="preserve">RES SM 0201 30K </t>
  </si>
  <si>
    <t>RC0201FR-0730KL</t>
  </si>
  <si>
    <t>YAG2281CT-ND</t>
  </si>
  <si>
    <t>RC0201FR-1330KL</t>
  </si>
  <si>
    <t>13-RC0201FR-1330KLCT-ND</t>
  </si>
  <si>
    <t>33K/0201</t>
  </si>
  <si>
    <t xml:space="preserve">RES SM 0201 33K </t>
  </si>
  <si>
    <t>RC0201FR-0733KL</t>
  </si>
  <si>
    <t>YAG2282CT-ND</t>
  </si>
  <si>
    <t>RC0201FR-1333KL</t>
  </si>
  <si>
    <t>13-RC0201FR-1333KLCT-ND</t>
  </si>
  <si>
    <t>36K/0201</t>
  </si>
  <si>
    <t xml:space="preserve">RES SM 0201 36K </t>
  </si>
  <si>
    <t>RC0201FR-0736KL</t>
  </si>
  <si>
    <t>YAG2626CT-ND</t>
  </si>
  <si>
    <t>39K/0201</t>
  </si>
  <si>
    <t xml:space="preserve">RES SM 0201 39K </t>
  </si>
  <si>
    <t>RC0201FR-0739KL</t>
  </si>
  <si>
    <t>YAG2641CT-ND</t>
  </si>
  <si>
    <t>RC0201FR-1339KL</t>
  </si>
  <si>
    <t>13-RC0201FR-1339KLCT-ND</t>
  </si>
  <si>
    <t>43K/0201</t>
  </si>
  <si>
    <t xml:space="preserve">RES SM 0201 43K </t>
  </si>
  <si>
    <t>RC0201FR-0743KL</t>
  </si>
  <si>
    <t>YAG2673CT-ND</t>
  </si>
  <si>
    <t>47K/0201</t>
  </si>
  <si>
    <t xml:space="preserve">RES SM 0201 47K </t>
  </si>
  <si>
    <t>RC0201FR-0747KL</t>
  </si>
  <si>
    <t>311-47KMCT-ND</t>
  </si>
  <si>
    <t>RC0201FR-1347KL</t>
  </si>
  <si>
    <t>13-RC0201FR-1347KLCT-ND</t>
  </si>
  <si>
    <t>51K/0201</t>
  </si>
  <si>
    <t xml:space="preserve">RES SM 0201 51K </t>
  </si>
  <si>
    <t>RC0201FR-0751KL</t>
  </si>
  <si>
    <t>311-51.0KMCT-ND</t>
  </si>
  <si>
    <t>RC0201FR-1351KL</t>
  </si>
  <si>
    <t>13-RC0201FR-1351KLCT-ND</t>
  </si>
  <si>
    <t>56K/0201</t>
  </si>
  <si>
    <t xml:space="preserve">RES SM 0201 56K </t>
  </si>
  <si>
    <t>RC0201FR-0756KL</t>
  </si>
  <si>
    <t>YAG2732CT-ND</t>
  </si>
  <si>
    <t>RC0201FR-1356KL</t>
  </si>
  <si>
    <t>13-RC0201FR-1356KLCT-ND</t>
  </si>
  <si>
    <t>62K/0201</t>
  </si>
  <si>
    <t xml:space="preserve">RES SM 0201 62K </t>
  </si>
  <si>
    <t>RC0201FR-0762KL</t>
  </si>
  <si>
    <t>YAG2754CT-ND</t>
  </si>
  <si>
    <t>68K/0201</t>
  </si>
  <si>
    <t xml:space="preserve">RES SM 0201 68K </t>
  </si>
  <si>
    <t>RC0201FR-0768KL</t>
  </si>
  <si>
    <t>YAG2772CT-ND</t>
  </si>
  <si>
    <t>RC0201FR-1368KL</t>
  </si>
  <si>
    <t>13-RC0201FR-1368KLCT-ND</t>
  </si>
  <si>
    <t>75K/0201</t>
  </si>
  <si>
    <t xml:space="preserve">RES SM 0201 75K </t>
  </si>
  <si>
    <t>RC0201FR-0775KL</t>
  </si>
  <si>
    <t>YAG2795CT-ND</t>
  </si>
  <si>
    <t>RC0201FR-1375KL</t>
  </si>
  <si>
    <t>13-RC0201FR-1375KLCT-ND</t>
  </si>
  <si>
    <t>82K/0201</t>
  </si>
  <si>
    <t xml:space="preserve">RES SM 0201 82K </t>
  </si>
  <si>
    <t>RC0201FR-0782KL</t>
  </si>
  <si>
    <t>YAG2816CT-ND</t>
  </si>
  <si>
    <t>91K/0201</t>
  </si>
  <si>
    <t xml:space="preserve">RES SM 0201 91K </t>
  </si>
  <si>
    <t>RC0201FR-0791KL</t>
  </si>
  <si>
    <t>YAG2842CT-ND</t>
  </si>
  <si>
    <t>100K/0201</t>
  </si>
  <si>
    <t xml:space="preserve">RES SM 0201 100K </t>
  </si>
  <si>
    <t>RC0201FR-07100KL</t>
  </si>
  <si>
    <t>311-100KMCT-ND</t>
  </si>
  <si>
    <t>RC0201FR-13100KL</t>
  </si>
  <si>
    <t>13-RC0201FR-13100KLCT-ND</t>
  </si>
  <si>
    <t>110K/0201</t>
  </si>
  <si>
    <t xml:space="preserve">RES SM 0201 110K </t>
  </si>
  <si>
    <t>RC0201FR-07110KL</t>
  </si>
  <si>
    <t>YAG2378CT-ND</t>
  </si>
  <si>
    <t>120K/0201</t>
  </si>
  <si>
    <t xml:space="preserve">RES SM 0201 120K </t>
  </si>
  <si>
    <t>RC0201FR-07120KL</t>
  </si>
  <si>
    <t>311-120KMCT-ND</t>
  </si>
  <si>
    <t>RC0201FR-13120KL</t>
  </si>
  <si>
    <t>13-RC0201FR-13120KLCT-ND</t>
  </si>
  <si>
    <t>130K/0201</t>
  </si>
  <si>
    <t xml:space="preserve">RES SM 0201 130K </t>
  </si>
  <si>
    <t>RC0201FR-07130KL</t>
  </si>
  <si>
    <t>YAG2393CT-ND</t>
  </si>
  <si>
    <t>150K/0201</t>
  </si>
  <si>
    <t xml:space="preserve">RES SM 0201 150K </t>
  </si>
  <si>
    <t>RC0201FR-07150KL</t>
  </si>
  <si>
    <t>YAG2272CT-ND</t>
  </si>
  <si>
    <t>RC0201FR-13150KL</t>
  </si>
  <si>
    <t>13-RC0201FR-13150KLCT-ND</t>
  </si>
  <si>
    <t>160K/0201</t>
  </si>
  <si>
    <t xml:space="preserve">RES SM 0201 160K </t>
  </si>
  <si>
    <t>RC0201FR-07160KL</t>
  </si>
  <si>
    <t>YAG2426CT-ND</t>
  </si>
  <si>
    <t>180K/0201</t>
  </si>
  <si>
    <t xml:space="preserve">RES SM 0201 180K </t>
  </si>
  <si>
    <t>RC0201FR-07180KL</t>
  </si>
  <si>
    <t>YAG2449CT-ND</t>
  </si>
  <si>
    <t>200K/0201</t>
  </si>
  <si>
    <t xml:space="preserve">RES SM 0201 200K </t>
  </si>
  <si>
    <t>RC0201FR-07200KL</t>
  </si>
  <si>
    <t>YAG2275CT-ND</t>
  </si>
  <si>
    <t>RC0201FR-13200KL</t>
  </si>
  <si>
    <t>13-RC0201FR-13200KLCT-ND</t>
  </si>
  <si>
    <t>220K/0201</t>
  </si>
  <si>
    <t xml:space="preserve">RES SM 0201 220K </t>
  </si>
  <si>
    <t>RC0201FR-07220KL</t>
  </si>
  <si>
    <t>YAG2277CT-ND</t>
  </si>
  <si>
    <t>240K/0201</t>
  </si>
  <si>
    <t xml:space="preserve">RES SM 0201 240K </t>
  </si>
  <si>
    <t>RC0201FR-07240KL</t>
  </si>
  <si>
    <t>YAG2527CT-ND</t>
  </si>
  <si>
    <t>270K/0201</t>
  </si>
  <si>
    <t xml:space="preserve">RES SM 0201 270K </t>
  </si>
  <si>
    <t>RC0201FR-07270KL</t>
  </si>
  <si>
    <t>YAG2548CT-ND</t>
  </si>
  <si>
    <t>300K/0201</t>
  </si>
  <si>
    <t xml:space="preserve">RES SM 0201 300K </t>
  </si>
  <si>
    <t>RC0201FR-07300KL</t>
  </si>
  <si>
    <t>YAG2585CT-ND</t>
  </si>
  <si>
    <t>330K/0201</t>
  </si>
  <si>
    <t xml:space="preserve">RES SM 0201 330K </t>
  </si>
  <si>
    <t>RC0201FR-07330KL</t>
  </si>
  <si>
    <t>YAG2603CT-ND</t>
  </si>
  <si>
    <t>360K/0201</t>
  </si>
  <si>
    <t xml:space="preserve">RES SM 0201 360K </t>
  </si>
  <si>
    <t>RC0201FR-07360KL</t>
  </si>
  <si>
    <t>YAG2621CT-ND</t>
  </si>
  <si>
    <t>390K/0201</t>
  </si>
  <si>
    <t xml:space="preserve">RES SM 0201 390K </t>
  </si>
  <si>
    <t>RC0201FR-07390KL</t>
  </si>
  <si>
    <t>YAG2637CT-ND</t>
  </si>
  <si>
    <t>430K/0201</t>
  </si>
  <si>
    <t xml:space="preserve">RES SM 0201 430K </t>
  </si>
  <si>
    <t>RC0201FR-07430KL</t>
  </si>
  <si>
    <t>YAG2668CT-ND</t>
  </si>
  <si>
    <t>470K/0201</t>
  </si>
  <si>
    <t xml:space="preserve">RES SM 0201 470K </t>
  </si>
  <si>
    <t>RC0201FR-13470KL</t>
  </si>
  <si>
    <t>13-RC0201FR-13470KLCT-ND</t>
  </si>
  <si>
    <t>RC0201FR-07470KL</t>
  </si>
  <si>
    <t>YAG2688CT-ND</t>
  </si>
  <si>
    <t>510K/0201</t>
  </si>
  <si>
    <t xml:space="preserve">RES SM 0201 510K </t>
  </si>
  <si>
    <t>RC0201FR-07510KL</t>
  </si>
  <si>
    <t>YAG2713CT-ND</t>
  </si>
  <si>
    <t>560K/0201</t>
  </si>
  <si>
    <t xml:space="preserve">RES SM 0201 560K </t>
  </si>
  <si>
    <t>RC0201FR-07560KL</t>
  </si>
  <si>
    <t>YAG2728CT-ND</t>
  </si>
  <si>
    <t>620K/0201</t>
  </si>
  <si>
    <t xml:space="preserve">RES SM 0201 620K </t>
  </si>
  <si>
    <t>RC0201FR-07620KL</t>
  </si>
  <si>
    <t>YAG2753CT-ND</t>
  </si>
  <si>
    <t>680K/0201</t>
  </si>
  <si>
    <t xml:space="preserve">RES SM 0201 680K </t>
  </si>
  <si>
    <t>RC0201FR-07680KL</t>
  </si>
  <si>
    <t>YAG2768CT-ND</t>
  </si>
  <si>
    <t>750K/0201</t>
  </si>
  <si>
    <t xml:space="preserve">RES SM 0201 750K </t>
  </si>
  <si>
    <t>RC0201FR-07750KL</t>
  </si>
  <si>
    <t>YAG2793CT-ND</t>
  </si>
  <si>
    <t>820K/0201</t>
  </si>
  <si>
    <t xml:space="preserve">RES SM 0201 820K </t>
  </si>
  <si>
    <t>RC0201FR-07820KL</t>
  </si>
  <si>
    <t>YAG2812CT-ND</t>
  </si>
  <si>
    <t>910K/0201</t>
  </si>
  <si>
    <t xml:space="preserve">RES SM 0201 910K </t>
  </si>
  <si>
    <t>RC0201FR-07910KL</t>
  </si>
  <si>
    <t>YAG2840CT-ND</t>
  </si>
  <si>
    <t>1M/0201</t>
  </si>
  <si>
    <t xml:space="preserve">RES SM 0201 1M </t>
  </si>
  <si>
    <t>RC0201FR-071ML</t>
  </si>
  <si>
    <t>311-1MMCT-ND</t>
  </si>
  <si>
    <t>RC0201FR-131ML</t>
  </si>
  <si>
    <t>13-RC0201FR-131MLCT-ND</t>
  </si>
  <si>
    <t>1M1/0201</t>
  </si>
  <si>
    <t xml:space="preserve">RES SM 0201 1M1 </t>
  </si>
  <si>
    <t>RC0201FR-071M1L</t>
  </si>
  <si>
    <t>13-RC0201FR-071M1LCT-ND</t>
  </si>
  <si>
    <t>1M2/0201</t>
  </si>
  <si>
    <t xml:space="preserve">RES SM 0201 1M2 </t>
  </si>
  <si>
    <t>RC0201FR-071M2L</t>
  </si>
  <si>
    <t>13-RC0201FR-071M2LCT-ND</t>
  </si>
  <si>
    <t>1M3/0201</t>
  </si>
  <si>
    <t xml:space="preserve">RES SM 0201 1M3 </t>
  </si>
  <si>
    <t>RC0201FR-071M3L</t>
  </si>
  <si>
    <t>13-RC0201FR-071M3LCT-ND</t>
  </si>
  <si>
    <t>1M5/0201</t>
  </si>
  <si>
    <t xml:space="preserve">RES SM 0201 1M5 </t>
  </si>
  <si>
    <t>RC0201FR-071M5L</t>
  </si>
  <si>
    <t>13-RC0201FR-071M5LCT-ND</t>
  </si>
  <si>
    <t>1M8/0201</t>
  </si>
  <si>
    <t xml:space="preserve">RES SM 0201 1M8 </t>
  </si>
  <si>
    <t>RC0201FR-071M8L</t>
  </si>
  <si>
    <t>13-RC0201FR-071M8LCT-ND</t>
  </si>
  <si>
    <t>2M/0201</t>
  </si>
  <si>
    <t xml:space="preserve">RES SM 0201 2M </t>
  </si>
  <si>
    <t>RC0201FR-072ML</t>
  </si>
  <si>
    <t>13-RC0201FR-072MLCT-ND</t>
  </si>
  <si>
    <t>2M2/0201</t>
  </si>
  <si>
    <t xml:space="preserve">RES SM 0201 2M2 </t>
  </si>
  <si>
    <t>RC0201FR-072M2L</t>
  </si>
  <si>
    <t>13-RC0201FR-072M2LCT-ND</t>
  </si>
  <si>
    <t>2M4/0201</t>
  </si>
  <si>
    <t xml:space="preserve">RES SM 0201 2M4 </t>
  </si>
  <si>
    <t>RC0201FR-072M4L</t>
  </si>
  <si>
    <t>13-RC0201FR-072M4LCT-ND</t>
  </si>
  <si>
    <t>2M7/0201</t>
  </si>
  <si>
    <t xml:space="preserve">RES SM 0201 2M7 </t>
  </si>
  <si>
    <t>RC0201FR-072M7L</t>
  </si>
  <si>
    <t>13-RC0201FR-072M7LCT-ND</t>
  </si>
  <si>
    <t>3M/0201</t>
  </si>
  <si>
    <t xml:space="preserve">RES SM 0201 3M </t>
  </si>
  <si>
    <t>RC0201FR-073ML</t>
  </si>
  <si>
    <t>13-RC0201FR-073MLCT-ND</t>
  </si>
  <si>
    <t>3M3/0201</t>
  </si>
  <si>
    <t xml:space="preserve">RES SM 0201 3M3 </t>
  </si>
  <si>
    <t>RC0201FR-073M3L</t>
  </si>
  <si>
    <t>13-RC0201FR-073M3LCT-ND</t>
  </si>
  <si>
    <t>3M6/0201</t>
  </si>
  <si>
    <t xml:space="preserve">RES SM 0201 3M6 </t>
  </si>
  <si>
    <t>RC0201FR-073M6L</t>
  </si>
  <si>
    <t>13-RC0201FR-073M6LCT-ND</t>
  </si>
  <si>
    <t>3M9/0201</t>
  </si>
  <si>
    <t xml:space="preserve">RES SM 0201 3M9 </t>
  </si>
  <si>
    <t>RC0201FR-073M9L</t>
  </si>
  <si>
    <t>13-RC0201FR-073M9LCT-ND</t>
  </si>
  <si>
    <t>4M3/0201</t>
  </si>
  <si>
    <t xml:space="preserve">RES SM 0201 4M3 </t>
  </si>
  <si>
    <t>RC0201FR-074M3L</t>
  </si>
  <si>
    <t>13-RC0201FR-074M3LCT-ND</t>
  </si>
  <si>
    <t>4M7/0201</t>
  </si>
  <si>
    <t xml:space="preserve">RES SM 0201 4M7 </t>
  </si>
  <si>
    <t>RC0201FR-074M7L</t>
  </si>
  <si>
    <t>13-RC0201FR-074M7LCT-ND</t>
  </si>
  <si>
    <t>5M1/0201</t>
  </si>
  <si>
    <t xml:space="preserve">RES SM 0201 5M1 </t>
  </si>
  <si>
    <t>RC0201FR-075M1L</t>
  </si>
  <si>
    <t>13-RC0201FR-075M1LCT-ND</t>
  </si>
  <si>
    <t>5M6/0201</t>
  </si>
  <si>
    <t xml:space="preserve">RES SM 0201 5M6 </t>
  </si>
  <si>
    <t>RC0201FR-075M6L</t>
  </si>
  <si>
    <t>13-RC0201FR-075M6LCT-ND</t>
  </si>
  <si>
    <t>9M1/0201</t>
  </si>
  <si>
    <t xml:space="preserve">RES SM 0201 9M1 </t>
  </si>
  <si>
    <t>RC0201FR-079M1L</t>
  </si>
  <si>
    <t>13-RC0201FR-079M1LCT-ND</t>
  </si>
  <si>
    <t>10M/0201</t>
  </si>
  <si>
    <t xml:space="preserve">RES SM 0201 10M </t>
  </si>
  <si>
    <t>RC0201FR-0710ML</t>
  </si>
  <si>
    <t>13-RC0201FR-0710MLCT-ND</t>
  </si>
  <si>
    <t>1.0P/0201/50V/C0G</t>
  </si>
  <si>
    <t xml:space="preserve">CAP SM 0201 1.0pF 50V C0G </t>
  </si>
  <si>
    <t>CAP0201_C0G</t>
  </si>
  <si>
    <t>https://www.yageo.com/en/Chart/Download/pdf/CC0201CRNPO9BN1R0</t>
  </si>
  <si>
    <t>CC0201CRNPO9BN1R0</t>
  </si>
  <si>
    <t>311-3304-1-ND</t>
  </si>
  <si>
    <t>1.2P/0201/50V/C0G</t>
  </si>
  <si>
    <t xml:space="preserve">CAP SM 0201 1.2pF 50V C0G </t>
  </si>
  <si>
    <t>https://www.yageo.com/en/Chart/Download/pdf/CC0201CRNPO9BN1R2</t>
  </si>
  <si>
    <t>CC0201CRNPO9BN1R2</t>
  </si>
  <si>
    <t>311-1580-1-ND</t>
  </si>
  <si>
    <t>1.5P/0201/50V/C0G</t>
  </si>
  <si>
    <t xml:space="preserve">CAP SM 0201 1.5pF 50V C0G </t>
  </si>
  <si>
    <t>https://www.yageo.com/en/Chart/Download/pdf/CC0201BRNPO9BN1R5</t>
  </si>
  <si>
    <t>CC0201BRNPO9BN1R5</t>
  </si>
  <si>
    <t>311-3663-1-ND</t>
  </si>
  <si>
    <t>1.8P/0201/50V/C0G</t>
  </si>
  <si>
    <t xml:space="preserve">CAP SM 0201 1.8pF 50V C0G </t>
  </si>
  <si>
    <t>https://www.yageo.com/en/Chart/Download/pdf/CC0201CRNPO9BN1R8</t>
  </si>
  <si>
    <t>CC0201CRNPO9BN1R8</t>
  </si>
  <si>
    <t>311-3305-1-ND</t>
  </si>
  <si>
    <t>2.2P/0201/50V/C0G</t>
  </si>
  <si>
    <t xml:space="preserve">CAP SM 0201 2.2pF 50V C0G </t>
  </si>
  <si>
    <t>https://www.yageo.com/en/Chart/Download/pdf/CC0201CRNPO9BN2R2</t>
  </si>
  <si>
    <t>CC0201CRNPO9BN2R2</t>
  </si>
  <si>
    <t>311-1582-1-ND</t>
  </si>
  <si>
    <t>2.7P/0201/50V/C0G</t>
  </si>
  <si>
    <t xml:space="preserve">CAP SM 0201 2.7pF 50V C0G </t>
  </si>
  <si>
    <t>https://www.yageo.com/en/Chart/Download/pdf/CC0201CRNPO9BN2R7</t>
  </si>
  <si>
    <t>CC0201CRNPO9BN2R7</t>
  </si>
  <si>
    <t>311-3307-1-ND</t>
  </si>
  <si>
    <t>3.3P/0201/50V/C0G</t>
  </si>
  <si>
    <t xml:space="preserve">CAP SM 0201 3.3pF 50V C0G </t>
  </si>
  <si>
    <t>https://www.yageo.com/en/Chart/Download/pdf/CC0201BRNPO9BN3R3</t>
  </si>
  <si>
    <t>CC0201BRNPO9BN3R3</t>
  </si>
  <si>
    <t>311-3295-1-ND</t>
  </si>
  <si>
    <t>3.9P/0201/50V/C0G</t>
  </si>
  <si>
    <t xml:space="preserve">CAP SM 0201 3.9pF 50V C0G </t>
  </si>
  <si>
    <t>https://www.yageo.com/en/Chart/Download/pdf/CC0201CRNPO9BN3R9</t>
  </si>
  <si>
    <t>CC0201CRNPO9BN3R9</t>
  </si>
  <si>
    <t>13-CC0201CRNPO9BN3R9CT-ND</t>
  </si>
  <si>
    <t>4.7P/0201/50V/C0G</t>
  </si>
  <si>
    <t xml:space="preserve">CAP SM 0201 4.7pF 50V C0G </t>
  </si>
  <si>
    <t>https://www.yageo.com/en/Chart/Download/pdf/CC0201BRNPO9BN4R7</t>
  </si>
  <si>
    <t>CC0201BRNPO9BN4R7</t>
  </si>
  <si>
    <t>311-3667-1-ND</t>
  </si>
  <si>
    <t>5.6P/0201/50V/C0G</t>
  </si>
  <si>
    <t xml:space="preserve">CAP SM 0201 5.6pF 50V C0G </t>
  </si>
  <si>
    <t>https://www.yageo.com/en/Chart/Download/pdf/CC0201CRNPO9BN5R6</t>
  </si>
  <si>
    <t>CC0201CRNPO9BN5R6</t>
  </si>
  <si>
    <t>311-3309-1-ND</t>
  </si>
  <si>
    <t>6.8P/0201/50V/C0G</t>
  </si>
  <si>
    <t xml:space="preserve">CAP SM 0201 6.8pF 50V C0G </t>
  </si>
  <si>
    <t>https://www.yageo.com/en/Chart/Download/pdf/CC0201CRNPO9BN6R8</t>
  </si>
  <si>
    <t>CC0201CRNPO9BN6R8</t>
  </si>
  <si>
    <t>311-3310-1-ND</t>
  </si>
  <si>
    <t>8.2P/0201/50V/C0G</t>
  </si>
  <si>
    <t xml:space="preserve">CAP SM 0201 8.2pF 50V C0G </t>
  </si>
  <si>
    <t>https://www.yageo.com/en/Chart/Download/pdf/CC0201CRNPO9BN8R2</t>
  </si>
  <si>
    <t>CC0201CRNPO9BN8R2</t>
  </si>
  <si>
    <t>311-3311-1-ND</t>
  </si>
  <si>
    <t>10P/0201/50V/C0G</t>
  </si>
  <si>
    <t xml:space="preserve">CAP SM 0201 10pF 50V C0G </t>
  </si>
  <si>
    <t>https://www.yageo.com/en/Chart/Download/pdf/CC0201JRNPO9BN100</t>
  </si>
  <si>
    <t>CC0201JRNPO9BN100</t>
  </si>
  <si>
    <t>311-1385-1-ND</t>
  </si>
  <si>
    <t>12P/0201/50V/C0G</t>
  </si>
  <si>
    <t xml:space="preserve">CAP SM 0201 12pF 50V C0G </t>
  </si>
  <si>
    <t>https://www.yageo.com/en/Chart/Download/pdf/CC0201JRNPO9BN120</t>
  </si>
  <si>
    <t>CC0201JRNPO9BN120</t>
  </si>
  <si>
    <t>311-1585-1-ND</t>
  </si>
  <si>
    <t>15P/0201/50V/C0G</t>
  </si>
  <si>
    <t xml:space="preserve">CAP SM 0201 15pF 50V C0G </t>
  </si>
  <si>
    <t>https://www.yageo.com/en/Chart/Download/pdf/CC0201JRNPO9BN150</t>
  </si>
  <si>
    <t>CC0201JRNPO9BN150</t>
  </si>
  <si>
    <t>311-1396-1-ND</t>
  </si>
  <si>
    <t>18P/0201/50V/C0G</t>
  </si>
  <si>
    <t xml:space="preserve">CAP SM 0201 18pF 50V C0G </t>
  </si>
  <si>
    <t>https://www.yageo.com/en/Chart/Download/pdf/CC0201JRNPO9BN180</t>
  </si>
  <si>
    <t>CC0201JRNPO9BN180</t>
  </si>
  <si>
    <t>311-1386-1-ND</t>
  </si>
  <si>
    <t>22P/0201/50V/C0G</t>
  </si>
  <si>
    <t xml:space="preserve">CAP SM 0201 22pF 50V C0G </t>
  </si>
  <si>
    <t>https://www.yageo.com/en/Chart/Download/pdf/CC0201JRNPO9BN220</t>
  </si>
  <si>
    <t>CC0201JRNPO9BN220</t>
  </si>
  <si>
    <t>311-1383-1-ND</t>
  </si>
  <si>
    <t>27P/0201/50V/C0G</t>
  </si>
  <si>
    <t xml:space="preserve">CAP SM 0201 27pF 50V C0G </t>
  </si>
  <si>
    <t>https://www.yageo.com/en/Chart/Download/pdf/CC0201GRNPO9BN270</t>
  </si>
  <si>
    <t>CC0201GRNPO9BN270</t>
  </si>
  <si>
    <t>13-CC0201GRNPO9BN270CT-ND</t>
  </si>
  <si>
    <t>33P/0201/50V/C0G</t>
  </si>
  <si>
    <t xml:space="preserve">CAP SM 0201 33pF 50V C0G </t>
  </si>
  <si>
    <t>https://www.yageo.com/en/Chart/Download/pdf/CC0201JRNPO9BN330</t>
  </si>
  <si>
    <t>CC0201JRNPO9BN330</t>
  </si>
  <si>
    <t>311-1586-1-ND</t>
  </si>
  <si>
    <t>39P/0201/50V/C0G</t>
  </si>
  <si>
    <t xml:space="preserve">CAP SM 0201 39pF 50V C0G </t>
  </si>
  <si>
    <t>https://www.yageo.com/en/Chart/Download/pdf/CC0201JRNPO9BN390</t>
  </si>
  <si>
    <t>CC0201JRNPO9BN390</t>
  </si>
  <si>
    <t>311-3683-1-ND</t>
  </si>
  <si>
    <t>47P/0201/50V/C0G</t>
  </si>
  <si>
    <t xml:space="preserve">CAP SM 0201 47pF 50V C0G </t>
  </si>
  <si>
    <t>https://www.yageo.com/en/Chart/Download/pdf/CC0201JRNPO9BN470</t>
  </si>
  <si>
    <t>CC0201JRNPO9BN470</t>
  </si>
  <si>
    <t>311-3317-1-ND</t>
  </si>
  <si>
    <t>56P/0201/50V/C0G</t>
  </si>
  <si>
    <t xml:space="preserve">CAP SM 0201 56pF 50V C0G </t>
  </si>
  <si>
    <t>https://www.yageo.com/en/Chart/Download/pdf/CC0201JRNPO9BN560</t>
  </si>
  <si>
    <t>CC0201JRNPO9BN560</t>
  </si>
  <si>
    <t>311-1587-1-ND</t>
  </si>
  <si>
    <t>68P/0201/50V/C0G</t>
  </si>
  <si>
    <t xml:space="preserve">CAP SM 0201 68pF 50V C0G </t>
  </si>
  <si>
    <t>https://www.yageo.com/en/Chart/Download/pdf/CC0201JRNPO9BN680</t>
  </si>
  <si>
    <t>CC0201JRNPO9BN680</t>
  </si>
  <si>
    <t>311-1588-1-ND</t>
  </si>
  <si>
    <t>82P/0201/50V/C0G</t>
  </si>
  <si>
    <t xml:space="preserve">CAP SM 0201 82pF 50V C0G </t>
  </si>
  <si>
    <t>https://www.yageo.com/en/Chart/Download/pdf/CC0201JRNPO9BN820</t>
  </si>
  <si>
    <t>CC0201JRNPO9BN820</t>
  </si>
  <si>
    <t>311-3684-1-ND</t>
  </si>
  <si>
    <t>100P/0201/50V/C0G</t>
  </si>
  <si>
    <t xml:space="preserve">CAP SM 0201 100pF 50V C0G </t>
  </si>
  <si>
    <t>https://www.yageo.com/en/Chart/Download/pdf/CC0201JRNPO9BN101</t>
  </si>
  <si>
    <t>CC0201JRNPO9BN101</t>
  </si>
  <si>
    <t>311-2080-1-ND</t>
  </si>
  <si>
    <t>150P/0201/50V/C0G</t>
  </si>
  <si>
    <t xml:space="preserve">CAP SM 0201 150pF 50V C0G </t>
  </si>
  <si>
    <t>https://www.yageo.com/en/Chart/Download/pdf/CC0201JRNPO9BN151</t>
  </si>
  <si>
    <t>CC0201JRNPO9BN151</t>
  </si>
  <si>
    <t>13-CC0201JRNPO9BN151CT-ND</t>
  </si>
  <si>
    <t>180P/0201/25V/C0G</t>
  </si>
  <si>
    <t xml:space="preserve">CAP SM 0201 180pF 25V C0G </t>
  </si>
  <si>
    <t>https://mm.digikey.com/Volume0/opasdata/d220001/medias/docus/8910/UPY_GP_NP0_16V_TO_250V.pdf</t>
  </si>
  <si>
    <t>CC0201JRNPO8BN181</t>
  </si>
  <si>
    <t>13-CC0201JRNPO8BN181CT-ND</t>
  </si>
  <si>
    <t>220P/0201/50V/C0G</t>
  </si>
  <si>
    <t xml:space="preserve">CAP SM 0201 220pF 50V C0G </t>
  </si>
  <si>
    <t>https://www.yageo.com/en/Chart/Download/pdf/CC0201JRNPO9BN221</t>
  </si>
  <si>
    <t>CC0201JRNPO9BN221</t>
  </si>
  <si>
    <t>13-CC0201JRNPO9BN221CT-ND</t>
  </si>
  <si>
    <t>47P/0201/50V/X7R</t>
  </si>
  <si>
    <t xml:space="preserve">CAP SM 0201 47pF 50V X7R </t>
  </si>
  <si>
    <t>CAP0201_X7R</t>
  </si>
  <si>
    <t>https://yageogroup.com/content/datasheet/asset/file/UPY-GPHC_X7R_6_3V-TO-250V</t>
  </si>
  <si>
    <t>CC0201KRX7R9BB470</t>
  </si>
  <si>
    <t>13-CC0201KRX7R9BB470CT-ND</t>
  </si>
  <si>
    <t>100P/0201/50V/X7R</t>
  </si>
  <si>
    <t xml:space="preserve">CAP SM 0201 100pF 50V X7R </t>
  </si>
  <si>
    <t>CC0201KRX7R9BB101</t>
  </si>
  <si>
    <t>311-1401-1-ND</t>
  </si>
  <si>
    <t>120P/0201/50V/X7R</t>
  </si>
  <si>
    <t xml:space="preserve">CAP SM 0201 120pF 50V X7R </t>
  </si>
  <si>
    <t>CC0201JRX7R9BB121</t>
  </si>
  <si>
    <t>13-CC0201JRX7R9BB121CT-ND</t>
  </si>
  <si>
    <t>150P/0201/50V/X7R</t>
  </si>
  <si>
    <t xml:space="preserve">CAP SM 0201 150pF 50V X7R </t>
  </si>
  <si>
    <t>CC0201KRX7R9BB151</t>
  </si>
  <si>
    <t>13-CC0201KRX7R9BB151CT-ND</t>
  </si>
  <si>
    <t>180P/0201/50V/X7R</t>
  </si>
  <si>
    <t xml:space="preserve">CAP SM 0201 180pF 50V X7R </t>
  </si>
  <si>
    <t>CC0201KRX7R9BB181</t>
  </si>
  <si>
    <t>13-CC0201KRX7R9BB181CT-ND</t>
  </si>
  <si>
    <t>220P/0201/50V/X7R</t>
  </si>
  <si>
    <t xml:space="preserve">CAP SM 0201 220pF 50V X7R </t>
  </si>
  <si>
    <t>CC0201KRX7R9BB221</t>
  </si>
  <si>
    <t>311-1402-1-ND</t>
  </si>
  <si>
    <t>270P/0201/50V/X7R</t>
  </si>
  <si>
    <t xml:space="preserve">CAP SM 0201 270pF 50V X7R </t>
  </si>
  <si>
    <t>CC0201KRX7R9BB271</t>
  </si>
  <si>
    <t>13-CC0201KRX7R9BB271CT-ND</t>
  </si>
  <si>
    <t>330P/0201/50V/X7R</t>
  </si>
  <si>
    <t xml:space="preserve">CAP SM 0201 330pF 50V X7R </t>
  </si>
  <si>
    <t>CC0201KRX7R9BB331</t>
  </si>
  <si>
    <t>13-CC0201KRX7R9BB331CT-ND</t>
  </si>
  <si>
    <t>390P/0201/50V/X7R</t>
  </si>
  <si>
    <t xml:space="preserve">CAP SM 0201 390pF 50V X7R </t>
  </si>
  <si>
    <t>CC0201KRX7R9BB391</t>
  </si>
  <si>
    <t>13-CC0201KRX7R9BB391CT-ND</t>
  </si>
  <si>
    <t>470P/0201/50V/X7R</t>
  </si>
  <si>
    <t xml:space="preserve">CAP SM 0201 470pF 50V X7R </t>
  </si>
  <si>
    <t>CC0201KRX7R9BB471</t>
  </si>
  <si>
    <t>311-3699-1-ND</t>
  </si>
  <si>
    <t>560P/0201/50V/X7R</t>
  </si>
  <si>
    <t xml:space="preserve">CAP SM 0201 560pF 50V X7R </t>
  </si>
  <si>
    <t>CC0201KRX7R9BB561</t>
  </si>
  <si>
    <t>13-CC0201KRX7R9BB561CT-ND</t>
  </si>
  <si>
    <t>680P/0201/50V/X7R</t>
  </si>
  <si>
    <t xml:space="preserve">CAP SM 0201 680pF 50V X7R </t>
  </si>
  <si>
    <t>CC0201KRX7R9BB681</t>
  </si>
  <si>
    <t>13-CC0201KRX7R9BB681CT-ND</t>
  </si>
  <si>
    <t>820P/0201/50V/X7R</t>
  </si>
  <si>
    <t xml:space="preserve">CAP SM 0201 820pF 50V X7R </t>
  </si>
  <si>
    <t>https://www.yageo.com/en/Chart/Download/pdf/CC0201KRX7R9BB821</t>
  </si>
  <si>
    <t>CC0201KRX7R9BB821</t>
  </si>
  <si>
    <t>13-CC0201KRX7R9BB821CT-ND</t>
  </si>
  <si>
    <t>1.0N/0201/50V/X7R</t>
  </si>
  <si>
    <t xml:space="preserve">CAP SM 0201 1.0nF 50V X7R </t>
  </si>
  <si>
    <t>CC0201KRX7R9BB102</t>
  </si>
  <si>
    <t>311-3319-1-ND</t>
  </si>
  <si>
    <t>1.2N/0201/25V/X7R</t>
  </si>
  <si>
    <t xml:space="preserve">CAP SM 0201 1.2nF 25V X7R </t>
  </si>
  <si>
    <t>CC0201KRX7R8BB122</t>
  </si>
  <si>
    <t>13-CC0201KRX7R8BB122CT-ND</t>
  </si>
  <si>
    <t>1.5N/0201/25V/X7R</t>
  </si>
  <si>
    <t xml:space="preserve">CAP SM 0201 1.5nF 25V X7R </t>
  </si>
  <si>
    <t>CC0201KRX7R8BB152</t>
  </si>
  <si>
    <t>311-1607-1-ND</t>
  </si>
  <si>
    <t>1.8N/0201/25V/X7R</t>
  </si>
  <si>
    <t xml:space="preserve">CAP SM 0201 1.8nF 25V X7R </t>
  </si>
  <si>
    <t>CC0201KRX7R8BB182</t>
  </si>
  <si>
    <t>13-CC0201KRX7R8BB182CT-ND</t>
  </si>
  <si>
    <t>2.2N/0201/25V/X7R</t>
  </si>
  <si>
    <t xml:space="preserve">CAP SM 0201 2.2nF 25V X7R </t>
  </si>
  <si>
    <t>CC0201KRX7R8BB222</t>
  </si>
  <si>
    <t>13-CC0201KRX7R8BB222CT-ND</t>
  </si>
  <si>
    <t>2.7N/0201/25V/X7R</t>
  </si>
  <si>
    <t xml:space="preserve">CAP SM 0201 2.7nF 25V X7R </t>
  </si>
  <si>
    <t>CC0201KRX7R8BB272</t>
  </si>
  <si>
    <t>13-CC0201KRX7R8BB272CT-ND</t>
  </si>
  <si>
    <t>3.3N/0201/25V/X7R</t>
  </si>
  <si>
    <t xml:space="preserve">CAP SM 0201 3.3nF 25V X7R </t>
  </si>
  <si>
    <t>CC0201KRX7R8BB332</t>
  </si>
  <si>
    <t>13-CC0201KRX7R8BB332CT-ND</t>
  </si>
  <si>
    <t>3.9N/0201/25V/X7R</t>
  </si>
  <si>
    <t xml:space="preserve">CAP SM 0201 3.9nF 25V X7R </t>
  </si>
  <si>
    <t>CC0201KRX7R8BB392</t>
  </si>
  <si>
    <t>13-CC0201KRX7R8BB392CT-ND</t>
  </si>
  <si>
    <t>4.7N/0201/25V/X7R</t>
  </si>
  <si>
    <t xml:space="preserve">CAP SM 0201 4.7nF 25V X7R </t>
  </si>
  <si>
    <t>CC0201KRX7R8BB472</t>
  </si>
  <si>
    <t>13-CC0201KRX7R8BB472CT-ND</t>
  </si>
  <si>
    <t>5.6N/0201/16V/X7R</t>
  </si>
  <si>
    <t xml:space="preserve">CAP SM 0201 5.6nF 16V X7R </t>
  </si>
  <si>
    <t>CC0201KRX7R7BB562</t>
  </si>
  <si>
    <t>13-CC0201KRX7R7BB562CT-ND</t>
  </si>
  <si>
    <t>6.8N/0201/25V/X7R</t>
  </si>
  <si>
    <t xml:space="preserve">CAP SM 0201 6.8nF 25V X7R </t>
  </si>
  <si>
    <t>CC0201KRX7R8BB682</t>
  </si>
  <si>
    <t>13-CC0201KRX7R8BB682CT-ND</t>
  </si>
  <si>
    <t>8.2N/0201/25V/X7R</t>
  </si>
  <si>
    <t xml:space="preserve">CAP SM 0201 8.2nF 25V X7R </t>
  </si>
  <si>
    <t>CC0201KRX7R8BB822</t>
  </si>
  <si>
    <t>13-CC0201KRX7R8BB822CT-ND</t>
  </si>
  <si>
    <t>10N/0201/25V/X7R</t>
  </si>
  <si>
    <t xml:space="preserve">CAP SM 0201 10nF 25V X7R </t>
  </si>
  <si>
    <t>CC0201KRX7R8BB103</t>
  </si>
  <si>
    <t>13-CC0201KRX7R8BB103CT-ND</t>
  </si>
  <si>
    <t>100N/0201/6.3V/X7R</t>
  </si>
  <si>
    <t xml:space="preserve">CAP SM 0201 100nF 6.3V X7R </t>
  </si>
  <si>
    <t>CC0201KRX7R5BB104</t>
  </si>
  <si>
    <t>13-CC0201KRX7R5BB104CT-ND</t>
  </si>
  <si>
    <t>R0201-0.23-WW</t>
  </si>
  <si>
    <t>CAP SM 0402 1uF 10V X7R</t>
  </si>
  <si>
    <t>1uF</t>
  </si>
  <si>
    <t>https://search.murata.co.jp/Ceramy/image/img/A01X/G101/ENG/GRM155Z71A105KE01-01.pdf</t>
  </si>
  <si>
    <t>490-GRM155Z71A105KE01DCT-ND</t>
  </si>
  <si>
    <t>GRM155Z71A105KE01D</t>
  </si>
  <si>
    <t>1U/0402/10V/X7R</t>
  </si>
  <si>
    <t>2.2U/0402/10V/X7R</t>
  </si>
  <si>
    <t>CAP SM 0402 2.2uF 10V X7R</t>
  </si>
  <si>
    <t>https://search.murata.co.jp/Ceramy/image/img/A01X/G101/ENG/GRM155Z71A225KE44-01A.pdf</t>
  </si>
  <si>
    <t>GRM155Z71A225KE44D</t>
  </si>
  <si>
    <t>490-GRM155Z71A225KE44DCT-ND</t>
  </si>
  <si>
    <t>SON050P140X110X040-4-EP060X080</t>
  </si>
  <si>
    <t>https://www.ti.com/lit/ds/symlink/tmag5253.pdf</t>
  </si>
  <si>
    <t>TMAG5253</t>
  </si>
  <si>
    <t>TMAG5253BA1</t>
  </si>
  <si>
    <t>TMAG5253BA2</t>
  </si>
  <si>
    <t>TMAG5253BA3</t>
  </si>
  <si>
    <t>TMAG5253BA4</t>
  </si>
  <si>
    <t>TMAG5253UA1</t>
  </si>
  <si>
    <t>TMAG5253UA2</t>
  </si>
  <si>
    <t>TMAG5253UA3</t>
  </si>
  <si>
    <t>TMAG5253UA4</t>
  </si>
  <si>
    <t>TMAG5253UA5</t>
  </si>
  <si>
    <t>Low-Power Linear Hall Effect Sensor With EN Pin ±20 mT</t>
  </si>
  <si>
    <t>Low-Power Linear Hall Effect Sensor With EN Pin ±40 mT</t>
  </si>
  <si>
    <t>Low-Power Linear Hall Effect Sensor With EN Pin ±80 mT</t>
  </si>
  <si>
    <t>Low-Power Linear Hall Effect Sensor With EN Pin ±160 mT</t>
  </si>
  <si>
    <t>Low-Power Linear Hall Effect Sensor With EN Pin +20 mT</t>
  </si>
  <si>
    <t>Low-Power Linear Hall Effect Sensor With EN Pin +39 mT</t>
  </si>
  <si>
    <t>Low-Power Linear Hall Effect Sensor With EN Pin +80 mT</t>
  </si>
  <si>
    <t>Low-Power Linear Hall Effect Sensor With EN Pin +160 mT</t>
  </si>
  <si>
    <t>Low-Power Linear Hall Effect Sensor With EN Pin +52 mT</t>
  </si>
  <si>
    <t>X2SON-4</t>
  </si>
  <si>
    <t>296-TMAG5253BA1IQDMRRCT-ND</t>
  </si>
  <si>
    <t>TMAG5253BA1IQDMRR</t>
  </si>
  <si>
    <t>296-TMAG5253BA2IQDMRRCT-ND</t>
  </si>
  <si>
    <t>TMAG5253BA2IQDMRR</t>
  </si>
  <si>
    <t>296-TMAG5253BA3IQDMRRCT-ND</t>
  </si>
  <si>
    <t>TMAG5253BA3IQDMRR</t>
  </si>
  <si>
    <t>296-TMAG5253BA4IQDMRRCT-ND</t>
  </si>
  <si>
    <t>TMAG5253BA4IQDMRR</t>
  </si>
  <si>
    <t>296-TMAG5253UA5IQDMRRCT-ND</t>
  </si>
  <si>
    <t>TMAG5253UA5IQDMRR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</si>
</sst>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Hyperlink" xfId="2" builtinId="8"/>
    <cellStyle name="Normal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workbookViewId="0">
      <selection activeCell="D8" sqref="D8"/>
    </sheetView>
  </sheetViews>
  <sheetFormatPr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2046"/>
  <sheetViews>
    <sheetView workbookViewId="0">
      <pane xSplit="2" ySplit="1" topLeftCell="H2019" activePane="bottomRight" state="frozen"/>
      <selection pane="topRight" activeCell="C1" sqref="C1"/>
      <selection pane="bottomLeft" activeCell="A2" sqref="A2"/>
      <selection pane="bottomRight" activeCell="M2050" sqref="M2050"/>
    </sheetView>
  </sheetViews>
  <sheetFormatPr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18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18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18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18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18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18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18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18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18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18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18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18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18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18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18">
      <c r="A1887" t="s">
        <v>17053</v>
      </c>
      <c r="B1887" t="s">
        <v>17053</v>
      </c>
      <c r="C1887" t="s">
        <v>17054</v>
      </c>
      <c r="D1887" t="s">
        <v>21</v>
      </c>
      <c r="E1887" s="14" t="s">
        <v>17055</v>
      </c>
      <c r="F1887" t="s">
        <v>29</v>
      </c>
      <c r="G1887" s="17" t="str">
        <f>Config!$B$3</f>
        <v>SCH/R_IEC.SchLib</v>
      </c>
      <c r="H1887" t="s">
        <v>419</v>
      </c>
      <c r="I1887" s="18" t="s">
        <v>461</v>
      </c>
      <c r="J1887" t="s">
        <v>18033</v>
      </c>
      <c r="M1887">
        <v>1</v>
      </c>
      <c r="N1887" t="s">
        <v>17056</v>
      </c>
      <c r="O1887" s="3" t="s">
        <v>477</v>
      </c>
      <c r="P1887" t="s">
        <v>17057</v>
      </c>
      <c r="Q1887" t="s">
        <v>25</v>
      </c>
      <c r="R1887" t="s">
        <v>17058</v>
      </c>
    </row>
    <row r="1888" spans="1:18">
      <c r="A1888" t="s">
        <v>17059</v>
      </c>
      <c r="B1888" t="s">
        <v>17059</v>
      </c>
      <c r="C1888" t="s">
        <v>17060</v>
      </c>
      <c r="D1888" t="s">
        <v>21</v>
      </c>
      <c r="E1888" s="14" t="s">
        <v>17055</v>
      </c>
      <c r="F1888" t="s">
        <v>31</v>
      </c>
      <c r="G1888" s="17" t="str">
        <f>Config!$B$3</f>
        <v>SCH/R_IEC.SchLib</v>
      </c>
      <c r="H1888" t="s">
        <v>419</v>
      </c>
      <c r="I1888" s="18" t="s">
        <v>461</v>
      </c>
      <c r="J1888" t="s">
        <v>18033</v>
      </c>
      <c r="M1888">
        <v>1.2</v>
      </c>
      <c r="N1888" t="s">
        <v>17056</v>
      </c>
      <c r="O1888" s="3" t="s">
        <v>477</v>
      </c>
      <c r="P1888" t="s">
        <v>17061</v>
      </c>
      <c r="Q1888" t="s">
        <v>25</v>
      </c>
      <c r="R1888" t="s">
        <v>17062</v>
      </c>
    </row>
    <row r="1889" spans="1:18">
      <c r="A1889" t="s">
        <v>17063</v>
      </c>
      <c r="B1889" t="s">
        <v>17063</v>
      </c>
      <c r="C1889" t="s">
        <v>17064</v>
      </c>
      <c r="D1889" t="s">
        <v>21</v>
      </c>
      <c r="E1889" s="14" t="s">
        <v>17055</v>
      </c>
      <c r="F1889" t="s">
        <v>1052</v>
      </c>
      <c r="G1889" s="17" t="str">
        <f>Config!$B$3</f>
        <v>SCH/R_IEC.SchLib</v>
      </c>
      <c r="H1889" t="s">
        <v>419</v>
      </c>
      <c r="I1889" s="18" t="s">
        <v>461</v>
      </c>
      <c r="J1889" t="s">
        <v>18033</v>
      </c>
      <c r="M1889">
        <v>1.3</v>
      </c>
      <c r="N1889" t="s">
        <v>17056</v>
      </c>
      <c r="O1889" s="3" t="s">
        <v>477</v>
      </c>
      <c r="P1889" t="s">
        <v>17065</v>
      </c>
      <c r="Q1889" t="s">
        <v>25</v>
      </c>
      <c r="R1889" t="s">
        <v>17066</v>
      </c>
    </row>
    <row r="1890" spans="1:18">
      <c r="A1890" t="s">
        <v>17067</v>
      </c>
      <c r="B1890" t="s">
        <v>17067</v>
      </c>
      <c r="C1890" t="s">
        <v>17068</v>
      </c>
      <c r="D1890" t="s">
        <v>21</v>
      </c>
      <c r="E1890" s="14" t="s">
        <v>17055</v>
      </c>
      <c r="F1890" t="s">
        <v>33</v>
      </c>
      <c r="G1890" s="17" t="str">
        <f>Config!$B$3</f>
        <v>SCH/R_IEC.SchLib</v>
      </c>
      <c r="H1890" t="s">
        <v>419</v>
      </c>
      <c r="I1890" s="18" t="s">
        <v>461</v>
      </c>
      <c r="J1890" t="s">
        <v>18033</v>
      </c>
      <c r="M1890">
        <v>1.5</v>
      </c>
      <c r="N1890" t="s">
        <v>17056</v>
      </c>
      <c r="O1890" s="3" t="s">
        <v>477</v>
      </c>
      <c r="P1890" t="s">
        <v>17069</v>
      </c>
      <c r="Q1890" t="s">
        <v>25</v>
      </c>
      <c r="R1890" t="s">
        <v>17070</v>
      </c>
    </row>
    <row r="1891" spans="1:18">
      <c r="A1891" t="s">
        <v>17071</v>
      </c>
      <c r="B1891" t="s">
        <v>17071</v>
      </c>
      <c r="C1891" t="s">
        <v>17072</v>
      </c>
      <c r="D1891" t="s">
        <v>21</v>
      </c>
      <c r="E1891" s="14" t="s">
        <v>17055</v>
      </c>
      <c r="F1891" t="s">
        <v>35</v>
      </c>
      <c r="G1891" s="17" t="str">
        <f>Config!$B$3</f>
        <v>SCH/R_IEC.SchLib</v>
      </c>
      <c r="H1891" t="s">
        <v>419</v>
      </c>
      <c r="I1891" s="18" t="s">
        <v>461</v>
      </c>
      <c r="J1891" t="s">
        <v>18033</v>
      </c>
      <c r="M1891">
        <v>1.8</v>
      </c>
      <c r="N1891" t="s">
        <v>17056</v>
      </c>
      <c r="O1891" s="3" t="s">
        <v>477</v>
      </c>
      <c r="P1891" t="s">
        <v>17073</v>
      </c>
      <c r="Q1891" t="s">
        <v>25</v>
      </c>
      <c r="R1891" t="s">
        <v>17074</v>
      </c>
    </row>
    <row r="1892" spans="1:18">
      <c r="A1892" t="s">
        <v>17075</v>
      </c>
      <c r="B1892" t="s">
        <v>17075</v>
      </c>
      <c r="C1892" t="s">
        <v>17076</v>
      </c>
      <c r="D1892" t="s">
        <v>21</v>
      </c>
      <c r="E1892" s="14" t="s">
        <v>17055</v>
      </c>
      <c r="F1892" t="s">
        <v>1070</v>
      </c>
      <c r="G1892" s="17" t="str">
        <f>Config!$B$3</f>
        <v>SCH/R_IEC.SchLib</v>
      </c>
      <c r="H1892" t="s">
        <v>419</v>
      </c>
      <c r="I1892" s="18" t="s">
        <v>461</v>
      </c>
      <c r="J1892" t="s">
        <v>18033</v>
      </c>
      <c r="M1892">
        <v>2</v>
      </c>
      <c r="N1892" t="s">
        <v>17056</v>
      </c>
      <c r="O1892" s="3" t="s">
        <v>477</v>
      </c>
      <c r="P1892" t="s">
        <v>17077</v>
      </c>
      <c r="Q1892" t="s">
        <v>25</v>
      </c>
      <c r="R1892" t="s">
        <v>17078</v>
      </c>
    </row>
    <row r="1893" spans="1:18">
      <c r="A1893" t="s">
        <v>17079</v>
      </c>
      <c r="B1893" t="s">
        <v>17079</v>
      </c>
      <c r="C1893" t="s">
        <v>17080</v>
      </c>
      <c r="D1893" t="s">
        <v>21</v>
      </c>
      <c r="E1893" s="14" t="s">
        <v>17055</v>
      </c>
      <c r="F1893" t="s">
        <v>37</v>
      </c>
      <c r="G1893" s="17" t="str">
        <f>Config!$B$3</f>
        <v>SCH/R_IEC.SchLib</v>
      </c>
      <c r="H1893" t="s">
        <v>419</v>
      </c>
      <c r="I1893" s="18" t="s">
        <v>461</v>
      </c>
      <c r="J1893" t="s">
        <v>18033</v>
      </c>
      <c r="M1893">
        <v>2.2000000000000002</v>
      </c>
      <c r="N1893" t="s">
        <v>17056</v>
      </c>
      <c r="O1893" s="3" t="s">
        <v>477</v>
      </c>
      <c r="P1893" t="s">
        <v>17081</v>
      </c>
      <c r="Q1893" t="s">
        <v>25</v>
      </c>
      <c r="R1893" t="s">
        <v>17082</v>
      </c>
    </row>
    <row r="1894" spans="1:18">
      <c r="A1894" t="s">
        <v>17083</v>
      </c>
      <c r="B1894" t="s">
        <v>17083</v>
      </c>
      <c r="C1894" t="s">
        <v>17084</v>
      </c>
      <c r="D1894" t="s">
        <v>21</v>
      </c>
      <c r="E1894" s="14" t="s">
        <v>17055</v>
      </c>
      <c r="F1894" t="s">
        <v>39</v>
      </c>
      <c r="G1894" s="17" t="str">
        <f>Config!$B$3</f>
        <v>SCH/R_IEC.SchLib</v>
      </c>
      <c r="H1894" t="s">
        <v>419</v>
      </c>
      <c r="I1894" s="18" t="s">
        <v>461</v>
      </c>
      <c r="J1894" t="s">
        <v>18033</v>
      </c>
      <c r="M1894">
        <v>2.7</v>
      </c>
      <c r="N1894" t="s">
        <v>17056</v>
      </c>
      <c r="O1894" s="3" t="s">
        <v>477</v>
      </c>
      <c r="P1894" t="s">
        <v>17085</v>
      </c>
      <c r="Q1894" t="s">
        <v>25</v>
      </c>
      <c r="R1894" t="s">
        <v>17086</v>
      </c>
    </row>
    <row r="1895" spans="1:18">
      <c r="A1895" t="s">
        <v>17087</v>
      </c>
      <c r="B1895" t="s">
        <v>17087</v>
      </c>
      <c r="C1895" t="s">
        <v>17088</v>
      </c>
      <c r="D1895" t="s">
        <v>21</v>
      </c>
      <c r="E1895" s="14" t="s">
        <v>17055</v>
      </c>
      <c r="F1895" t="s">
        <v>1088</v>
      </c>
      <c r="G1895" s="17" t="str">
        <f>Config!$B$3</f>
        <v>SCH/R_IEC.SchLib</v>
      </c>
      <c r="H1895" t="s">
        <v>419</v>
      </c>
      <c r="I1895" s="18" t="s">
        <v>461</v>
      </c>
      <c r="J1895" t="s">
        <v>18033</v>
      </c>
      <c r="M1895">
        <v>3</v>
      </c>
      <c r="N1895" t="s">
        <v>17056</v>
      </c>
      <c r="O1895" s="3" t="s">
        <v>477</v>
      </c>
      <c r="P1895" t="s">
        <v>17089</v>
      </c>
      <c r="Q1895" t="s">
        <v>25</v>
      </c>
      <c r="R1895" t="s">
        <v>17090</v>
      </c>
    </row>
    <row r="1896" spans="1:18">
      <c r="A1896" t="s">
        <v>17091</v>
      </c>
      <c r="B1896" t="s">
        <v>17091</v>
      </c>
      <c r="C1896" t="s">
        <v>17092</v>
      </c>
      <c r="D1896" t="s">
        <v>21</v>
      </c>
      <c r="E1896" s="14" t="s">
        <v>17055</v>
      </c>
      <c r="F1896" t="s">
        <v>41</v>
      </c>
      <c r="G1896" s="17" t="str">
        <f>Config!$B$3</f>
        <v>SCH/R_IEC.SchLib</v>
      </c>
      <c r="H1896" t="s">
        <v>419</v>
      </c>
      <c r="I1896" s="18" t="s">
        <v>461</v>
      </c>
      <c r="J1896" t="s">
        <v>18033</v>
      </c>
      <c r="M1896">
        <v>3.3</v>
      </c>
      <c r="N1896" t="s">
        <v>17056</v>
      </c>
      <c r="O1896" s="3" t="s">
        <v>477</v>
      </c>
      <c r="P1896" t="s">
        <v>17093</v>
      </c>
      <c r="Q1896" t="s">
        <v>25</v>
      </c>
      <c r="R1896" t="s">
        <v>17094</v>
      </c>
    </row>
    <row r="1897" spans="1:18">
      <c r="A1897" t="s">
        <v>17095</v>
      </c>
      <c r="B1897" t="s">
        <v>17095</v>
      </c>
      <c r="C1897" t="s">
        <v>17096</v>
      </c>
      <c r="D1897" t="s">
        <v>21</v>
      </c>
      <c r="E1897" s="14" t="s">
        <v>17055</v>
      </c>
      <c r="F1897" t="s">
        <v>43</v>
      </c>
      <c r="G1897" s="17" t="str">
        <f>Config!$B$3</f>
        <v>SCH/R_IEC.SchLib</v>
      </c>
      <c r="H1897" t="s">
        <v>419</v>
      </c>
      <c r="I1897" s="18" t="s">
        <v>461</v>
      </c>
      <c r="J1897" t="s">
        <v>18033</v>
      </c>
      <c r="M1897">
        <v>3.9</v>
      </c>
      <c r="N1897" t="s">
        <v>17056</v>
      </c>
      <c r="O1897" s="3" t="s">
        <v>477</v>
      </c>
      <c r="P1897" t="s">
        <v>17097</v>
      </c>
      <c r="Q1897" t="s">
        <v>25</v>
      </c>
      <c r="R1897" t="s">
        <v>17098</v>
      </c>
    </row>
    <row r="1898" spans="1:18">
      <c r="A1898" t="s">
        <v>17099</v>
      </c>
      <c r="B1898" t="s">
        <v>17099</v>
      </c>
      <c r="C1898" t="s">
        <v>17100</v>
      </c>
      <c r="D1898" t="s">
        <v>21</v>
      </c>
      <c r="E1898" s="14" t="s">
        <v>17055</v>
      </c>
      <c r="F1898" t="s">
        <v>1106</v>
      </c>
      <c r="G1898" s="17" t="str">
        <f>Config!$B$3</f>
        <v>SCH/R_IEC.SchLib</v>
      </c>
      <c r="H1898" t="s">
        <v>419</v>
      </c>
      <c r="I1898" s="18" t="s">
        <v>461</v>
      </c>
      <c r="J1898" t="s">
        <v>18033</v>
      </c>
      <c r="M1898">
        <v>4.3</v>
      </c>
      <c r="N1898" t="s">
        <v>17056</v>
      </c>
      <c r="O1898" s="3" t="s">
        <v>477</v>
      </c>
      <c r="P1898" t="s">
        <v>17101</v>
      </c>
      <c r="Q1898" t="s">
        <v>25</v>
      </c>
      <c r="R1898" t="s">
        <v>17102</v>
      </c>
    </row>
    <row r="1899" spans="1:18">
      <c r="A1899" t="s">
        <v>17103</v>
      </c>
      <c r="B1899" t="s">
        <v>17103</v>
      </c>
      <c r="C1899" t="s">
        <v>17104</v>
      </c>
      <c r="D1899" t="s">
        <v>21</v>
      </c>
      <c r="E1899" s="14" t="s">
        <v>17055</v>
      </c>
      <c r="F1899" t="s">
        <v>45</v>
      </c>
      <c r="G1899" s="17" t="str">
        <f>Config!$B$3</f>
        <v>SCH/R_IEC.SchLib</v>
      </c>
      <c r="H1899" t="s">
        <v>419</v>
      </c>
      <c r="I1899" s="18" t="s">
        <v>461</v>
      </c>
      <c r="J1899" t="s">
        <v>18033</v>
      </c>
      <c r="M1899">
        <v>4.7</v>
      </c>
      <c r="N1899" t="s">
        <v>17056</v>
      </c>
      <c r="O1899" s="3" t="s">
        <v>477</v>
      </c>
      <c r="P1899" t="s">
        <v>17105</v>
      </c>
      <c r="Q1899" t="s">
        <v>25</v>
      </c>
      <c r="R1899" t="s">
        <v>17106</v>
      </c>
    </row>
    <row r="1900" spans="1:18">
      <c r="A1900" t="s">
        <v>17107</v>
      </c>
      <c r="B1900" t="s">
        <v>17107</v>
      </c>
      <c r="C1900" t="s">
        <v>17108</v>
      </c>
      <c r="D1900" t="s">
        <v>21</v>
      </c>
      <c r="E1900" s="14" t="s">
        <v>17055</v>
      </c>
      <c r="F1900" t="s">
        <v>1116</v>
      </c>
      <c r="G1900" s="17" t="str">
        <f>Config!$B$3</f>
        <v>SCH/R_IEC.SchLib</v>
      </c>
      <c r="H1900" t="s">
        <v>419</v>
      </c>
      <c r="I1900" s="18" t="s">
        <v>461</v>
      </c>
      <c r="J1900" t="s">
        <v>18033</v>
      </c>
      <c r="M1900">
        <v>5.0999999999999996</v>
      </c>
      <c r="N1900" t="s">
        <v>17056</v>
      </c>
      <c r="O1900" s="3" t="s">
        <v>477</v>
      </c>
      <c r="P1900" t="s">
        <v>17109</v>
      </c>
      <c r="Q1900" t="s">
        <v>25</v>
      </c>
      <c r="R1900" t="s">
        <v>17110</v>
      </c>
    </row>
    <row r="1901" spans="1:18">
      <c r="A1901" t="s">
        <v>17111</v>
      </c>
      <c r="B1901" t="s">
        <v>17111</v>
      </c>
      <c r="C1901" t="s">
        <v>17112</v>
      </c>
      <c r="D1901" t="s">
        <v>21</v>
      </c>
      <c r="E1901" s="14" t="s">
        <v>17055</v>
      </c>
      <c r="F1901" t="s">
        <v>47</v>
      </c>
      <c r="G1901" s="17" t="str">
        <f>Config!$B$3</f>
        <v>SCH/R_IEC.SchLib</v>
      </c>
      <c r="H1901" t="s">
        <v>419</v>
      </c>
      <c r="I1901" s="18" t="s">
        <v>461</v>
      </c>
      <c r="J1901" t="s">
        <v>18033</v>
      </c>
      <c r="M1901">
        <v>5.6</v>
      </c>
      <c r="N1901" t="s">
        <v>17056</v>
      </c>
      <c r="O1901" s="3" t="s">
        <v>477</v>
      </c>
      <c r="P1901" t="s">
        <v>17113</v>
      </c>
      <c r="Q1901" t="s">
        <v>25</v>
      </c>
      <c r="R1901" t="s">
        <v>17114</v>
      </c>
    </row>
    <row r="1902" spans="1:18">
      <c r="A1902" t="s">
        <v>17115</v>
      </c>
      <c r="B1902" t="s">
        <v>17115</v>
      </c>
      <c r="C1902" t="s">
        <v>17116</v>
      </c>
      <c r="D1902" t="s">
        <v>21</v>
      </c>
      <c r="E1902" s="14" t="s">
        <v>17055</v>
      </c>
      <c r="F1902" t="s">
        <v>1128</v>
      </c>
      <c r="G1902" s="17" t="str">
        <f>Config!$B$3</f>
        <v>SCH/R_IEC.SchLib</v>
      </c>
      <c r="H1902" t="s">
        <v>419</v>
      </c>
      <c r="I1902" s="18" t="s">
        <v>461</v>
      </c>
      <c r="J1902" t="s">
        <v>18033</v>
      </c>
      <c r="M1902">
        <v>6.2</v>
      </c>
      <c r="N1902" t="s">
        <v>17056</v>
      </c>
      <c r="O1902" s="3" t="s">
        <v>477</v>
      </c>
      <c r="P1902" t="s">
        <v>17117</v>
      </c>
      <c r="Q1902" t="s">
        <v>25</v>
      </c>
      <c r="R1902" t="s">
        <v>17118</v>
      </c>
    </row>
    <row r="1903" spans="1:18">
      <c r="A1903" t="s">
        <v>17119</v>
      </c>
      <c r="B1903" t="s">
        <v>17119</v>
      </c>
      <c r="C1903" t="s">
        <v>17120</v>
      </c>
      <c r="D1903" t="s">
        <v>21</v>
      </c>
      <c r="E1903" s="14" t="s">
        <v>17055</v>
      </c>
      <c r="F1903" t="s">
        <v>49</v>
      </c>
      <c r="G1903" s="17" t="str">
        <f>Config!$B$3</f>
        <v>SCH/R_IEC.SchLib</v>
      </c>
      <c r="H1903" t="s">
        <v>419</v>
      </c>
      <c r="I1903" s="18" t="s">
        <v>461</v>
      </c>
      <c r="J1903" t="s">
        <v>18033</v>
      </c>
      <c r="M1903">
        <v>6.8</v>
      </c>
      <c r="N1903" t="s">
        <v>17056</v>
      </c>
      <c r="O1903" s="3" t="s">
        <v>477</v>
      </c>
      <c r="P1903" t="s">
        <v>17121</v>
      </c>
      <c r="Q1903" t="s">
        <v>25</v>
      </c>
      <c r="R1903" t="s">
        <v>17122</v>
      </c>
    </row>
    <row r="1904" spans="1:18">
      <c r="A1904" t="s">
        <v>17123</v>
      </c>
      <c r="B1904" t="s">
        <v>17123</v>
      </c>
      <c r="C1904" t="s">
        <v>17124</v>
      </c>
      <c r="D1904" t="s">
        <v>21</v>
      </c>
      <c r="E1904" s="14" t="s">
        <v>17055</v>
      </c>
      <c r="F1904" t="s">
        <v>1138</v>
      </c>
      <c r="G1904" s="17" t="str">
        <f>Config!$B$3</f>
        <v>SCH/R_IEC.SchLib</v>
      </c>
      <c r="H1904" t="s">
        <v>419</v>
      </c>
      <c r="I1904" s="18" t="s">
        <v>461</v>
      </c>
      <c r="J1904" t="s">
        <v>18033</v>
      </c>
      <c r="M1904">
        <v>7.5</v>
      </c>
      <c r="N1904" t="s">
        <v>17056</v>
      </c>
      <c r="O1904" s="3" t="s">
        <v>477</v>
      </c>
      <c r="P1904" t="s">
        <v>17125</v>
      </c>
      <c r="Q1904" t="s">
        <v>25</v>
      </c>
      <c r="R1904" t="s">
        <v>17126</v>
      </c>
    </row>
    <row r="1905" spans="1:22">
      <c r="A1905" t="s">
        <v>17127</v>
      </c>
      <c r="B1905" t="s">
        <v>17127</v>
      </c>
      <c r="C1905" t="s">
        <v>17128</v>
      </c>
      <c r="D1905" t="s">
        <v>21</v>
      </c>
      <c r="E1905" s="14" t="s">
        <v>17055</v>
      </c>
      <c r="F1905" t="s">
        <v>51</v>
      </c>
      <c r="G1905" s="17" t="str">
        <f>Config!$B$3</f>
        <v>SCH/R_IEC.SchLib</v>
      </c>
      <c r="H1905" t="s">
        <v>419</v>
      </c>
      <c r="I1905" s="18" t="s">
        <v>461</v>
      </c>
      <c r="J1905" t="s">
        <v>18033</v>
      </c>
      <c r="M1905">
        <v>8.1999999999999993</v>
      </c>
      <c r="N1905" t="s">
        <v>17056</v>
      </c>
      <c r="O1905" s="3" t="s">
        <v>477</v>
      </c>
      <c r="P1905" t="s">
        <v>17129</v>
      </c>
      <c r="Q1905" t="s">
        <v>25</v>
      </c>
      <c r="R1905" t="s">
        <v>17130</v>
      </c>
    </row>
    <row r="1906" spans="1:22">
      <c r="A1906" t="s">
        <v>17131</v>
      </c>
      <c r="B1906" t="s">
        <v>17131</v>
      </c>
      <c r="C1906" t="s">
        <v>17132</v>
      </c>
      <c r="D1906" t="s">
        <v>21</v>
      </c>
      <c r="E1906" s="14" t="s">
        <v>17055</v>
      </c>
      <c r="F1906" t="s">
        <v>1148</v>
      </c>
      <c r="G1906" s="17" t="str">
        <f>Config!$B$3</f>
        <v>SCH/R_IEC.SchLib</v>
      </c>
      <c r="H1906" t="s">
        <v>419</v>
      </c>
      <c r="I1906" s="18" t="s">
        <v>461</v>
      </c>
      <c r="J1906" t="s">
        <v>18033</v>
      </c>
      <c r="M1906">
        <v>9.1</v>
      </c>
      <c r="N1906" t="s">
        <v>17056</v>
      </c>
      <c r="O1906" s="3" t="s">
        <v>477</v>
      </c>
      <c r="P1906" t="s">
        <v>17133</v>
      </c>
      <c r="Q1906" t="s">
        <v>25</v>
      </c>
      <c r="R1906" t="s">
        <v>17134</v>
      </c>
    </row>
    <row r="1907" spans="1:22">
      <c r="A1907" t="s">
        <v>17135</v>
      </c>
      <c r="B1907" t="s">
        <v>17135</v>
      </c>
      <c r="C1907" t="s">
        <v>17136</v>
      </c>
      <c r="D1907" t="s">
        <v>21</v>
      </c>
      <c r="E1907" s="14" t="s">
        <v>17055</v>
      </c>
      <c r="F1907" t="s">
        <v>53</v>
      </c>
      <c r="G1907" s="17" t="str">
        <f>Config!$B$3</f>
        <v>SCH/R_IEC.SchLib</v>
      </c>
      <c r="H1907" t="s">
        <v>419</v>
      </c>
      <c r="I1907" s="18" t="s">
        <v>461</v>
      </c>
      <c r="J1907" t="s">
        <v>18033</v>
      </c>
      <c r="M1907" s="3">
        <v>10</v>
      </c>
      <c r="N1907" t="s">
        <v>17056</v>
      </c>
      <c r="O1907" s="3" t="s">
        <v>477</v>
      </c>
      <c r="P1907" t="s">
        <v>17137</v>
      </c>
      <c r="Q1907" t="s">
        <v>25</v>
      </c>
      <c r="R1907" t="s">
        <v>17138</v>
      </c>
      <c r="S1907" t="s">
        <v>477</v>
      </c>
      <c r="T1907" t="s">
        <v>17139</v>
      </c>
      <c r="U1907" t="s">
        <v>25</v>
      </c>
      <c r="V1907" t="s">
        <v>17140</v>
      </c>
    </row>
    <row r="1908" spans="1:22">
      <c r="A1908" t="s">
        <v>17141</v>
      </c>
      <c r="B1908" t="s">
        <v>17141</v>
      </c>
      <c r="C1908" t="s">
        <v>17142</v>
      </c>
      <c r="D1908" t="s">
        <v>21</v>
      </c>
      <c r="E1908" s="14" t="s">
        <v>17055</v>
      </c>
      <c r="F1908" t="s">
        <v>57</v>
      </c>
      <c r="G1908" s="17" t="str">
        <f>Config!$B$3</f>
        <v>SCH/R_IEC.SchLib</v>
      </c>
      <c r="H1908" t="s">
        <v>419</v>
      </c>
      <c r="I1908" s="18" t="s">
        <v>461</v>
      </c>
      <c r="J1908" t="s">
        <v>18033</v>
      </c>
      <c r="M1908" s="3">
        <v>11</v>
      </c>
      <c r="N1908" t="s">
        <v>17056</v>
      </c>
      <c r="O1908" s="3" t="s">
        <v>477</v>
      </c>
      <c r="P1908" t="s">
        <v>17143</v>
      </c>
      <c r="Q1908" t="s">
        <v>25</v>
      </c>
      <c r="R1908" t="s">
        <v>17144</v>
      </c>
    </row>
    <row r="1909" spans="1:22">
      <c r="A1909" t="s">
        <v>17145</v>
      </c>
      <c r="B1909" t="s">
        <v>17145</v>
      </c>
      <c r="C1909" t="s">
        <v>17146</v>
      </c>
      <c r="D1909" t="s">
        <v>21</v>
      </c>
      <c r="E1909" s="14" t="s">
        <v>17055</v>
      </c>
      <c r="F1909" t="s">
        <v>59</v>
      </c>
      <c r="G1909" s="17" t="str">
        <f>Config!$B$3</f>
        <v>SCH/R_IEC.SchLib</v>
      </c>
      <c r="H1909" t="s">
        <v>419</v>
      </c>
      <c r="I1909" s="18" t="s">
        <v>461</v>
      </c>
      <c r="J1909" t="s">
        <v>18033</v>
      </c>
      <c r="M1909" s="3">
        <v>12</v>
      </c>
      <c r="N1909" t="s">
        <v>17056</v>
      </c>
      <c r="O1909" s="3" t="s">
        <v>477</v>
      </c>
      <c r="P1909" t="s">
        <v>17147</v>
      </c>
      <c r="Q1909" t="s">
        <v>25</v>
      </c>
      <c r="R1909" t="s">
        <v>17148</v>
      </c>
    </row>
    <row r="1910" spans="1:22">
      <c r="A1910" t="s">
        <v>17149</v>
      </c>
      <c r="B1910" t="s">
        <v>17149</v>
      </c>
      <c r="C1910" t="s">
        <v>17150</v>
      </c>
      <c r="D1910" t="s">
        <v>21</v>
      </c>
      <c r="E1910" s="14" t="s">
        <v>17055</v>
      </c>
      <c r="F1910" t="s">
        <v>61</v>
      </c>
      <c r="G1910" s="17" t="str">
        <f>Config!$B$3</f>
        <v>SCH/R_IEC.SchLib</v>
      </c>
      <c r="H1910" t="s">
        <v>419</v>
      </c>
      <c r="I1910" s="18" t="s">
        <v>461</v>
      </c>
      <c r="J1910" t="s">
        <v>18033</v>
      </c>
      <c r="M1910" s="3">
        <v>13</v>
      </c>
      <c r="N1910" t="s">
        <v>17056</v>
      </c>
      <c r="O1910" s="3" t="s">
        <v>477</v>
      </c>
      <c r="P1910" t="s">
        <v>17151</v>
      </c>
      <c r="Q1910" t="s">
        <v>25</v>
      </c>
      <c r="R1910" t="s">
        <v>17152</v>
      </c>
    </row>
    <row r="1911" spans="1:22">
      <c r="A1911" t="s">
        <v>17153</v>
      </c>
      <c r="B1911" t="s">
        <v>17153</v>
      </c>
      <c r="C1911" t="s">
        <v>17154</v>
      </c>
      <c r="D1911" t="s">
        <v>21</v>
      </c>
      <c r="E1911" s="14" t="s">
        <v>17055</v>
      </c>
      <c r="F1911" t="s">
        <v>63</v>
      </c>
      <c r="G1911" s="17" t="str">
        <f>Config!$B$3</f>
        <v>SCH/R_IEC.SchLib</v>
      </c>
      <c r="H1911" t="s">
        <v>419</v>
      </c>
      <c r="I1911" s="18" t="s">
        <v>461</v>
      </c>
      <c r="J1911" t="s">
        <v>18033</v>
      </c>
      <c r="M1911" s="3">
        <v>15</v>
      </c>
      <c r="N1911" t="s">
        <v>17056</v>
      </c>
      <c r="O1911" s="3" t="s">
        <v>477</v>
      </c>
      <c r="P1911" t="s">
        <v>17155</v>
      </c>
      <c r="Q1911" t="s">
        <v>25</v>
      </c>
      <c r="R1911" t="s">
        <v>17156</v>
      </c>
    </row>
    <row r="1912" spans="1:22">
      <c r="A1912" t="s">
        <v>17157</v>
      </c>
      <c r="B1912" t="s">
        <v>17157</v>
      </c>
      <c r="C1912" t="s">
        <v>17158</v>
      </c>
      <c r="D1912" t="s">
        <v>21</v>
      </c>
      <c r="E1912" s="14" t="s">
        <v>17055</v>
      </c>
      <c r="F1912" t="s">
        <v>65</v>
      </c>
      <c r="G1912" s="17" t="str">
        <f>Config!$B$3</f>
        <v>SCH/R_IEC.SchLib</v>
      </c>
      <c r="H1912" t="s">
        <v>419</v>
      </c>
      <c r="I1912" s="18" t="s">
        <v>461</v>
      </c>
      <c r="J1912" t="s">
        <v>18033</v>
      </c>
      <c r="M1912" s="3">
        <v>16</v>
      </c>
      <c r="N1912" t="s">
        <v>17056</v>
      </c>
      <c r="O1912" s="3" t="s">
        <v>477</v>
      </c>
      <c r="P1912" t="s">
        <v>17159</v>
      </c>
      <c r="Q1912" t="s">
        <v>25</v>
      </c>
      <c r="R1912" t="s">
        <v>17160</v>
      </c>
    </row>
    <row r="1913" spans="1:22">
      <c r="A1913" t="s">
        <v>17161</v>
      </c>
      <c r="B1913" t="s">
        <v>17161</v>
      </c>
      <c r="C1913" t="s">
        <v>17162</v>
      </c>
      <c r="D1913" t="s">
        <v>21</v>
      </c>
      <c r="E1913" s="14" t="s">
        <v>17055</v>
      </c>
      <c r="F1913" t="s">
        <v>67</v>
      </c>
      <c r="G1913" s="17" t="str">
        <f>Config!$B$3</f>
        <v>SCH/R_IEC.SchLib</v>
      </c>
      <c r="H1913" t="s">
        <v>419</v>
      </c>
      <c r="I1913" s="18" t="s">
        <v>461</v>
      </c>
      <c r="J1913" t="s">
        <v>18033</v>
      </c>
      <c r="M1913" s="3">
        <v>18</v>
      </c>
      <c r="N1913" t="s">
        <v>17056</v>
      </c>
      <c r="O1913" s="3" t="s">
        <v>477</v>
      </c>
      <c r="P1913" t="s">
        <v>17163</v>
      </c>
      <c r="Q1913" t="s">
        <v>25</v>
      </c>
      <c r="R1913" t="s">
        <v>17164</v>
      </c>
    </row>
    <row r="1914" spans="1:22">
      <c r="A1914" t="s">
        <v>17165</v>
      </c>
      <c r="B1914" t="s">
        <v>17165</v>
      </c>
      <c r="C1914" t="s">
        <v>17166</v>
      </c>
      <c r="D1914" t="s">
        <v>21</v>
      </c>
      <c r="E1914" s="14" t="s">
        <v>17055</v>
      </c>
      <c r="F1914" t="s">
        <v>69</v>
      </c>
      <c r="G1914" s="17" t="str">
        <f>Config!$B$3</f>
        <v>SCH/R_IEC.SchLib</v>
      </c>
      <c r="H1914" t="s">
        <v>419</v>
      </c>
      <c r="I1914" s="18" t="s">
        <v>461</v>
      </c>
      <c r="J1914" t="s">
        <v>18033</v>
      </c>
      <c r="M1914" s="3">
        <v>20</v>
      </c>
      <c r="N1914" t="s">
        <v>17056</v>
      </c>
      <c r="O1914" s="3" t="s">
        <v>477</v>
      </c>
      <c r="P1914" t="s">
        <v>17167</v>
      </c>
      <c r="Q1914" t="s">
        <v>25</v>
      </c>
      <c r="R1914" t="s">
        <v>17168</v>
      </c>
    </row>
    <row r="1915" spans="1:22">
      <c r="A1915" t="s">
        <v>17169</v>
      </c>
      <c r="B1915" t="s">
        <v>17169</v>
      </c>
      <c r="C1915" t="s">
        <v>17170</v>
      </c>
      <c r="D1915" t="s">
        <v>21</v>
      </c>
      <c r="E1915" s="14" t="s">
        <v>17055</v>
      </c>
      <c r="F1915" t="s">
        <v>71</v>
      </c>
      <c r="G1915" s="17" t="str">
        <f>Config!$B$3</f>
        <v>SCH/R_IEC.SchLib</v>
      </c>
      <c r="H1915" t="s">
        <v>419</v>
      </c>
      <c r="I1915" s="18" t="s">
        <v>461</v>
      </c>
      <c r="J1915" t="s">
        <v>18033</v>
      </c>
      <c r="M1915" s="3">
        <v>22</v>
      </c>
      <c r="N1915" t="s">
        <v>17056</v>
      </c>
      <c r="O1915" s="3" t="s">
        <v>477</v>
      </c>
      <c r="P1915" t="s">
        <v>17171</v>
      </c>
      <c r="Q1915" t="s">
        <v>25</v>
      </c>
      <c r="R1915" t="s">
        <v>17172</v>
      </c>
      <c r="S1915" t="s">
        <v>477</v>
      </c>
      <c r="T1915" t="s">
        <v>17173</v>
      </c>
      <c r="U1915" t="s">
        <v>25</v>
      </c>
      <c r="V1915" t="s">
        <v>17174</v>
      </c>
    </row>
    <row r="1916" spans="1:22">
      <c r="A1916" t="s">
        <v>17175</v>
      </c>
      <c r="B1916" t="s">
        <v>17175</v>
      </c>
      <c r="C1916" t="s">
        <v>17176</v>
      </c>
      <c r="D1916" t="s">
        <v>21</v>
      </c>
      <c r="E1916" s="14" t="s">
        <v>17055</v>
      </c>
      <c r="F1916" t="s">
        <v>75</v>
      </c>
      <c r="G1916" s="17" t="str">
        <f>Config!$B$3</f>
        <v>SCH/R_IEC.SchLib</v>
      </c>
      <c r="H1916" t="s">
        <v>419</v>
      </c>
      <c r="I1916" s="18" t="s">
        <v>461</v>
      </c>
      <c r="J1916" t="s">
        <v>18033</v>
      </c>
      <c r="M1916" s="3">
        <v>24</v>
      </c>
      <c r="N1916" t="s">
        <v>17056</v>
      </c>
      <c r="O1916" s="3" t="s">
        <v>477</v>
      </c>
      <c r="P1916" t="s">
        <v>17177</v>
      </c>
      <c r="Q1916" t="s">
        <v>25</v>
      </c>
      <c r="R1916" t="s">
        <v>17178</v>
      </c>
    </row>
    <row r="1917" spans="1:22">
      <c r="A1917" t="s">
        <v>17179</v>
      </c>
      <c r="B1917" t="s">
        <v>17179</v>
      </c>
      <c r="C1917" t="s">
        <v>17180</v>
      </c>
      <c r="D1917" t="s">
        <v>21</v>
      </c>
      <c r="E1917" s="14" t="s">
        <v>17055</v>
      </c>
      <c r="F1917" t="s">
        <v>77</v>
      </c>
      <c r="G1917" s="17" t="str">
        <f>Config!$B$3</f>
        <v>SCH/R_IEC.SchLib</v>
      </c>
      <c r="H1917" t="s">
        <v>419</v>
      </c>
      <c r="I1917" t="s">
        <v>461</v>
      </c>
      <c r="J1917" t="s">
        <v>18033</v>
      </c>
      <c r="M1917" s="3">
        <v>27</v>
      </c>
      <c r="N1917" t="s">
        <v>17056</v>
      </c>
      <c r="O1917" t="s">
        <v>477</v>
      </c>
      <c r="P1917" t="s">
        <v>17181</v>
      </c>
      <c r="Q1917" t="s">
        <v>25</v>
      </c>
      <c r="R1917" t="s">
        <v>17182</v>
      </c>
    </row>
    <row r="1918" spans="1:22">
      <c r="A1918" t="s">
        <v>17183</v>
      </c>
      <c r="B1918" t="s">
        <v>17183</v>
      </c>
      <c r="C1918" t="s">
        <v>17184</v>
      </c>
      <c r="D1918" t="s">
        <v>21</v>
      </c>
      <c r="E1918" s="14" t="s">
        <v>17055</v>
      </c>
      <c r="F1918" t="s">
        <v>79</v>
      </c>
      <c r="G1918" s="17" t="str">
        <f>Config!$B$3</f>
        <v>SCH/R_IEC.SchLib</v>
      </c>
      <c r="H1918" t="s">
        <v>419</v>
      </c>
      <c r="I1918" t="s">
        <v>461</v>
      </c>
      <c r="J1918" t="s">
        <v>18033</v>
      </c>
      <c r="M1918" s="3">
        <v>30</v>
      </c>
      <c r="N1918" t="s">
        <v>17056</v>
      </c>
      <c r="O1918" t="s">
        <v>477</v>
      </c>
      <c r="P1918" t="s">
        <v>17185</v>
      </c>
      <c r="Q1918" t="s">
        <v>25</v>
      </c>
      <c r="R1918" t="s">
        <v>17186</v>
      </c>
      <c r="S1918" t="s">
        <v>477</v>
      </c>
      <c r="T1918" t="s">
        <v>17187</v>
      </c>
      <c r="U1918" t="s">
        <v>25</v>
      </c>
      <c r="V1918" t="s">
        <v>17188</v>
      </c>
    </row>
    <row r="1919" spans="1:22">
      <c r="A1919" t="s">
        <v>17189</v>
      </c>
      <c r="B1919" t="s">
        <v>17189</v>
      </c>
      <c r="C1919" t="s">
        <v>17190</v>
      </c>
      <c r="D1919" t="s">
        <v>21</v>
      </c>
      <c r="E1919" s="14" t="s">
        <v>17055</v>
      </c>
      <c r="F1919" t="s">
        <v>81</v>
      </c>
      <c r="G1919" s="17" t="str">
        <f>Config!$B$3</f>
        <v>SCH/R_IEC.SchLib</v>
      </c>
      <c r="H1919" t="s">
        <v>419</v>
      </c>
      <c r="I1919" t="s">
        <v>461</v>
      </c>
      <c r="J1919" t="s">
        <v>18033</v>
      </c>
      <c r="M1919" s="3">
        <v>33</v>
      </c>
      <c r="N1919" t="s">
        <v>17056</v>
      </c>
      <c r="O1919" t="s">
        <v>477</v>
      </c>
      <c r="P1919" t="s">
        <v>17191</v>
      </c>
      <c r="Q1919" t="s">
        <v>25</v>
      </c>
      <c r="R1919" t="s">
        <v>17192</v>
      </c>
      <c r="S1919" t="s">
        <v>477</v>
      </c>
      <c r="T1919" t="s">
        <v>17193</v>
      </c>
      <c r="U1919" t="s">
        <v>25</v>
      </c>
      <c r="V1919" t="s">
        <v>17194</v>
      </c>
    </row>
    <row r="1920" spans="1:22">
      <c r="A1920" t="s">
        <v>17195</v>
      </c>
      <c r="B1920" t="s">
        <v>17195</v>
      </c>
      <c r="C1920" t="s">
        <v>17196</v>
      </c>
      <c r="D1920" t="s">
        <v>21</v>
      </c>
      <c r="E1920" s="14" t="s">
        <v>17055</v>
      </c>
      <c r="F1920" t="s">
        <v>83</v>
      </c>
      <c r="G1920" s="17" t="str">
        <f>Config!$B$3</f>
        <v>SCH/R_IEC.SchLib</v>
      </c>
      <c r="H1920" t="s">
        <v>419</v>
      </c>
      <c r="I1920" t="s">
        <v>461</v>
      </c>
      <c r="J1920" t="s">
        <v>18033</v>
      </c>
      <c r="M1920" s="3">
        <v>36</v>
      </c>
      <c r="N1920" t="s">
        <v>17056</v>
      </c>
      <c r="O1920" t="s">
        <v>477</v>
      </c>
      <c r="P1920" t="s">
        <v>17197</v>
      </c>
      <c r="Q1920" t="s">
        <v>25</v>
      </c>
      <c r="R1920" t="s">
        <v>17198</v>
      </c>
    </row>
    <row r="1921" spans="1:22">
      <c r="A1921" t="s">
        <v>17199</v>
      </c>
      <c r="B1921" t="s">
        <v>17199</v>
      </c>
      <c r="C1921" t="s">
        <v>17200</v>
      </c>
      <c r="D1921" t="s">
        <v>21</v>
      </c>
      <c r="E1921" s="14" t="s">
        <v>17055</v>
      </c>
      <c r="F1921" t="s">
        <v>85</v>
      </c>
      <c r="G1921" s="17" t="str">
        <f>Config!$B$3</f>
        <v>SCH/R_IEC.SchLib</v>
      </c>
      <c r="H1921" t="s">
        <v>419</v>
      </c>
      <c r="I1921" t="s">
        <v>461</v>
      </c>
      <c r="J1921" t="s">
        <v>18033</v>
      </c>
      <c r="M1921" s="3">
        <v>39</v>
      </c>
      <c r="N1921" t="s">
        <v>17056</v>
      </c>
      <c r="O1921" t="s">
        <v>477</v>
      </c>
      <c r="P1921" t="s">
        <v>17201</v>
      </c>
      <c r="Q1921" t="s">
        <v>25</v>
      </c>
      <c r="R1921" t="s">
        <v>17202</v>
      </c>
      <c r="S1921" t="s">
        <v>477</v>
      </c>
      <c r="T1921" t="s">
        <v>17203</v>
      </c>
      <c r="U1921" t="s">
        <v>25</v>
      </c>
      <c r="V1921" t="s">
        <v>17204</v>
      </c>
    </row>
    <row r="1922" spans="1:22">
      <c r="A1922" t="s">
        <v>17205</v>
      </c>
      <c r="B1922" t="s">
        <v>17205</v>
      </c>
      <c r="C1922" t="s">
        <v>17206</v>
      </c>
      <c r="D1922" t="s">
        <v>21</v>
      </c>
      <c r="E1922" s="14" t="s">
        <v>17055</v>
      </c>
      <c r="F1922" t="s">
        <v>87</v>
      </c>
      <c r="G1922" s="17" t="str">
        <f>Config!$B$3</f>
        <v>SCH/R_IEC.SchLib</v>
      </c>
      <c r="H1922" t="s">
        <v>419</v>
      </c>
      <c r="I1922" t="s">
        <v>461</v>
      </c>
      <c r="J1922" t="s">
        <v>18033</v>
      </c>
      <c r="M1922" s="3">
        <v>43</v>
      </c>
      <c r="N1922" t="s">
        <v>17056</v>
      </c>
      <c r="O1922" t="s">
        <v>477</v>
      </c>
      <c r="P1922" t="s">
        <v>17207</v>
      </c>
      <c r="Q1922" t="s">
        <v>25</v>
      </c>
      <c r="R1922" t="s">
        <v>17208</v>
      </c>
    </row>
    <row r="1923" spans="1:22">
      <c r="A1923" t="s">
        <v>17209</v>
      </c>
      <c r="B1923" t="s">
        <v>17209</v>
      </c>
      <c r="C1923" t="s">
        <v>17210</v>
      </c>
      <c r="D1923" t="s">
        <v>21</v>
      </c>
      <c r="E1923" s="14" t="s">
        <v>17055</v>
      </c>
      <c r="F1923" t="s">
        <v>89</v>
      </c>
      <c r="G1923" s="17" t="str">
        <f>Config!$B$3</f>
        <v>SCH/R_IEC.SchLib</v>
      </c>
      <c r="H1923" t="s">
        <v>419</v>
      </c>
      <c r="I1923" t="s">
        <v>461</v>
      </c>
      <c r="J1923" t="s">
        <v>18033</v>
      </c>
      <c r="M1923" s="3">
        <v>47</v>
      </c>
      <c r="N1923" t="s">
        <v>17056</v>
      </c>
      <c r="O1923" t="s">
        <v>477</v>
      </c>
      <c r="P1923" t="s">
        <v>17211</v>
      </c>
      <c r="Q1923" t="s">
        <v>25</v>
      </c>
      <c r="R1923" t="s">
        <v>17212</v>
      </c>
      <c r="S1923" t="s">
        <v>477</v>
      </c>
      <c r="T1923" t="s">
        <v>17213</v>
      </c>
      <c r="U1923" t="s">
        <v>25</v>
      </c>
      <c r="V1923" t="s">
        <v>17214</v>
      </c>
    </row>
    <row r="1924" spans="1:22">
      <c r="A1924" t="s">
        <v>17215</v>
      </c>
      <c r="B1924" t="s">
        <v>17215</v>
      </c>
      <c r="C1924" t="s">
        <v>17216</v>
      </c>
      <c r="D1924" t="s">
        <v>21</v>
      </c>
      <c r="E1924" s="14" t="s">
        <v>17055</v>
      </c>
      <c r="F1924" t="s">
        <v>91</v>
      </c>
      <c r="G1924" s="17" t="str">
        <f>Config!$B$3</f>
        <v>SCH/R_IEC.SchLib</v>
      </c>
      <c r="H1924" t="s">
        <v>419</v>
      </c>
      <c r="I1924" t="s">
        <v>461</v>
      </c>
      <c r="J1924" t="s">
        <v>18033</v>
      </c>
      <c r="M1924" s="3">
        <v>51</v>
      </c>
      <c r="N1924" t="s">
        <v>17056</v>
      </c>
      <c r="O1924" t="s">
        <v>477</v>
      </c>
      <c r="P1924" t="s">
        <v>17217</v>
      </c>
      <c r="Q1924" t="s">
        <v>25</v>
      </c>
      <c r="R1924" t="s">
        <v>17218</v>
      </c>
    </row>
    <row r="1925" spans="1:22">
      <c r="A1925" t="s">
        <v>17219</v>
      </c>
      <c r="B1925" t="s">
        <v>17219</v>
      </c>
      <c r="C1925" t="s">
        <v>17220</v>
      </c>
      <c r="D1925" t="s">
        <v>21</v>
      </c>
      <c r="E1925" s="14" t="s">
        <v>17055</v>
      </c>
      <c r="F1925" t="s">
        <v>93</v>
      </c>
      <c r="G1925" s="17" t="str">
        <f>Config!$B$3</f>
        <v>SCH/R_IEC.SchLib</v>
      </c>
      <c r="H1925" t="s">
        <v>419</v>
      </c>
      <c r="I1925" t="s">
        <v>461</v>
      </c>
      <c r="J1925" t="s">
        <v>18033</v>
      </c>
      <c r="M1925" s="3">
        <v>56</v>
      </c>
      <c r="N1925" t="s">
        <v>17056</v>
      </c>
      <c r="O1925" t="s">
        <v>477</v>
      </c>
      <c r="P1925" t="s">
        <v>17221</v>
      </c>
      <c r="Q1925" t="s">
        <v>25</v>
      </c>
      <c r="R1925" t="s">
        <v>17222</v>
      </c>
    </row>
    <row r="1926" spans="1:22">
      <c r="A1926" t="s">
        <v>17223</v>
      </c>
      <c r="B1926" t="s">
        <v>17223</v>
      </c>
      <c r="C1926" t="s">
        <v>17224</v>
      </c>
      <c r="D1926" t="s">
        <v>21</v>
      </c>
      <c r="E1926" s="14" t="s">
        <v>17055</v>
      </c>
      <c r="F1926" t="s">
        <v>95</v>
      </c>
      <c r="G1926" s="17" t="str">
        <f>Config!$B$3</f>
        <v>SCH/R_IEC.SchLib</v>
      </c>
      <c r="H1926" t="s">
        <v>419</v>
      </c>
      <c r="I1926" t="s">
        <v>461</v>
      </c>
      <c r="J1926" t="s">
        <v>18033</v>
      </c>
      <c r="M1926" s="3">
        <v>62</v>
      </c>
      <c r="N1926" t="s">
        <v>17056</v>
      </c>
      <c r="O1926" t="s">
        <v>477</v>
      </c>
      <c r="P1926" t="s">
        <v>17225</v>
      </c>
      <c r="Q1926" t="s">
        <v>25</v>
      </c>
      <c r="R1926" t="s">
        <v>17226</v>
      </c>
    </row>
    <row r="1927" spans="1:22">
      <c r="A1927" t="s">
        <v>17227</v>
      </c>
      <c r="B1927" t="s">
        <v>17227</v>
      </c>
      <c r="C1927" t="s">
        <v>17228</v>
      </c>
      <c r="D1927" t="s">
        <v>21</v>
      </c>
      <c r="E1927" s="14" t="s">
        <v>17055</v>
      </c>
      <c r="F1927" t="s">
        <v>97</v>
      </c>
      <c r="G1927" s="17" t="str">
        <f>Config!$B$3</f>
        <v>SCH/R_IEC.SchLib</v>
      </c>
      <c r="H1927" t="s">
        <v>419</v>
      </c>
      <c r="I1927" t="s">
        <v>461</v>
      </c>
      <c r="J1927" t="s">
        <v>18033</v>
      </c>
      <c r="M1927" s="3">
        <v>68</v>
      </c>
      <c r="N1927" t="s">
        <v>17056</v>
      </c>
      <c r="O1927" t="s">
        <v>477</v>
      </c>
      <c r="P1927" t="s">
        <v>17229</v>
      </c>
      <c r="Q1927" t="s">
        <v>25</v>
      </c>
      <c r="R1927" t="s">
        <v>17230</v>
      </c>
    </row>
    <row r="1928" spans="1:22">
      <c r="A1928" t="s">
        <v>17231</v>
      </c>
      <c r="B1928" t="s">
        <v>17231</v>
      </c>
      <c r="C1928" t="s">
        <v>17232</v>
      </c>
      <c r="D1928" t="s">
        <v>21</v>
      </c>
      <c r="E1928" s="14" t="s">
        <v>17055</v>
      </c>
      <c r="F1928" t="s">
        <v>99</v>
      </c>
      <c r="G1928" s="17" t="str">
        <f>Config!$B$3</f>
        <v>SCH/R_IEC.SchLib</v>
      </c>
      <c r="H1928" t="s">
        <v>419</v>
      </c>
      <c r="I1928" t="s">
        <v>461</v>
      </c>
      <c r="J1928" t="s">
        <v>18033</v>
      </c>
      <c r="M1928" s="3">
        <v>75</v>
      </c>
      <c r="N1928" t="s">
        <v>17056</v>
      </c>
      <c r="O1928" t="s">
        <v>477</v>
      </c>
      <c r="P1928" t="s">
        <v>17233</v>
      </c>
      <c r="Q1928" t="s">
        <v>25</v>
      </c>
      <c r="R1928" t="s">
        <v>17234</v>
      </c>
    </row>
    <row r="1929" spans="1:22">
      <c r="A1929" t="s">
        <v>17235</v>
      </c>
      <c r="B1929" t="s">
        <v>17235</v>
      </c>
      <c r="C1929" t="s">
        <v>17236</v>
      </c>
      <c r="D1929" t="s">
        <v>21</v>
      </c>
      <c r="E1929" s="14" t="s">
        <v>17055</v>
      </c>
      <c r="F1929" t="s">
        <v>101</v>
      </c>
      <c r="G1929" s="17" t="str">
        <f>Config!$B$3</f>
        <v>SCH/R_IEC.SchLib</v>
      </c>
      <c r="H1929" t="s">
        <v>419</v>
      </c>
      <c r="I1929" t="s">
        <v>461</v>
      </c>
      <c r="J1929" t="s">
        <v>18033</v>
      </c>
      <c r="M1929" s="3">
        <v>82</v>
      </c>
      <c r="N1929" t="s">
        <v>17056</v>
      </c>
      <c r="O1929" t="s">
        <v>477</v>
      </c>
      <c r="P1929" t="s">
        <v>17237</v>
      </c>
      <c r="Q1929" t="s">
        <v>25</v>
      </c>
      <c r="R1929" t="s">
        <v>17238</v>
      </c>
    </row>
    <row r="1930" spans="1:22">
      <c r="A1930" t="s">
        <v>17239</v>
      </c>
      <c r="B1930" t="s">
        <v>17239</v>
      </c>
      <c r="C1930" t="s">
        <v>17240</v>
      </c>
      <c r="D1930" t="s">
        <v>21</v>
      </c>
      <c r="E1930" s="14" t="s">
        <v>17055</v>
      </c>
      <c r="F1930" t="s">
        <v>103</v>
      </c>
      <c r="G1930" s="17" t="str">
        <f>Config!$B$3</f>
        <v>SCH/R_IEC.SchLib</v>
      </c>
      <c r="H1930" t="s">
        <v>419</v>
      </c>
      <c r="I1930" t="s">
        <v>461</v>
      </c>
      <c r="J1930" t="s">
        <v>18033</v>
      </c>
      <c r="M1930" s="3">
        <v>91</v>
      </c>
      <c r="N1930" t="s">
        <v>17056</v>
      </c>
      <c r="O1930" t="s">
        <v>477</v>
      </c>
      <c r="P1930" t="s">
        <v>17241</v>
      </c>
      <c r="Q1930" t="s">
        <v>25</v>
      </c>
      <c r="R1930" t="s">
        <v>17242</v>
      </c>
    </row>
    <row r="1931" spans="1:22">
      <c r="A1931" t="s">
        <v>17243</v>
      </c>
      <c r="B1931" t="s">
        <v>17243</v>
      </c>
      <c r="C1931" t="s">
        <v>17244</v>
      </c>
      <c r="D1931" t="s">
        <v>21</v>
      </c>
      <c r="E1931" s="14" t="s">
        <v>17055</v>
      </c>
      <c r="F1931" t="s">
        <v>105</v>
      </c>
      <c r="G1931" s="17" t="str">
        <f>Config!$B$3</f>
        <v>SCH/R_IEC.SchLib</v>
      </c>
      <c r="H1931" t="s">
        <v>419</v>
      </c>
      <c r="I1931" t="s">
        <v>461</v>
      </c>
      <c r="J1931" t="s">
        <v>18033</v>
      </c>
      <c r="M1931" s="3">
        <v>100</v>
      </c>
      <c r="N1931" t="s">
        <v>17056</v>
      </c>
      <c r="O1931" t="s">
        <v>477</v>
      </c>
      <c r="P1931" t="s">
        <v>17245</v>
      </c>
      <c r="Q1931" t="s">
        <v>25</v>
      </c>
      <c r="R1931" t="s">
        <v>17246</v>
      </c>
      <c r="S1931" t="s">
        <v>477</v>
      </c>
      <c r="T1931" t="s">
        <v>17247</v>
      </c>
      <c r="U1931" t="s">
        <v>25</v>
      </c>
      <c r="V1931" t="s">
        <v>17248</v>
      </c>
    </row>
    <row r="1932" spans="1:22">
      <c r="A1932" t="s">
        <v>17249</v>
      </c>
      <c r="B1932" t="s">
        <v>17249</v>
      </c>
      <c r="C1932" t="s">
        <v>17250</v>
      </c>
      <c r="D1932" t="s">
        <v>21</v>
      </c>
      <c r="E1932" s="14" t="s">
        <v>17055</v>
      </c>
      <c r="F1932" t="s">
        <v>109</v>
      </c>
      <c r="G1932" s="17" t="str">
        <f>Config!$B$3</f>
        <v>SCH/R_IEC.SchLib</v>
      </c>
      <c r="H1932" t="s">
        <v>419</v>
      </c>
      <c r="I1932" t="s">
        <v>461</v>
      </c>
      <c r="J1932" t="s">
        <v>18033</v>
      </c>
      <c r="M1932" s="3">
        <v>110</v>
      </c>
      <c r="N1932" t="s">
        <v>17056</v>
      </c>
      <c r="O1932" t="s">
        <v>477</v>
      </c>
      <c r="P1932" t="s">
        <v>17251</v>
      </c>
      <c r="Q1932" t="s">
        <v>25</v>
      </c>
      <c r="R1932" t="s">
        <v>17252</v>
      </c>
    </row>
    <row r="1933" spans="1:22">
      <c r="A1933" t="s">
        <v>17253</v>
      </c>
      <c r="B1933" t="s">
        <v>17253</v>
      </c>
      <c r="C1933" t="s">
        <v>17254</v>
      </c>
      <c r="D1933" t="s">
        <v>21</v>
      </c>
      <c r="E1933" s="14" t="s">
        <v>17055</v>
      </c>
      <c r="F1933" t="s">
        <v>111</v>
      </c>
      <c r="G1933" s="17" t="str">
        <f>Config!$B$3</f>
        <v>SCH/R_IEC.SchLib</v>
      </c>
      <c r="H1933" t="s">
        <v>419</v>
      </c>
      <c r="I1933" t="s">
        <v>461</v>
      </c>
      <c r="J1933" t="s">
        <v>18033</v>
      </c>
      <c r="M1933" s="3">
        <v>120</v>
      </c>
      <c r="N1933" t="s">
        <v>17056</v>
      </c>
      <c r="O1933" t="s">
        <v>477</v>
      </c>
      <c r="P1933" t="s">
        <v>17255</v>
      </c>
      <c r="Q1933" t="s">
        <v>25</v>
      </c>
      <c r="R1933" t="s">
        <v>17256</v>
      </c>
      <c r="S1933" t="s">
        <v>477</v>
      </c>
      <c r="T1933" t="s">
        <v>17257</v>
      </c>
      <c r="U1933" t="s">
        <v>25</v>
      </c>
      <c r="V1933" t="s">
        <v>17258</v>
      </c>
    </row>
    <row r="1934" spans="1:22">
      <c r="A1934" t="s">
        <v>17259</v>
      </c>
      <c r="B1934" t="s">
        <v>17259</v>
      </c>
      <c r="C1934" t="s">
        <v>17260</v>
      </c>
      <c r="D1934" t="s">
        <v>21</v>
      </c>
      <c r="E1934" s="14" t="s">
        <v>17055</v>
      </c>
      <c r="F1934" t="s">
        <v>113</v>
      </c>
      <c r="G1934" s="17" t="str">
        <f>Config!$B$3</f>
        <v>SCH/R_IEC.SchLib</v>
      </c>
      <c r="H1934" t="s">
        <v>419</v>
      </c>
      <c r="I1934" t="s">
        <v>461</v>
      </c>
      <c r="J1934" t="s">
        <v>18033</v>
      </c>
      <c r="M1934" s="3">
        <v>130</v>
      </c>
      <c r="N1934" t="s">
        <v>17056</v>
      </c>
      <c r="O1934" t="s">
        <v>477</v>
      </c>
      <c r="P1934" t="s">
        <v>17261</v>
      </c>
      <c r="Q1934" t="s">
        <v>25</v>
      </c>
      <c r="R1934" t="s">
        <v>17262</v>
      </c>
    </row>
    <row r="1935" spans="1:22">
      <c r="A1935" t="s">
        <v>17263</v>
      </c>
      <c r="B1935" t="s">
        <v>17263</v>
      </c>
      <c r="C1935" t="s">
        <v>17264</v>
      </c>
      <c r="D1935" t="s">
        <v>21</v>
      </c>
      <c r="E1935" s="14" t="s">
        <v>17055</v>
      </c>
      <c r="F1935" t="s">
        <v>115</v>
      </c>
      <c r="G1935" s="17" t="str">
        <f>Config!$B$3</f>
        <v>SCH/R_IEC.SchLib</v>
      </c>
      <c r="H1935" t="s">
        <v>419</v>
      </c>
      <c r="I1935" t="s">
        <v>461</v>
      </c>
      <c r="J1935" t="s">
        <v>18033</v>
      </c>
      <c r="M1935" s="3">
        <v>150</v>
      </c>
      <c r="N1935" t="s">
        <v>17056</v>
      </c>
      <c r="O1935" t="s">
        <v>477</v>
      </c>
      <c r="P1935" t="s">
        <v>17265</v>
      </c>
      <c r="Q1935" t="s">
        <v>25</v>
      </c>
      <c r="R1935" t="s">
        <v>17266</v>
      </c>
      <c r="S1935" t="s">
        <v>477</v>
      </c>
      <c r="T1935" t="s">
        <v>17267</v>
      </c>
      <c r="U1935" t="s">
        <v>25</v>
      </c>
      <c r="V1935" t="s">
        <v>17268</v>
      </c>
    </row>
    <row r="1936" spans="1:22">
      <c r="A1936" t="s">
        <v>17269</v>
      </c>
      <c r="B1936" t="s">
        <v>17269</v>
      </c>
      <c r="C1936" t="s">
        <v>17270</v>
      </c>
      <c r="D1936" t="s">
        <v>21</v>
      </c>
      <c r="E1936" s="14" t="s">
        <v>17055</v>
      </c>
      <c r="F1936" t="s">
        <v>117</v>
      </c>
      <c r="G1936" s="17" t="str">
        <f>Config!$B$3</f>
        <v>SCH/R_IEC.SchLib</v>
      </c>
      <c r="H1936" t="s">
        <v>419</v>
      </c>
      <c r="I1936" t="s">
        <v>461</v>
      </c>
      <c r="J1936" t="s">
        <v>18033</v>
      </c>
      <c r="M1936" s="3">
        <v>160</v>
      </c>
      <c r="N1936" t="s">
        <v>17056</v>
      </c>
      <c r="O1936" t="s">
        <v>477</v>
      </c>
      <c r="P1936" t="s">
        <v>17271</v>
      </c>
      <c r="Q1936" t="s">
        <v>25</v>
      </c>
      <c r="R1936" t="s">
        <v>17272</v>
      </c>
    </row>
    <row r="1937" spans="1:22">
      <c r="A1937" t="s">
        <v>17273</v>
      </c>
      <c r="B1937" t="s">
        <v>17273</v>
      </c>
      <c r="C1937" t="s">
        <v>17274</v>
      </c>
      <c r="D1937" t="s">
        <v>21</v>
      </c>
      <c r="E1937" s="14" t="s">
        <v>17055</v>
      </c>
      <c r="F1937" t="s">
        <v>119</v>
      </c>
      <c r="G1937" s="17" t="str">
        <f>Config!$B$3</f>
        <v>SCH/R_IEC.SchLib</v>
      </c>
      <c r="H1937" t="s">
        <v>419</v>
      </c>
      <c r="I1937" t="s">
        <v>461</v>
      </c>
      <c r="J1937" t="s">
        <v>18033</v>
      </c>
      <c r="M1937" s="3">
        <v>180</v>
      </c>
      <c r="N1937" t="s">
        <v>17056</v>
      </c>
      <c r="O1937" t="s">
        <v>477</v>
      </c>
      <c r="P1937" t="s">
        <v>17275</v>
      </c>
      <c r="Q1937" t="s">
        <v>25</v>
      </c>
      <c r="R1937" t="s">
        <v>17276</v>
      </c>
    </row>
    <row r="1938" spans="1:22">
      <c r="A1938" t="s">
        <v>17277</v>
      </c>
      <c r="B1938" t="s">
        <v>17277</v>
      </c>
      <c r="C1938" t="s">
        <v>17278</v>
      </c>
      <c r="D1938" t="s">
        <v>21</v>
      </c>
      <c r="E1938" s="14" t="s">
        <v>17055</v>
      </c>
      <c r="F1938" t="s">
        <v>123</v>
      </c>
      <c r="G1938" s="17" t="str">
        <f>Config!$B$3</f>
        <v>SCH/R_IEC.SchLib</v>
      </c>
      <c r="H1938" t="s">
        <v>419</v>
      </c>
      <c r="I1938" t="s">
        <v>461</v>
      </c>
      <c r="J1938" t="s">
        <v>18033</v>
      </c>
      <c r="M1938" s="3">
        <v>200</v>
      </c>
      <c r="N1938" t="s">
        <v>17056</v>
      </c>
      <c r="O1938" t="s">
        <v>477</v>
      </c>
      <c r="P1938" t="s">
        <v>17279</v>
      </c>
      <c r="Q1938" t="s">
        <v>25</v>
      </c>
      <c r="R1938" t="s">
        <v>17280</v>
      </c>
      <c r="S1938" t="s">
        <v>477</v>
      </c>
      <c r="T1938" t="s">
        <v>17281</v>
      </c>
      <c r="U1938" t="s">
        <v>25</v>
      </c>
      <c r="V1938" t="s">
        <v>17282</v>
      </c>
    </row>
    <row r="1939" spans="1:22">
      <c r="A1939" t="s">
        <v>17283</v>
      </c>
      <c r="B1939" t="s">
        <v>17283</v>
      </c>
      <c r="C1939" t="s">
        <v>17284</v>
      </c>
      <c r="D1939" t="s">
        <v>21</v>
      </c>
      <c r="E1939" s="14" t="s">
        <v>17055</v>
      </c>
      <c r="F1939" t="s">
        <v>125</v>
      </c>
      <c r="G1939" s="17" t="str">
        <f>Config!$B$3</f>
        <v>SCH/R_IEC.SchLib</v>
      </c>
      <c r="H1939" t="s">
        <v>419</v>
      </c>
      <c r="I1939" t="s">
        <v>461</v>
      </c>
      <c r="J1939" t="s">
        <v>18033</v>
      </c>
      <c r="M1939" s="3">
        <v>220</v>
      </c>
      <c r="N1939" t="s">
        <v>17056</v>
      </c>
      <c r="O1939" t="s">
        <v>477</v>
      </c>
      <c r="P1939" t="s">
        <v>17285</v>
      </c>
      <c r="Q1939" t="s">
        <v>25</v>
      </c>
      <c r="R1939" t="s">
        <v>17286</v>
      </c>
      <c r="S1939" t="s">
        <v>477</v>
      </c>
      <c r="T1939" t="s">
        <v>17287</v>
      </c>
      <c r="U1939" t="s">
        <v>25</v>
      </c>
      <c r="V1939" t="s">
        <v>17288</v>
      </c>
    </row>
    <row r="1940" spans="1:22">
      <c r="A1940" t="s">
        <v>17289</v>
      </c>
      <c r="B1940" t="s">
        <v>17289</v>
      </c>
      <c r="C1940" t="s">
        <v>17290</v>
      </c>
      <c r="D1940" t="s">
        <v>21</v>
      </c>
      <c r="E1940" s="14" t="s">
        <v>17055</v>
      </c>
      <c r="F1940" t="s">
        <v>129</v>
      </c>
      <c r="G1940" s="17" t="str">
        <f>Config!$B$3</f>
        <v>SCH/R_IEC.SchLib</v>
      </c>
      <c r="H1940" t="s">
        <v>419</v>
      </c>
      <c r="I1940" t="s">
        <v>461</v>
      </c>
      <c r="J1940" t="s">
        <v>18033</v>
      </c>
      <c r="M1940" s="3">
        <v>240</v>
      </c>
      <c r="N1940" t="s">
        <v>17056</v>
      </c>
      <c r="O1940" t="s">
        <v>477</v>
      </c>
      <c r="P1940" t="s">
        <v>17291</v>
      </c>
      <c r="Q1940" t="s">
        <v>25</v>
      </c>
      <c r="R1940" t="s">
        <v>17292</v>
      </c>
      <c r="S1940" t="s">
        <v>477</v>
      </c>
      <c r="T1940" t="s">
        <v>17293</v>
      </c>
      <c r="U1940" t="s">
        <v>25</v>
      </c>
      <c r="V1940" t="s">
        <v>17294</v>
      </c>
    </row>
    <row r="1941" spans="1:22">
      <c r="A1941" t="s">
        <v>17295</v>
      </c>
      <c r="B1941" t="s">
        <v>17295</v>
      </c>
      <c r="C1941" t="s">
        <v>17296</v>
      </c>
      <c r="D1941" t="s">
        <v>21</v>
      </c>
      <c r="E1941" s="14" t="s">
        <v>17055</v>
      </c>
      <c r="F1941" t="s">
        <v>131</v>
      </c>
      <c r="G1941" s="17" t="str">
        <f>Config!$B$3</f>
        <v>SCH/R_IEC.SchLib</v>
      </c>
      <c r="H1941" t="s">
        <v>419</v>
      </c>
      <c r="I1941" t="s">
        <v>461</v>
      </c>
      <c r="J1941" t="s">
        <v>18033</v>
      </c>
      <c r="M1941" s="3">
        <v>270</v>
      </c>
      <c r="N1941" t="s">
        <v>17056</v>
      </c>
      <c r="O1941" t="s">
        <v>477</v>
      </c>
      <c r="P1941" t="s">
        <v>17297</v>
      </c>
      <c r="Q1941" t="s">
        <v>25</v>
      </c>
      <c r="R1941" t="s">
        <v>17298</v>
      </c>
    </row>
    <row r="1942" spans="1:22">
      <c r="A1942" t="s">
        <v>17299</v>
      </c>
      <c r="B1942" t="s">
        <v>17299</v>
      </c>
      <c r="C1942" t="s">
        <v>17300</v>
      </c>
      <c r="D1942" t="s">
        <v>21</v>
      </c>
      <c r="E1942" s="14" t="s">
        <v>17055</v>
      </c>
      <c r="F1942" t="s">
        <v>133</v>
      </c>
      <c r="G1942" s="17" t="str">
        <f>Config!$B$3</f>
        <v>SCH/R_IEC.SchLib</v>
      </c>
      <c r="H1942" t="s">
        <v>419</v>
      </c>
      <c r="I1942" t="s">
        <v>461</v>
      </c>
      <c r="J1942" t="s">
        <v>18033</v>
      </c>
      <c r="M1942" s="3">
        <v>300</v>
      </c>
      <c r="N1942" t="s">
        <v>17056</v>
      </c>
      <c r="O1942" t="s">
        <v>477</v>
      </c>
      <c r="P1942" t="s">
        <v>17301</v>
      </c>
      <c r="Q1942" t="s">
        <v>25</v>
      </c>
      <c r="R1942" t="s">
        <v>17302</v>
      </c>
      <c r="S1942" t="s">
        <v>477</v>
      </c>
      <c r="T1942" t="s">
        <v>17303</v>
      </c>
      <c r="U1942" t="s">
        <v>25</v>
      </c>
      <c r="V1942" t="s">
        <v>17304</v>
      </c>
    </row>
    <row r="1943" spans="1:22">
      <c r="A1943" t="s">
        <v>17305</v>
      </c>
      <c r="B1943" t="s">
        <v>17305</v>
      </c>
      <c r="C1943" t="s">
        <v>17306</v>
      </c>
      <c r="D1943" t="s">
        <v>21</v>
      </c>
      <c r="E1943" s="14" t="s">
        <v>17055</v>
      </c>
      <c r="F1943" t="s">
        <v>137</v>
      </c>
      <c r="G1943" s="17" t="str">
        <f>Config!$B$3</f>
        <v>SCH/R_IEC.SchLib</v>
      </c>
      <c r="H1943" t="s">
        <v>419</v>
      </c>
      <c r="I1943" t="s">
        <v>461</v>
      </c>
      <c r="J1943" t="s">
        <v>18033</v>
      </c>
      <c r="M1943" s="3">
        <v>330</v>
      </c>
      <c r="N1943" t="s">
        <v>17056</v>
      </c>
      <c r="O1943" t="s">
        <v>477</v>
      </c>
      <c r="P1943" t="s">
        <v>17307</v>
      </c>
      <c r="Q1943" t="s">
        <v>25</v>
      </c>
      <c r="R1943" t="s">
        <v>17308</v>
      </c>
    </row>
    <row r="1944" spans="1:22">
      <c r="A1944" t="s">
        <v>17309</v>
      </c>
      <c r="B1944" t="s">
        <v>17309</v>
      </c>
      <c r="C1944" t="s">
        <v>17310</v>
      </c>
      <c r="D1944" t="s">
        <v>21</v>
      </c>
      <c r="E1944" s="14" t="s">
        <v>17055</v>
      </c>
      <c r="F1944" t="s">
        <v>139</v>
      </c>
      <c r="G1944" s="17" t="str">
        <f>Config!$B$3</f>
        <v>SCH/R_IEC.SchLib</v>
      </c>
      <c r="H1944" t="s">
        <v>419</v>
      </c>
      <c r="I1944" t="s">
        <v>461</v>
      </c>
      <c r="J1944" t="s">
        <v>18033</v>
      </c>
      <c r="M1944" s="3">
        <v>360</v>
      </c>
      <c r="N1944" t="s">
        <v>17056</v>
      </c>
      <c r="O1944" t="s">
        <v>477</v>
      </c>
      <c r="P1944" t="s">
        <v>17311</v>
      </c>
      <c r="Q1944" t="s">
        <v>25</v>
      </c>
      <c r="R1944" t="s">
        <v>17312</v>
      </c>
    </row>
    <row r="1945" spans="1:22">
      <c r="A1945" t="s">
        <v>17313</v>
      </c>
      <c r="B1945" t="s">
        <v>17313</v>
      </c>
      <c r="C1945" t="s">
        <v>17314</v>
      </c>
      <c r="D1945" t="s">
        <v>21</v>
      </c>
      <c r="E1945" s="14" t="s">
        <v>17055</v>
      </c>
      <c r="F1945" t="s">
        <v>141</v>
      </c>
      <c r="G1945" s="17" t="str">
        <f>Config!$B$3</f>
        <v>SCH/R_IEC.SchLib</v>
      </c>
      <c r="H1945" t="s">
        <v>419</v>
      </c>
      <c r="I1945" t="s">
        <v>461</v>
      </c>
      <c r="J1945" t="s">
        <v>18033</v>
      </c>
      <c r="M1945" s="3">
        <v>390</v>
      </c>
      <c r="N1945" t="s">
        <v>17056</v>
      </c>
      <c r="O1945" t="s">
        <v>477</v>
      </c>
      <c r="P1945" t="s">
        <v>17315</v>
      </c>
      <c r="Q1945" t="s">
        <v>25</v>
      </c>
      <c r="R1945" t="s">
        <v>17316</v>
      </c>
      <c r="S1945" t="s">
        <v>477</v>
      </c>
      <c r="T1945" t="s">
        <v>17317</v>
      </c>
      <c r="U1945" t="s">
        <v>25</v>
      </c>
      <c r="V1945" t="s">
        <v>17318</v>
      </c>
    </row>
    <row r="1946" spans="1:22">
      <c r="A1946" t="s">
        <v>17319</v>
      </c>
      <c r="B1946" t="s">
        <v>17319</v>
      </c>
      <c r="C1946" t="s">
        <v>17320</v>
      </c>
      <c r="D1946" t="s">
        <v>21</v>
      </c>
      <c r="E1946" s="14" t="s">
        <v>17055</v>
      </c>
      <c r="F1946" t="s">
        <v>143</v>
      </c>
      <c r="G1946" s="17" t="str">
        <f>Config!$B$3</f>
        <v>SCH/R_IEC.SchLib</v>
      </c>
      <c r="H1946" t="s">
        <v>419</v>
      </c>
      <c r="I1946" t="s">
        <v>461</v>
      </c>
      <c r="J1946" t="s">
        <v>18033</v>
      </c>
      <c r="M1946" s="3">
        <v>430</v>
      </c>
      <c r="N1946" t="s">
        <v>17056</v>
      </c>
      <c r="O1946" t="s">
        <v>477</v>
      </c>
      <c r="P1946" t="s">
        <v>17321</v>
      </c>
      <c r="Q1946" t="s">
        <v>25</v>
      </c>
      <c r="R1946" t="s">
        <v>17322</v>
      </c>
    </row>
    <row r="1947" spans="1:22">
      <c r="A1947" t="s">
        <v>17323</v>
      </c>
      <c r="B1947" t="s">
        <v>17323</v>
      </c>
      <c r="C1947" t="s">
        <v>17324</v>
      </c>
      <c r="D1947" t="s">
        <v>21</v>
      </c>
      <c r="E1947" s="14" t="s">
        <v>17055</v>
      </c>
      <c r="F1947" t="s">
        <v>145</v>
      </c>
      <c r="G1947" s="17" t="str">
        <f>Config!$B$3</f>
        <v>SCH/R_IEC.SchLib</v>
      </c>
      <c r="H1947" t="s">
        <v>419</v>
      </c>
      <c r="I1947" t="s">
        <v>461</v>
      </c>
      <c r="J1947" t="s">
        <v>18033</v>
      </c>
      <c r="M1947" s="3">
        <v>470</v>
      </c>
      <c r="N1947" t="s">
        <v>17056</v>
      </c>
      <c r="O1947" t="s">
        <v>477</v>
      </c>
      <c r="P1947" t="s">
        <v>17325</v>
      </c>
      <c r="Q1947" t="s">
        <v>25</v>
      </c>
      <c r="R1947" t="s">
        <v>17326</v>
      </c>
      <c r="S1947" t="s">
        <v>477</v>
      </c>
      <c r="T1947" t="s">
        <v>17327</v>
      </c>
      <c r="U1947" t="s">
        <v>25</v>
      </c>
      <c r="V1947" t="s">
        <v>17328</v>
      </c>
    </row>
    <row r="1948" spans="1:22">
      <c r="A1948" t="s">
        <v>17329</v>
      </c>
      <c r="B1948" t="s">
        <v>17329</v>
      </c>
      <c r="C1948" t="s">
        <v>17330</v>
      </c>
      <c r="D1948" t="s">
        <v>21</v>
      </c>
      <c r="E1948" s="14" t="s">
        <v>17055</v>
      </c>
      <c r="F1948" t="s">
        <v>149</v>
      </c>
      <c r="G1948" s="17" t="str">
        <f>Config!$B$3</f>
        <v>SCH/R_IEC.SchLib</v>
      </c>
      <c r="H1948" t="s">
        <v>419</v>
      </c>
      <c r="I1948" t="s">
        <v>461</v>
      </c>
      <c r="J1948" t="s">
        <v>18033</v>
      </c>
      <c r="M1948" s="3">
        <v>510</v>
      </c>
      <c r="N1948" t="s">
        <v>17056</v>
      </c>
      <c r="O1948" t="s">
        <v>477</v>
      </c>
      <c r="P1948" t="s">
        <v>17331</v>
      </c>
      <c r="Q1948" t="s">
        <v>25</v>
      </c>
      <c r="R1948" t="s">
        <v>17332</v>
      </c>
    </row>
    <row r="1949" spans="1:22">
      <c r="A1949" t="s">
        <v>17333</v>
      </c>
      <c r="B1949" t="s">
        <v>17333</v>
      </c>
      <c r="C1949" t="s">
        <v>17334</v>
      </c>
      <c r="D1949" t="s">
        <v>21</v>
      </c>
      <c r="E1949" s="14" t="s">
        <v>17055</v>
      </c>
      <c r="F1949" t="s">
        <v>151</v>
      </c>
      <c r="G1949" s="17" t="str">
        <f>Config!$B$3</f>
        <v>SCH/R_IEC.SchLib</v>
      </c>
      <c r="H1949" t="s">
        <v>419</v>
      </c>
      <c r="I1949" t="s">
        <v>461</v>
      </c>
      <c r="J1949" t="s">
        <v>18033</v>
      </c>
      <c r="M1949" s="3">
        <v>560</v>
      </c>
      <c r="N1949" t="s">
        <v>17056</v>
      </c>
      <c r="O1949" t="s">
        <v>477</v>
      </c>
      <c r="P1949" t="s">
        <v>17335</v>
      </c>
      <c r="Q1949" t="s">
        <v>25</v>
      </c>
      <c r="R1949" t="s">
        <v>17336</v>
      </c>
    </row>
    <row r="1950" spans="1:22">
      <c r="A1950" t="s">
        <v>17337</v>
      </c>
      <c r="B1950" t="s">
        <v>17337</v>
      </c>
      <c r="C1950" t="s">
        <v>17338</v>
      </c>
      <c r="D1950" t="s">
        <v>21</v>
      </c>
      <c r="E1950" s="14" t="s">
        <v>17055</v>
      </c>
      <c r="F1950" t="s">
        <v>153</v>
      </c>
      <c r="G1950" s="17" t="str">
        <f>Config!$B$3</f>
        <v>SCH/R_IEC.SchLib</v>
      </c>
      <c r="H1950" t="s">
        <v>419</v>
      </c>
      <c r="I1950" t="s">
        <v>461</v>
      </c>
      <c r="J1950" t="s">
        <v>18033</v>
      </c>
      <c r="M1950" s="3">
        <v>620</v>
      </c>
      <c r="N1950" t="s">
        <v>17056</v>
      </c>
      <c r="O1950" t="s">
        <v>477</v>
      </c>
      <c r="P1950" t="s">
        <v>17339</v>
      </c>
      <c r="Q1950" t="s">
        <v>25</v>
      </c>
      <c r="R1950" t="s">
        <v>17340</v>
      </c>
    </row>
    <row r="1951" spans="1:22">
      <c r="A1951" t="s">
        <v>17341</v>
      </c>
      <c r="B1951" t="s">
        <v>17341</v>
      </c>
      <c r="C1951" t="s">
        <v>17342</v>
      </c>
      <c r="D1951" t="s">
        <v>21</v>
      </c>
      <c r="E1951" s="14" t="s">
        <v>17055</v>
      </c>
      <c r="F1951" t="s">
        <v>155</v>
      </c>
      <c r="G1951" s="17" t="str">
        <f>Config!$B$3</f>
        <v>SCH/R_IEC.SchLib</v>
      </c>
      <c r="H1951" t="s">
        <v>419</v>
      </c>
      <c r="I1951" t="s">
        <v>461</v>
      </c>
      <c r="J1951" t="s">
        <v>18033</v>
      </c>
      <c r="M1951" s="3">
        <v>680</v>
      </c>
      <c r="N1951" t="s">
        <v>17056</v>
      </c>
      <c r="O1951" t="s">
        <v>477</v>
      </c>
      <c r="P1951" t="s">
        <v>17343</v>
      </c>
      <c r="Q1951" t="s">
        <v>25</v>
      </c>
      <c r="R1951" t="s">
        <v>17344</v>
      </c>
    </row>
    <row r="1952" spans="1:22">
      <c r="A1952" t="s">
        <v>17345</v>
      </c>
      <c r="B1952" t="s">
        <v>17345</v>
      </c>
      <c r="C1952" t="s">
        <v>17346</v>
      </c>
      <c r="D1952" t="s">
        <v>21</v>
      </c>
      <c r="E1952" s="14" t="s">
        <v>17055</v>
      </c>
      <c r="F1952" t="s">
        <v>157</v>
      </c>
      <c r="G1952" s="17" t="str">
        <f>Config!$B$3</f>
        <v>SCH/R_IEC.SchLib</v>
      </c>
      <c r="H1952" t="s">
        <v>419</v>
      </c>
      <c r="I1952" t="s">
        <v>461</v>
      </c>
      <c r="J1952" t="s">
        <v>18033</v>
      </c>
      <c r="M1952" s="3">
        <v>750</v>
      </c>
      <c r="N1952" t="s">
        <v>17056</v>
      </c>
      <c r="O1952" t="s">
        <v>477</v>
      </c>
      <c r="P1952" t="s">
        <v>17347</v>
      </c>
      <c r="Q1952" t="s">
        <v>25</v>
      </c>
      <c r="R1952" t="s">
        <v>17348</v>
      </c>
    </row>
    <row r="1953" spans="1:22">
      <c r="A1953" t="s">
        <v>17349</v>
      </c>
      <c r="B1953" t="s">
        <v>17349</v>
      </c>
      <c r="C1953" t="s">
        <v>17350</v>
      </c>
      <c r="D1953" t="s">
        <v>21</v>
      </c>
      <c r="E1953" s="14" t="s">
        <v>17055</v>
      </c>
      <c r="F1953" t="s">
        <v>159</v>
      </c>
      <c r="G1953" s="17" t="str">
        <f>Config!$B$3</f>
        <v>SCH/R_IEC.SchLib</v>
      </c>
      <c r="H1953" t="s">
        <v>419</v>
      </c>
      <c r="I1953" t="s">
        <v>461</v>
      </c>
      <c r="J1953" t="s">
        <v>18033</v>
      </c>
      <c r="M1953" s="3">
        <v>820</v>
      </c>
      <c r="N1953" t="s">
        <v>17056</v>
      </c>
      <c r="O1953" t="s">
        <v>477</v>
      </c>
      <c r="P1953" t="s">
        <v>17351</v>
      </c>
      <c r="Q1953" t="s">
        <v>25</v>
      </c>
      <c r="R1953" t="s">
        <v>17352</v>
      </c>
    </row>
    <row r="1954" spans="1:22">
      <c r="A1954" t="s">
        <v>17353</v>
      </c>
      <c r="B1954" t="s">
        <v>17353</v>
      </c>
      <c r="C1954" t="s">
        <v>17354</v>
      </c>
      <c r="D1954" t="s">
        <v>21</v>
      </c>
      <c r="E1954" s="14" t="s">
        <v>17055</v>
      </c>
      <c r="F1954" t="s">
        <v>161</v>
      </c>
      <c r="G1954" s="17" t="str">
        <f>Config!$B$3</f>
        <v>SCH/R_IEC.SchLib</v>
      </c>
      <c r="H1954" t="s">
        <v>419</v>
      </c>
      <c r="I1954" t="s">
        <v>461</v>
      </c>
      <c r="J1954" t="s">
        <v>18033</v>
      </c>
      <c r="M1954" s="3">
        <v>910</v>
      </c>
      <c r="N1954" t="s">
        <v>17056</v>
      </c>
      <c r="O1954" t="s">
        <v>477</v>
      </c>
      <c r="P1954" t="s">
        <v>17355</v>
      </c>
      <c r="Q1954" t="s">
        <v>25</v>
      </c>
      <c r="R1954" t="s">
        <v>17356</v>
      </c>
    </row>
    <row r="1955" spans="1:22">
      <c r="A1955" t="s">
        <v>17357</v>
      </c>
      <c r="B1955" t="s">
        <v>17357</v>
      </c>
      <c r="C1955" t="s">
        <v>17358</v>
      </c>
      <c r="D1955" t="s">
        <v>21</v>
      </c>
      <c r="E1955" s="14" t="s">
        <v>17055</v>
      </c>
      <c r="F1955" t="s">
        <v>163</v>
      </c>
      <c r="G1955" s="17" t="str">
        <f>Config!$B$3</f>
        <v>SCH/R_IEC.SchLib</v>
      </c>
      <c r="H1955" t="s">
        <v>419</v>
      </c>
      <c r="I1955" t="s">
        <v>461</v>
      </c>
      <c r="J1955" t="s">
        <v>18033</v>
      </c>
      <c r="M1955" s="3">
        <v>1000</v>
      </c>
      <c r="N1955" t="s">
        <v>17056</v>
      </c>
      <c r="O1955" t="s">
        <v>477</v>
      </c>
      <c r="P1955" t="s">
        <v>17359</v>
      </c>
      <c r="Q1955" t="s">
        <v>25</v>
      </c>
      <c r="R1955" t="s">
        <v>17360</v>
      </c>
      <c r="S1955" t="s">
        <v>477</v>
      </c>
      <c r="T1955" t="s">
        <v>17361</v>
      </c>
      <c r="U1955" t="s">
        <v>25</v>
      </c>
      <c r="V1955" t="s">
        <v>17362</v>
      </c>
    </row>
    <row r="1956" spans="1:22">
      <c r="A1956" t="s">
        <v>17363</v>
      </c>
      <c r="B1956" t="s">
        <v>17363</v>
      </c>
      <c r="C1956" t="s">
        <v>17364</v>
      </c>
      <c r="D1956" t="s">
        <v>21</v>
      </c>
      <c r="E1956" s="14" t="s">
        <v>17055</v>
      </c>
      <c r="F1956" t="s">
        <v>165</v>
      </c>
      <c r="G1956" s="17" t="str">
        <f>Config!$B$3</f>
        <v>SCH/R_IEC.SchLib</v>
      </c>
      <c r="H1956" t="s">
        <v>419</v>
      </c>
      <c r="I1956" t="s">
        <v>461</v>
      </c>
      <c r="J1956" t="s">
        <v>18033</v>
      </c>
      <c r="M1956" s="3">
        <v>1100</v>
      </c>
      <c r="N1956" t="s">
        <v>17056</v>
      </c>
      <c r="O1956" t="s">
        <v>477</v>
      </c>
      <c r="P1956" t="s">
        <v>17365</v>
      </c>
      <c r="Q1956" t="s">
        <v>25</v>
      </c>
      <c r="R1956" t="s">
        <v>17366</v>
      </c>
      <c r="S1956" t="s">
        <v>477</v>
      </c>
      <c r="T1956" t="s">
        <v>17367</v>
      </c>
      <c r="U1956" t="s">
        <v>25</v>
      </c>
      <c r="V1956" t="s">
        <v>17368</v>
      </c>
    </row>
    <row r="1957" spans="1:22">
      <c r="A1957" t="s">
        <v>17369</v>
      </c>
      <c r="B1957" t="s">
        <v>17369</v>
      </c>
      <c r="C1957" t="s">
        <v>17370</v>
      </c>
      <c r="D1957" t="s">
        <v>21</v>
      </c>
      <c r="E1957" s="14" t="s">
        <v>17055</v>
      </c>
      <c r="F1957" t="s">
        <v>167</v>
      </c>
      <c r="G1957" s="17" t="str">
        <f>Config!$B$3</f>
        <v>SCH/R_IEC.SchLib</v>
      </c>
      <c r="H1957" t="s">
        <v>419</v>
      </c>
      <c r="I1957" t="s">
        <v>461</v>
      </c>
      <c r="J1957" t="s">
        <v>18033</v>
      </c>
      <c r="M1957" s="3">
        <v>1200</v>
      </c>
      <c r="N1957" t="s">
        <v>17056</v>
      </c>
      <c r="O1957" t="s">
        <v>477</v>
      </c>
      <c r="P1957" t="s">
        <v>17371</v>
      </c>
      <c r="Q1957" t="s">
        <v>25</v>
      </c>
      <c r="R1957" t="s">
        <v>17372</v>
      </c>
    </row>
    <row r="1958" spans="1:22">
      <c r="A1958" t="s">
        <v>17373</v>
      </c>
      <c r="B1958" t="s">
        <v>17373</v>
      </c>
      <c r="C1958" t="s">
        <v>17374</v>
      </c>
      <c r="D1958" t="s">
        <v>21</v>
      </c>
      <c r="E1958" s="14" t="s">
        <v>17055</v>
      </c>
      <c r="F1958" t="s">
        <v>169</v>
      </c>
      <c r="G1958" s="17" t="str">
        <f>Config!$B$3</f>
        <v>SCH/R_IEC.SchLib</v>
      </c>
      <c r="H1958" t="s">
        <v>419</v>
      </c>
      <c r="I1958" t="s">
        <v>461</v>
      </c>
      <c r="J1958" t="s">
        <v>18033</v>
      </c>
      <c r="M1958" s="3">
        <v>1300</v>
      </c>
      <c r="N1958" t="s">
        <v>17056</v>
      </c>
      <c r="O1958" t="s">
        <v>477</v>
      </c>
      <c r="P1958" t="s">
        <v>17375</v>
      </c>
      <c r="Q1958" t="s">
        <v>25</v>
      </c>
      <c r="R1958" t="s">
        <v>17376</v>
      </c>
    </row>
    <row r="1959" spans="1:22">
      <c r="A1959" t="s">
        <v>17377</v>
      </c>
      <c r="B1959" t="s">
        <v>17377</v>
      </c>
      <c r="C1959" t="s">
        <v>17378</v>
      </c>
      <c r="D1959" t="s">
        <v>21</v>
      </c>
      <c r="E1959" s="14" t="s">
        <v>17055</v>
      </c>
      <c r="F1959" t="s">
        <v>171</v>
      </c>
      <c r="G1959" s="17" t="str">
        <f>Config!$B$3</f>
        <v>SCH/R_IEC.SchLib</v>
      </c>
      <c r="H1959" t="s">
        <v>419</v>
      </c>
      <c r="I1959" t="s">
        <v>461</v>
      </c>
      <c r="J1959" t="s">
        <v>18033</v>
      </c>
      <c r="M1959" s="3">
        <v>1500</v>
      </c>
      <c r="N1959" t="s">
        <v>17056</v>
      </c>
      <c r="O1959" t="s">
        <v>477</v>
      </c>
      <c r="P1959" t="s">
        <v>17379</v>
      </c>
      <c r="Q1959" t="s">
        <v>25</v>
      </c>
      <c r="R1959" t="s">
        <v>17380</v>
      </c>
      <c r="S1959" t="s">
        <v>477</v>
      </c>
      <c r="T1959" t="s">
        <v>17381</v>
      </c>
      <c r="U1959" t="s">
        <v>25</v>
      </c>
      <c r="V1959" t="s">
        <v>17382</v>
      </c>
    </row>
    <row r="1960" spans="1:22">
      <c r="A1960" t="s">
        <v>17383</v>
      </c>
      <c r="B1960" t="s">
        <v>17383</v>
      </c>
      <c r="C1960" t="s">
        <v>17384</v>
      </c>
      <c r="D1960" t="s">
        <v>21</v>
      </c>
      <c r="E1960" s="14" t="s">
        <v>17055</v>
      </c>
      <c r="F1960" t="s">
        <v>175</v>
      </c>
      <c r="G1960" s="17" t="str">
        <f>Config!$B$3</f>
        <v>SCH/R_IEC.SchLib</v>
      </c>
      <c r="H1960" t="s">
        <v>419</v>
      </c>
      <c r="I1960" t="s">
        <v>461</v>
      </c>
      <c r="J1960" t="s">
        <v>18033</v>
      </c>
      <c r="M1960" s="3">
        <v>1600</v>
      </c>
      <c r="N1960" t="s">
        <v>17056</v>
      </c>
      <c r="O1960" t="s">
        <v>477</v>
      </c>
      <c r="P1960" t="s">
        <v>17385</v>
      </c>
      <c r="Q1960" t="s">
        <v>25</v>
      </c>
      <c r="R1960" t="s">
        <v>17386</v>
      </c>
    </row>
    <row r="1961" spans="1:22">
      <c r="A1961" t="s">
        <v>17387</v>
      </c>
      <c r="B1961" t="s">
        <v>17387</v>
      </c>
      <c r="C1961" t="s">
        <v>17388</v>
      </c>
      <c r="D1961" t="s">
        <v>21</v>
      </c>
      <c r="E1961" s="14" t="s">
        <v>17055</v>
      </c>
      <c r="F1961" t="s">
        <v>181</v>
      </c>
      <c r="G1961" s="17" t="str">
        <f>Config!$B$3</f>
        <v>SCH/R_IEC.SchLib</v>
      </c>
      <c r="H1961" t="s">
        <v>419</v>
      </c>
      <c r="I1961" t="s">
        <v>461</v>
      </c>
      <c r="J1961" t="s">
        <v>18033</v>
      </c>
      <c r="M1961" s="3">
        <v>1800</v>
      </c>
      <c r="N1961" t="s">
        <v>17056</v>
      </c>
      <c r="O1961" t="s">
        <v>477</v>
      </c>
      <c r="P1961" t="s">
        <v>17389</v>
      </c>
      <c r="Q1961" t="s">
        <v>25</v>
      </c>
      <c r="R1961" t="s">
        <v>17390</v>
      </c>
    </row>
    <row r="1962" spans="1:22">
      <c r="A1962" t="s">
        <v>17391</v>
      </c>
      <c r="B1962" t="s">
        <v>17391</v>
      </c>
      <c r="C1962" t="s">
        <v>17392</v>
      </c>
      <c r="D1962" t="s">
        <v>21</v>
      </c>
      <c r="E1962" s="14" t="s">
        <v>17055</v>
      </c>
      <c r="F1962" t="s">
        <v>183</v>
      </c>
      <c r="G1962" s="17" t="str">
        <f>Config!$B$3</f>
        <v>SCH/R_IEC.SchLib</v>
      </c>
      <c r="H1962" t="s">
        <v>419</v>
      </c>
      <c r="I1962" t="s">
        <v>461</v>
      </c>
      <c r="J1962" t="s">
        <v>18033</v>
      </c>
      <c r="M1962" s="3">
        <v>2000</v>
      </c>
      <c r="N1962" t="s">
        <v>17056</v>
      </c>
      <c r="O1962" t="s">
        <v>477</v>
      </c>
      <c r="P1962" t="s">
        <v>17393</v>
      </c>
      <c r="Q1962" t="s">
        <v>25</v>
      </c>
      <c r="R1962" t="s">
        <v>17394</v>
      </c>
      <c r="S1962" t="s">
        <v>477</v>
      </c>
      <c r="T1962" t="s">
        <v>17395</v>
      </c>
      <c r="U1962" t="s">
        <v>25</v>
      </c>
      <c r="V1962" t="s">
        <v>17396</v>
      </c>
    </row>
    <row r="1963" spans="1:22">
      <c r="A1963" t="s">
        <v>17397</v>
      </c>
      <c r="B1963" t="s">
        <v>17397</v>
      </c>
      <c r="C1963" t="s">
        <v>17398</v>
      </c>
      <c r="D1963" t="s">
        <v>21</v>
      </c>
      <c r="E1963" s="14" t="s">
        <v>17055</v>
      </c>
      <c r="F1963" t="s">
        <v>187</v>
      </c>
      <c r="G1963" s="17" t="str">
        <f>Config!$B$3</f>
        <v>SCH/R_IEC.SchLib</v>
      </c>
      <c r="H1963" t="s">
        <v>419</v>
      </c>
      <c r="I1963" t="s">
        <v>461</v>
      </c>
      <c r="J1963" t="s">
        <v>18033</v>
      </c>
      <c r="M1963" s="3">
        <v>2200</v>
      </c>
      <c r="N1963" t="s">
        <v>17056</v>
      </c>
      <c r="O1963" t="s">
        <v>477</v>
      </c>
      <c r="P1963" t="s">
        <v>17399</v>
      </c>
      <c r="Q1963" t="s">
        <v>25</v>
      </c>
      <c r="R1963" t="s">
        <v>17400</v>
      </c>
      <c r="S1963" t="s">
        <v>477</v>
      </c>
      <c r="T1963" t="s">
        <v>17401</v>
      </c>
      <c r="U1963" t="s">
        <v>25</v>
      </c>
      <c r="V1963" t="s">
        <v>17402</v>
      </c>
    </row>
    <row r="1964" spans="1:22">
      <c r="A1964" t="s">
        <v>17403</v>
      </c>
      <c r="B1964" t="s">
        <v>17403</v>
      </c>
      <c r="C1964" t="s">
        <v>17404</v>
      </c>
      <c r="D1964" t="s">
        <v>21</v>
      </c>
      <c r="E1964" s="14" t="s">
        <v>17055</v>
      </c>
      <c r="F1964" t="s">
        <v>191</v>
      </c>
      <c r="G1964" s="17" t="str">
        <f>Config!$B$3</f>
        <v>SCH/R_IEC.SchLib</v>
      </c>
      <c r="H1964" t="s">
        <v>419</v>
      </c>
      <c r="I1964" t="s">
        <v>461</v>
      </c>
      <c r="J1964" t="s">
        <v>18033</v>
      </c>
      <c r="M1964" s="3">
        <v>2400</v>
      </c>
      <c r="N1964" t="s">
        <v>17056</v>
      </c>
      <c r="O1964" t="s">
        <v>477</v>
      </c>
      <c r="P1964" t="s">
        <v>17405</v>
      </c>
      <c r="Q1964" t="s">
        <v>25</v>
      </c>
      <c r="R1964" t="s">
        <v>17406</v>
      </c>
    </row>
    <row r="1965" spans="1:22">
      <c r="A1965" t="s">
        <v>17407</v>
      </c>
      <c r="B1965" t="s">
        <v>17407</v>
      </c>
      <c r="C1965" t="s">
        <v>17408</v>
      </c>
      <c r="D1965" t="s">
        <v>21</v>
      </c>
      <c r="E1965" s="14" t="s">
        <v>17055</v>
      </c>
      <c r="F1965" t="s">
        <v>193</v>
      </c>
      <c r="G1965" s="17" t="str">
        <f>Config!$B$3</f>
        <v>SCH/R_IEC.SchLib</v>
      </c>
      <c r="H1965" t="s">
        <v>419</v>
      </c>
      <c r="I1965" t="s">
        <v>461</v>
      </c>
      <c r="J1965" t="s">
        <v>18033</v>
      </c>
      <c r="M1965" s="3">
        <v>2700</v>
      </c>
      <c r="N1965" t="s">
        <v>17056</v>
      </c>
      <c r="O1965" t="s">
        <v>477</v>
      </c>
      <c r="P1965" t="s">
        <v>17409</v>
      </c>
      <c r="Q1965" t="s">
        <v>25</v>
      </c>
      <c r="R1965" t="s">
        <v>17410</v>
      </c>
    </row>
    <row r="1966" spans="1:22">
      <c r="A1966" t="s">
        <v>17411</v>
      </c>
      <c r="B1966" t="s">
        <v>17411</v>
      </c>
      <c r="C1966" t="s">
        <v>17412</v>
      </c>
      <c r="D1966" t="s">
        <v>21</v>
      </c>
      <c r="E1966" s="14" t="s">
        <v>17055</v>
      </c>
      <c r="F1966" t="s">
        <v>197</v>
      </c>
      <c r="G1966" s="17" t="str">
        <f>Config!$B$3</f>
        <v>SCH/R_IEC.SchLib</v>
      </c>
      <c r="H1966" t="s">
        <v>419</v>
      </c>
      <c r="I1966" t="s">
        <v>461</v>
      </c>
      <c r="J1966" t="s">
        <v>18033</v>
      </c>
      <c r="M1966" s="3">
        <v>3000</v>
      </c>
      <c r="N1966" t="s">
        <v>17056</v>
      </c>
      <c r="O1966" t="s">
        <v>477</v>
      </c>
      <c r="P1966" t="s">
        <v>17413</v>
      </c>
      <c r="Q1966" t="s">
        <v>25</v>
      </c>
      <c r="R1966" t="s">
        <v>17414</v>
      </c>
    </row>
    <row r="1967" spans="1:22">
      <c r="A1967" t="s">
        <v>17415</v>
      </c>
      <c r="B1967" t="s">
        <v>17415</v>
      </c>
      <c r="C1967" t="s">
        <v>17416</v>
      </c>
      <c r="D1967" t="s">
        <v>21</v>
      </c>
      <c r="E1967" s="14" t="s">
        <v>17055</v>
      </c>
      <c r="F1967" t="s">
        <v>201</v>
      </c>
      <c r="G1967" s="17" t="str">
        <f>Config!$B$3</f>
        <v>SCH/R_IEC.SchLib</v>
      </c>
      <c r="H1967" t="s">
        <v>419</v>
      </c>
      <c r="I1967" t="s">
        <v>461</v>
      </c>
      <c r="J1967" t="s">
        <v>18033</v>
      </c>
      <c r="M1967" s="3">
        <v>3300</v>
      </c>
      <c r="N1967" t="s">
        <v>17056</v>
      </c>
      <c r="O1967" t="s">
        <v>477</v>
      </c>
      <c r="P1967" t="s">
        <v>17417</v>
      </c>
      <c r="Q1967" t="s">
        <v>25</v>
      </c>
      <c r="R1967" t="s">
        <v>17418</v>
      </c>
      <c r="S1967" t="s">
        <v>477</v>
      </c>
      <c r="T1967" t="s">
        <v>17419</v>
      </c>
      <c r="U1967" t="s">
        <v>25</v>
      </c>
      <c r="V1967" t="s">
        <v>17420</v>
      </c>
    </row>
    <row r="1968" spans="1:22">
      <c r="A1968" t="s">
        <v>17421</v>
      </c>
      <c r="B1968" t="s">
        <v>17421</v>
      </c>
      <c r="C1968" t="s">
        <v>17422</v>
      </c>
      <c r="D1968" t="s">
        <v>21</v>
      </c>
      <c r="E1968" s="14" t="s">
        <v>17055</v>
      </c>
      <c r="F1968" t="s">
        <v>203</v>
      </c>
      <c r="G1968" s="17" t="str">
        <f>Config!$B$3</f>
        <v>SCH/R_IEC.SchLib</v>
      </c>
      <c r="H1968" t="s">
        <v>419</v>
      </c>
      <c r="I1968" t="s">
        <v>461</v>
      </c>
      <c r="J1968" t="s">
        <v>18033</v>
      </c>
      <c r="M1968" s="3">
        <v>3600</v>
      </c>
      <c r="N1968" t="s">
        <v>17056</v>
      </c>
      <c r="O1968" t="s">
        <v>477</v>
      </c>
      <c r="P1968" t="s">
        <v>17423</v>
      </c>
      <c r="Q1968" t="s">
        <v>25</v>
      </c>
      <c r="R1968" t="s">
        <v>17424</v>
      </c>
    </row>
    <row r="1969" spans="1:22">
      <c r="A1969" t="s">
        <v>17425</v>
      </c>
      <c r="B1969" t="s">
        <v>17425</v>
      </c>
      <c r="C1969" t="s">
        <v>17426</v>
      </c>
      <c r="D1969" t="s">
        <v>21</v>
      </c>
      <c r="E1969" s="14" t="s">
        <v>17055</v>
      </c>
      <c r="F1969" t="s">
        <v>205</v>
      </c>
      <c r="G1969" s="17" t="str">
        <f>Config!$B$3</f>
        <v>SCH/R_IEC.SchLib</v>
      </c>
      <c r="H1969" t="s">
        <v>419</v>
      </c>
      <c r="I1969" t="s">
        <v>461</v>
      </c>
      <c r="J1969" t="s">
        <v>18033</v>
      </c>
      <c r="M1969" s="3">
        <v>3900</v>
      </c>
      <c r="N1969" t="s">
        <v>17056</v>
      </c>
      <c r="O1969" t="s">
        <v>477</v>
      </c>
      <c r="P1969" t="s">
        <v>17427</v>
      </c>
      <c r="Q1969" t="s">
        <v>25</v>
      </c>
      <c r="R1969" t="s">
        <v>17428</v>
      </c>
    </row>
    <row r="1970" spans="1:22">
      <c r="A1970" t="s">
        <v>17429</v>
      </c>
      <c r="B1970" t="s">
        <v>17429</v>
      </c>
      <c r="C1970" t="s">
        <v>17430</v>
      </c>
      <c r="D1970" t="s">
        <v>21</v>
      </c>
      <c r="E1970" s="14" t="s">
        <v>17055</v>
      </c>
      <c r="F1970" t="s">
        <v>207</v>
      </c>
      <c r="G1970" s="17" t="str">
        <f>Config!$B$3</f>
        <v>SCH/R_IEC.SchLib</v>
      </c>
      <c r="H1970" t="s">
        <v>419</v>
      </c>
      <c r="I1970" t="s">
        <v>461</v>
      </c>
      <c r="J1970" t="s">
        <v>18033</v>
      </c>
      <c r="M1970" s="3">
        <v>4300</v>
      </c>
      <c r="N1970" t="s">
        <v>17056</v>
      </c>
      <c r="O1970" t="s">
        <v>477</v>
      </c>
      <c r="P1970" t="s">
        <v>17431</v>
      </c>
      <c r="Q1970" t="s">
        <v>25</v>
      </c>
      <c r="R1970" t="s">
        <v>17432</v>
      </c>
    </row>
    <row r="1971" spans="1:22">
      <c r="A1971" t="s">
        <v>17433</v>
      </c>
      <c r="B1971" t="s">
        <v>17433</v>
      </c>
      <c r="C1971" t="s">
        <v>17434</v>
      </c>
      <c r="D1971" t="s">
        <v>21</v>
      </c>
      <c r="E1971" s="14" t="s">
        <v>17055</v>
      </c>
      <c r="F1971" t="s">
        <v>209</v>
      </c>
      <c r="G1971" s="17" t="str">
        <f>Config!$B$3</f>
        <v>SCH/R_IEC.SchLib</v>
      </c>
      <c r="H1971" t="s">
        <v>419</v>
      </c>
      <c r="I1971" t="s">
        <v>461</v>
      </c>
      <c r="J1971" t="s">
        <v>18033</v>
      </c>
      <c r="M1971" s="3">
        <v>4700</v>
      </c>
      <c r="N1971" t="s">
        <v>17056</v>
      </c>
      <c r="O1971" t="s">
        <v>477</v>
      </c>
      <c r="P1971" t="s">
        <v>17435</v>
      </c>
      <c r="Q1971" t="s">
        <v>25</v>
      </c>
      <c r="R1971" t="s">
        <v>17436</v>
      </c>
      <c r="S1971" t="s">
        <v>477</v>
      </c>
      <c r="T1971" t="s">
        <v>17437</v>
      </c>
      <c r="U1971" t="s">
        <v>25</v>
      </c>
      <c r="V1971" t="s">
        <v>17438</v>
      </c>
    </row>
    <row r="1972" spans="1:22">
      <c r="A1972" t="s">
        <v>17439</v>
      </c>
      <c r="B1972" t="s">
        <v>17439</v>
      </c>
      <c r="C1972" t="s">
        <v>17440</v>
      </c>
      <c r="D1972" t="s">
        <v>21</v>
      </c>
      <c r="E1972" s="14" t="s">
        <v>17055</v>
      </c>
      <c r="F1972" t="s">
        <v>213</v>
      </c>
      <c r="G1972" s="17" t="str">
        <f>Config!$B$3</f>
        <v>SCH/R_IEC.SchLib</v>
      </c>
      <c r="H1972" t="s">
        <v>419</v>
      </c>
      <c r="I1972" t="s">
        <v>461</v>
      </c>
      <c r="J1972" t="s">
        <v>18033</v>
      </c>
      <c r="M1972" s="3">
        <v>5100</v>
      </c>
      <c r="N1972" t="s">
        <v>17056</v>
      </c>
      <c r="O1972" t="s">
        <v>477</v>
      </c>
      <c r="P1972" t="s">
        <v>17441</v>
      </c>
      <c r="Q1972" t="s">
        <v>25</v>
      </c>
      <c r="R1972" t="s">
        <v>17442</v>
      </c>
      <c r="S1972" t="s">
        <v>477</v>
      </c>
      <c r="T1972" t="s">
        <v>17443</v>
      </c>
      <c r="U1972" t="s">
        <v>25</v>
      </c>
      <c r="V1972" t="s">
        <v>17444</v>
      </c>
    </row>
    <row r="1973" spans="1:22">
      <c r="A1973" t="s">
        <v>17445</v>
      </c>
      <c r="B1973" t="s">
        <v>17445</v>
      </c>
      <c r="C1973" t="s">
        <v>17446</v>
      </c>
      <c r="D1973" t="s">
        <v>21</v>
      </c>
      <c r="E1973" s="14" t="s">
        <v>17055</v>
      </c>
      <c r="F1973" t="s">
        <v>215</v>
      </c>
      <c r="G1973" s="17" t="str">
        <f>Config!$B$3</f>
        <v>SCH/R_IEC.SchLib</v>
      </c>
      <c r="H1973" t="s">
        <v>419</v>
      </c>
      <c r="I1973" t="s">
        <v>461</v>
      </c>
      <c r="J1973" t="s">
        <v>18033</v>
      </c>
      <c r="M1973" s="3">
        <v>5600</v>
      </c>
      <c r="N1973" t="s">
        <v>17056</v>
      </c>
      <c r="O1973" t="s">
        <v>477</v>
      </c>
      <c r="P1973" t="s">
        <v>17447</v>
      </c>
      <c r="Q1973" t="s">
        <v>25</v>
      </c>
      <c r="R1973" t="s">
        <v>17448</v>
      </c>
      <c r="S1973" t="s">
        <v>477</v>
      </c>
      <c r="T1973" t="s">
        <v>17449</v>
      </c>
      <c r="U1973" t="s">
        <v>25</v>
      </c>
      <c r="V1973" t="s">
        <v>17450</v>
      </c>
    </row>
    <row r="1974" spans="1:22">
      <c r="A1974" t="s">
        <v>17451</v>
      </c>
      <c r="B1974" t="s">
        <v>17451</v>
      </c>
      <c r="C1974" t="s">
        <v>17452</v>
      </c>
      <c r="D1974" t="s">
        <v>21</v>
      </c>
      <c r="E1974" s="14" t="s">
        <v>17055</v>
      </c>
      <c r="F1974" t="s">
        <v>217</v>
      </c>
      <c r="G1974" s="17" t="str">
        <f>Config!$B$3</f>
        <v>SCH/R_IEC.SchLib</v>
      </c>
      <c r="H1974" t="s">
        <v>419</v>
      </c>
      <c r="I1974" t="s">
        <v>461</v>
      </c>
      <c r="J1974" t="s">
        <v>18033</v>
      </c>
      <c r="M1974" s="3">
        <v>6200</v>
      </c>
      <c r="N1974" t="s">
        <v>17056</v>
      </c>
      <c r="O1974" t="s">
        <v>477</v>
      </c>
      <c r="P1974" t="s">
        <v>17453</v>
      </c>
      <c r="Q1974" t="s">
        <v>25</v>
      </c>
      <c r="R1974" t="s">
        <v>17454</v>
      </c>
    </row>
    <row r="1975" spans="1:22">
      <c r="A1975" t="s">
        <v>17455</v>
      </c>
      <c r="B1975" t="s">
        <v>17455</v>
      </c>
      <c r="C1975" t="s">
        <v>17456</v>
      </c>
      <c r="D1975" t="s">
        <v>21</v>
      </c>
      <c r="E1975" s="14" t="s">
        <v>17055</v>
      </c>
      <c r="F1975" t="s">
        <v>219</v>
      </c>
      <c r="G1975" s="17" t="str">
        <f>Config!$B$3</f>
        <v>SCH/R_IEC.SchLib</v>
      </c>
      <c r="H1975" t="s">
        <v>419</v>
      </c>
      <c r="I1975" t="s">
        <v>461</v>
      </c>
      <c r="J1975" t="s">
        <v>18033</v>
      </c>
      <c r="M1975" s="3">
        <v>6800</v>
      </c>
      <c r="N1975" t="s">
        <v>17056</v>
      </c>
      <c r="O1975" t="s">
        <v>477</v>
      </c>
      <c r="P1975" t="s">
        <v>17457</v>
      </c>
      <c r="Q1975" t="s">
        <v>25</v>
      </c>
      <c r="R1975" t="s">
        <v>17458</v>
      </c>
    </row>
    <row r="1976" spans="1:22">
      <c r="A1976" t="s">
        <v>17459</v>
      </c>
      <c r="B1976" t="s">
        <v>17459</v>
      </c>
      <c r="C1976" t="s">
        <v>17460</v>
      </c>
      <c r="D1976" t="s">
        <v>21</v>
      </c>
      <c r="E1976" s="14" t="s">
        <v>17055</v>
      </c>
      <c r="F1976" t="s">
        <v>221</v>
      </c>
      <c r="G1976" s="17" t="str">
        <f>Config!$B$3</f>
        <v>SCH/R_IEC.SchLib</v>
      </c>
      <c r="H1976" t="s">
        <v>419</v>
      </c>
      <c r="I1976" t="s">
        <v>461</v>
      </c>
      <c r="J1976" t="s">
        <v>18033</v>
      </c>
      <c r="M1976" s="3">
        <v>7500</v>
      </c>
      <c r="N1976" t="s">
        <v>17056</v>
      </c>
      <c r="O1976" t="s">
        <v>477</v>
      </c>
      <c r="P1976" t="s">
        <v>17461</v>
      </c>
      <c r="Q1976" t="s">
        <v>25</v>
      </c>
      <c r="R1976" t="s">
        <v>17462</v>
      </c>
    </row>
    <row r="1977" spans="1:22">
      <c r="A1977" t="s">
        <v>17463</v>
      </c>
      <c r="B1977" t="s">
        <v>17463</v>
      </c>
      <c r="C1977" t="s">
        <v>17464</v>
      </c>
      <c r="D1977" t="s">
        <v>21</v>
      </c>
      <c r="E1977" s="14" t="s">
        <v>17055</v>
      </c>
      <c r="F1977" t="s">
        <v>223</v>
      </c>
      <c r="G1977" s="17" t="str">
        <f>Config!$B$3</f>
        <v>SCH/R_IEC.SchLib</v>
      </c>
      <c r="H1977" t="s">
        <v>419</v>
      </c>
      <c r="I1977" t="s">
        <v>461</v>
      </c>
      <c r="J1977" t="s">
        <v>18033</v>
      </c>
      <c r="M1977" s="3">
        <v>8200</v>
      </c>
      <c r="N1977" t="s">
        <v>17056</v>
      </c>
      <c r="O1977" t="s">
        <v>477</v>
      </c>
      <c r="P1977" t="s">
        <v>17465</v>
      </c>
      <c r="Q1977" t="s">
        <v>25</v>
      </c>
      <c r="R1977" t="s">
        <v>17466</v>
      </c>
    </row>
    <row r="1978" spans="1:22">
      <c r="A1978" t="s">
        <v>17467</v>
      </c>
      <c r="B1978" t="s">
        <v>17467</v>
      </c>
      <c r="C1978" t="s">
        <v>17468</v>
      </c>
      <c r="D1978" t="s">
        <v>21</v>
      </c>
      <c r="E1978" s="14" t="s">
        <v>17055</v>
      </c>
      <c r="F1978" t="s">
        <v>225</v>
      </c>
      <c r="G1978" s="17" t="str">
        <f>Config!$B$3</f>
        <v>SCH/R_IEC.SchLib</v>
      </c>
      <c r="H1978" t="s">
        <v>419</v>
      </c>
      <c r="I1978" t="s">
        <v>461</v>
      </c>
      <c r="J1978" t="s">
        <v>18033</v>
      </c>
      <c r="M1978" s="3">
        <v>9100</v>
      </c>
      <c r="N1978" t="s">
        <v>17056</v>
      </c>
      <c r="O1978" t="s">
        <v>477</v>
      </c>
      <c r="P1978" t="s">
        <v>17469</v>
      </c>
      <c r="Q1978" t="s">
        <v>25</v>
      </c>
      <c r="R1978" t="s">
        <v>17470</v>
      </c>
    </row>
    <row r="1979" spans="1:22">
      <c r="A1979" t="s">
        <v>17471</v>
      </c>
      <c r="B1979" t="s">
        <v>17471</v>
      </c>
      <c r="C1979" t="s">
        <v>17472</v>
      </c>
      <c r="D1979" t="s">
        <v>21</v>
      </c>
      <c r="E1979" s="14" t="s">
        <v>17055</v>
      </c>
      <c r="F1979" t="s">
        <v>229</v>
      </c>
      <c r="G1979" s="17" t="str">
        <f>Config!$B$3</f>
        <v>SCH/R_IEC.SchLib</v>
      </c>
      <c r="H1979" t="s">
        <v>419</v>
      </c>
      <c r="I1979" t="s">
        <v>461</v>
      </c>
      <c r="J1979" t="s">
        <v>18033</v>
      </c>
      <c r="M1979" s="3">
        <v>10000</v>
      </c>
      <c r="N1979" t="s">
        <v>17056</v>
      </c>
      <c r="O1979" t="s">
        <v>477</v>
      </c>
      <c r="P1979" t="s">
        <v>17473</v>
      </c>
      <c r="Q1979" t="s">
        <v>25</v>
      </c>
      <c r="R1979" t="s">
        <v>17474</v>
      </c>
      <c r="S1979" t="s">
        <v>477</v>
      </c>
      <c r="T1979" t="s">
        <v>17475</v>
      </c>
      <c r="U1979" t="s">
        <v>25</v>
      </c>
      <c r="V1979" t="s">
        <v>17476</v>
      </c>
    </row>
    <row r="1980" spans="1:22">
      <c r="A1980" t="s">
        <v>17477</v>
      </c>
      <c r="B1980" t="s">
        <v>17477</v>
      </c>
      <c r="C1980" t="s">
        <v>17478</v>
      </c>
      <c r="D1980" t="s">
        <v>21</v>
      </c>
      <c r="E1980" s="14" t="s">
        <v>17055</v>
      </c>
      <c r="F1980" t="s">
        <v>233</v>
      </c>
      <c r="G1980" s="17" t="str">
        <f>Config!$B$3</f>
        <v>SCH/R_IEC.SchLib</v>
      </c>
      <c r="H1980" t="s">
        <v>419</v>
      </c>
      <c r="I1980" t="s">
        <v>461</v>
      </c>
      <c r="J1980" t="s">
        <v>18033</v>
      </c>
      <c r="M1980" s="3">
        <v>11000</v>
      </c>
      <c r="N1980" t="s">
        <v>17056</v>
      </c>
      <c r="O1980" t="s">
        <v>477</v>
      </c>
      <c r="P1980" t="s">
        <v>17479</v>
      </c>
      <c r="Q1980" t="s">
        <v>25</v>
      </c>
      <c r="R1980" t="s">
        <v>17480</v>
      </c>
    </row>
    <row r="1981" spans="1:22">
      <c r="A1981" t="s">
        <v>17481</v>
      </c>
      <c r="B1981" t="s">
        <v>17481</v>
      </c>
      <c r="C1981" t="s">
        <v>17482</v>
      </c>
      <c r="D1981" t="s">
        <v>21</v>
      </c>
      <c r="E1981" s="14" t="s">
        <v>17055</v>
      </c>
      <c r="F1981" t="s">
        <v>235</v>
      </c>
      <c r="G1981" s="17" t="str">
        <f>Config!$B$3</f>
        <v>SCH/R_IEC.SchLib</v>
      </c>
      <c r="H1981" t="s">
        <v>419</v>
      </c>
      <c r="I1981" t="s">
        <v>461</v>
      </c>
      <c r="J1981" t="s">
        <v>18033</v>
      </c>
      <c r="M1981" s="3">
        <v>12000</v>
      </c>
      <c r="N1981" t="s">
        <v>17056</v>
      </c>
      <c r="O1981" t="s">
        <v>477</v>
      </c>
      <c r="P1981" t="s">
        <v>17483</v>
      </c>
      <c r="Q1981" t="s">
        <v>25</v>
      </c>
      <c r="R1981" t="s">
        <v>17484</v>
      </c>
    </row>
    <row r="1982" spans="1:22">
      <c r="A1982" t="s">
        <v>17485</v>
      </c>
      <c r="B1982" t="s">
        <v>17485</v>
      </c>
      <c r="C1982" t="s">
        <v>17486</v>
      </c>
      <c r="D1982" t="s">
        <v>21</v>
      </c>
      <c r="E1982" s="14" t="s">
        <v>17055</v>
      </c>
      <c r="F1982" t="s">
        <v>239</v>
      </c>
      <c r="G1982" s="17" t="str">
        <f>Config!$B$3</f>
        <v>SCH/R_IEC.SchLib</v>
      </c>
      <c r="H1982" t="s">
        <v>419</v>
      </c>
      <c r="I1982" t="s">
        <v>461</v>
      </c>
      <c r="J1982" t="s">
        <v>18033</v>
      </c>
      <c r="M1982" s="3">
        <v>13000</v>
      </c>
      <c r="N1982" t="s">
        <v>17056</v>
      </c>
      <c r="O1982" t="s">
        <v>477</v>
      </c>
      <c r="P1982" t="s">
        <v>17487</v>
      </c>
      <c r="Q1982" t="s">
        <v>25</v>
      </c>
      <c r="R1982" t="s">
        <v>17488</v>
      </c>
    </row>
    <row r="1983" spans="1:22">
      <c r="A1983" t="s">
        <v>17489</v>
      </c>
      <c r="B1983" t="s">
        <v>17489</v>
      </c>
      <c r="C1983" t="s">
        <v>17490</v>
      </c>
      <c r="D1983" t="s">
        <v>21</v>
      </c>
      <c r="E1983" s="14" t="s">
        <v>17055</v>
      </c>
      <c r="F1983" t="s">
        <v>243</v>
      </c>
      <c r="G1983" s="17" t="str">
        <f>Config!$B$3</f>
        <v>SCH/R_IEC.SchLib</v>
      </c>
      <c r="H1983" t="s">
        <v>419</v>
      </c>
      <c r="I1983" t="s">
        <v>461</v>
      </c>
      <c r="J1983" t="s">
        <v>18033</v>
      </c>
      <c r="M1983" s="3">
        <v>15000</v>
      </c>
      <c r="N1983" t="s">
        <v>17056</v>
      </c>
      <c r="O1983" t="s">
        <v>477</v>
      </c>
      <c r="P1983" t="s">
        <v>17491</v>
      </c>
      <c r="Q1983" t="s">
        <v>25</v>
      </c>
      <c r="R1983" t="s">
        <v>17492</v>
      </c>
      <c r="S1983" t="s">
        <v>477</v>
      </c>
      <c r="T1983" t="s">
        <v>17493</v>
      </c>
      <c r="U1983" t="s">
        <v>25</v>
      </c>
      <c r="V1983" t="s">
        <v>17494</v>
      </c>
    </row>
    <row r="1984" spans="1:22">
      <c r="A1984" t="s">
        <v>17495</v>
      </c>
      <c r="B1984" t="s">
        <v>17495</v>
      </c>
      <c r="C1984" t="s">
        <v>17496</v>
      </c>
      <c r="D1984" t="s">
        <v>21</v>
      </c>
      <c r="E1984" s="14" t="s">
        <v>17055</v>
      </c>
      <c r="F1984" t="s">
        <v>247</v>
      </c>
      <c r="G1984" s="17" t="str">
        <f>Config!$B$3</f>
        <v>SCH/R_IEC.SchLib</v>
      </c>
      <c r="H1984" t="s">
        <v>419</v>
      </c>
      <c r="I1984" t="s">
        <v>461</v>
      </c>
      <c r="J1984" t="s">
        <v>18033</v>
      </c>
      <c r="M1984" s="3">
        <v>16000</v>
      </c>
      <c r="N1984" t="s">
        <v>17056</v>
      </c>
      <c r="O1984" t="s">
        <v>477</v>
      </c>
      <c r="P1984" t="s">
        <v>17497</v>
      </c>
      <c r="Q1984" t="s">
        <v>25</v>
      </c>
      <c r="R1984" t="s">
        <v>17498</v>
      </c>
    </row>
    <row r="1985" spans="1:22">
      <c r="A1985" t="s">
        <v>17499</v>
      </c>
      <c r="B1985" t="s">
        <v>17499</v>
      </c>
      <c r="C1985" t="s">
        <v>17500</v>
      </c>
      <c r="D1985" t="s">
        <v>21</v>
      </c>
      <c r="E1985" s="14" t="s">
        <v>17055</v>
      </c>
      <c r="F1985" t="s">
        <v>251</v>
      </c>
      <c r="G1985" s="17" t="str">
        <f>Config!$B$3</f>
        <v>SCH/R_IEC.SchLib</v>
      </c>
      <c r="H1985" t="s">
        <v>419</v>
      </c>
      <c r="I1985" t="s">
        <v>461</v>
      </c>
      <c r="J1985" t="s">
        <v>18033</v>
      </c>
      <c r="M1985" s="3">
        <v>18000</v>
      </c>
      <c r="N1985" t="s">
        <v>17056</v>
      </c>
      <c r="O1985" t="s">
        <v>477</v>
      </c>
      <c r="P1985" t="s">
        <v>17501</v>
      </c>
      <c r="Q1985" t="s">
        <v>25</v>
      </c>
      <c r="R1985" t="s">
        <v>17502</v>
      </c>
    </row>
    <row r="1986" spans="1:22">
      <c r="A1986" t="s">
        <v>17503</v>
      </c>
      <c r="B1986" t="s">
        <v>17503</v>
      </c>
      <c r="C1986" t="s">
        <v>17504</v>
      </c>
      <c r="D1986" t="s">
        <v>21</v>
      </c>
      <c r="E1986" s="14" t="s">
        <v>17055</v>
      </c>
      <c r="F1986" t="s">
        <v>255</v>
      </c>
      <c r="G1986" s="17" t="str">
        <f>Config!$B$3</f>
        <v>SCH/R_IEC.SchLib</v>
      </c>
      <c r="H1986" t="s">
        <v>419</v>
      </c>
      <c r="I1986" t="s">
        <v>461</v>
      </c>
      <c r="J1986" t="s">
        <v>18033</v>
      </c>
      <c r="M1986" s="3">
        <v>20000</v>
      </c>
      <c r="N1986" t="s">
        <v>17056</v>
      </c>
      <c r="O1986" t="s">
        <v>477</v>
      </c>
      <c r="P1986" t="s">
        <v>17505</v>
      </c>
      <c r="Q1986" t="s">
        <v>25</v>
      </c>
      <c r="R1986" t="s">
        <v>17506</v>
      </c>
      <c r="S1986" t="s">
        <v>477</v>
      </c>
      <c r="T1986" t="s">
        <v>17507</v>
      </c>
      <c r="U1986" t="s">
        <v>25</v>
      </c>
      <c r="V1986" t="s">
        <v>17508</v>
      </c>
    </row>
    <row r="1987" spans="1:22">
      <c r="A1987" t="s">
        <v>17509</v>
      </c>
      <c r="B1987" t="s">
        <v>17509</v>
      </c>
      <c r="C1987" t="s">
        <v>17510</v>
      </c>
      <c r="D1987" t="s">
        <v>21</v>
      </c>
      <c r="E1987" s="14" t="s">
        <v>17055</v>
      </c>
      <c r="F1987" t="s">
        <v>257</v>
      </c>
      <c r="G1987" s="17" t="str">
        <f>Config!$B$3</f>
        <v>SCH/R_IEC.SchLib</v>
      </c>
      <c r="H1987" t="s">
        <v>419</v>
      </c>
      <c r="I1987" t="s">
        <v>461</v>
      </c>
      <c r="J1987" t="s">
        <v>18033</v>
      </c>
      <c r="M1987" s="3">
        <v>22000</v>
      </c>
      <c r="N1987" t="s">
        <v>17056</v>
      </c>
      <c r="O1987" t="s">
        <v>477</v>
      </c>
      <c r="P1987" t="s">
        <v>17511</v>
      </c>
      <c r="Q1987" t="s">
        <v>25</v>
      </c>
      <c r="R1987" t="s">
        <v>17512</v>
      </c>
      <c r="S1987" t="s">
        <v>477</v>
      </c>
      <c r="T1987" t="s">
        <v>17513</v>
      </c>
      <c r="U1987" t="s">
        <v>25</v>
      </c>
      <c r="V1987" t="s">
        <v>17514</v>
      </c>
    </row>
    <row r="1988" spans="1:22">
      <c r="A1988" t="s">
        <v>17515</v>
      </c>
      <c r="B1988" t="s">
        <v>17515</v>
      </c>
      <c r="C1988" t="s">
        <v>17516</v>
      </c>
      <c r="D1988" t="s">
        <v>21</v>
      </c>
      <c r="E1988" s="14" t="s">
        <v>17055</v>
      </c>
      <c r="F1988" t="s">
        <v>259</v>
      </c>
      <c r="G1988" s="17" t="str">
        <f>Config!$B$3</f>
        <v>SCH/R_IEC.SchLib</v>
      </c>
      <c r="H1988" t="s">
        <v>419</v>
      </c>
      <c r="I1988" t="s">
        <v>461</v>
      </c>
      <c r="J1988" t="s">
        <v>18033</v>
      </c>
      <c r="M1988" s="3">
        <v>24000</v>
      </c>
      <c r="N1988" t="s">
        <v>17056</v>
      </c>
      <c r="O1988" t="s">
        <v>477</v>
      </c>
      <c r="P1988" t="s">
        <v>17517</v>
      </c>
      <c r="Q1988" t="s">
        <v>25</v>
      </c>
      <c r="R1988" t="s">
        <v>17518</v>
      </c>
    </row>
    <row r="1989" spans="1:22">
      <c r="A1989" t="s">
        <v>17519</v>
      </c>
      <c r="B1989" t="s">
        <v>17519</v>
      </c>
      <c r="C1989" t="s">
        <v>17520</v>
      </c>
      <c r="D1989" t="s">
        <v>21</v>
      </c>
      <c r="E1989" s="14" t="s">
        <v>17055</v>
      </c>
      <c r="F1989" t="s">
        <v>263</v>
      </c>
      <c r="G1989" s="17" t="str">
        <f>Config!$B$3</f>
        <v>SCH/R_IEC.SchLib</v>
      </c>
      <c r="H1989" t="s">
        <v>419</v>
      </c>
      <c r="I1989" t="s">
        <v>461</v>
      </c>
      <c r="J1989" t="s">
        <v>18033</v>
      </c>
      <c r="M1989" s="3">
        <v>27000</v>
      </c>
      <c r="N1989" t="s">
        <v>17056</v>
      </c>
      <c r="O1989" t="s">
        <v>477</v>
      </c>
      <c r="P1989" t="s">
        <v>17521</v>
      </c>
      <c r="Q1989" t="s">
        <v>25</v>
      </c>
      <c r="R1989" t="s">
        <v>17522</v>
      </c>
      <c r="S1989" t="s">
        <v>477</v>
      </c>
      <c r="T1989" t="s">
        <v>17523</v>
      </c>
      <c r="U1989" t="s">
        <v>25</v>
      </c>
      <c r="V1989" t="s">
        <v>17524</v>
      </c>
    </row>
    <row r="1990" spans="1:22">
      <c r="A1990" t="s">
        <v>17525</v>
      </c>
      <c r="B1990" t="s">
        <v>17525</v>
      </c>
      <c r="C1990" t="s">
        <v>17526</v>
      </c>
      <c r="D1990" t="s">
        <v>21</v>
      </c>
      <c r="E1990" s="14" t="s">
        <v>17055</v>
      </c>
      <c r="F1990" t="s">
        <v>265</v>
      </c>
      <c r="G1990" s="17" t="str">
        <f>Config!$B$3</f>
        <v>SCH/R_IEC.SchLib</v>
      </c>
      <c r="H1990" t="s">
        <v>419</v>
      </c>
      <c r="I1990" t="s">
        <v>461</v>
      </c>
      <c r="J1990" t="s">
        <v>18033</v>
      </c>
      <c r="M1990" s="3">
        <v>30000</v>
      </c>
      <c r="N1990" t="s">
        <v>17056</v>
      </c>
      <c r="O1990" t="s">
        <v>477</v>
      </c>
      <c r="P1990" t="s">
        <v>17527</v>
      </c>
      <c r="Q1990" t="s">
        <v>25</v>
      </c>
      <c r="R1990" t="s">
        <v>17528</v>
      </c>
      <c r="S1990" t="s">
        <v>477</v>
      </c>
      <c r="T1990" t="s">
        <v>17529</v>
      </c>
      <c r="U1990" t="s">
        <v>25</v>
      </c>
      <c r="V1990" t="s">
        <v>17530</v>
      </c>
    </row>
    <row r="1991" spans="1:22">
      <c r="A1991" t="s">
        <v>17531</v>
      </c>
      <c r="B1991" t="s">
        <v>17531</v>
      </c>
      <c r="C1991" t="s">
        <v>17532</v>
      </c>
      <c r="D1991" t="s">
        <v>21</v>
      </c>
      <c r="E1991" s="14" t="s">
        <v>17055</v>
      </c>
      <c r="F1991" t="s">
        <v>267</v>
      </c>
      <c r="G1991" s="17" t="str">
        <f>Config!$B$3</f>
        <v>SCH/R_IEC.SchLib</v>
      </c>
      <c r="H1991" t="s">
        <v>419</v>
      </c>
      <c r="I1991" t="s">
        <v>461</v>
      </c>
      <c r="J1991" t="s">
        <v>18033</v>
      </c>
      <c r="M1991" s="3">
        <v>33000</v>
      </c>
      <c r="N1991" t="s">
        <v>17056</v>
      </c>
      <c r="O1991" t="s">
        <v>477</v>
      </c>
      <c r="P1991" t="s">
        <v>17533</v>
      </c>
      <c r="Q1991" t="s">
        <v>25</v>
      </c>
      <c r="R1991" t="s">
        <v>17534</v>
      </c>
      <c r="S1991" t="s">
        <v>477</v>
      </c>
      <c r="T1991" t="s">
        <v>17535</v>
      </c>
      <c r="U1991" t="s">
        <v>25</v>
      </c>
      <c r="V1991" t="s">
        <v>17536</v>
      </c>
    </row>
    <row r="1992" spans="1:22">
      <c r="A1992" t="s">
        <v>17537</v>
      </c>
      <c r="B1992" t="s">
        <v>17537</v>
      </c>
      <c r="C1992" t="s">
        <v>17538</v>
      </c>
      <c r="D1992" t="s">
        <v>21</v>
      </c>
      <c r="E1992" s="14" t="s">
        <v>17055</v>
      </c>
      <c r="F1992" t="s">
        <v>269</v>
      </c>
      <c r="G1992" s="17" t="str">
        <f>Config!$B$3</f>
        <v>SCH/R_IEC.SchLib</v>
      </c>
      <c r="H1992" t="s">
        <v>419</v>
      </c>
      <c r="I1992" t="s">
        <v>461</v>
      </c>
      <c r="J1992" t="s">
        <v>18033</v>
      </c>
      <c r="M1992" s="3">
        <v>36000</v>
      </c>
      <c r="N1992" t="s">
        <v>17056</v>
      </c>
      <c r="O1992" t="s">
        <v>477</v>
      </c>
      <c r="P1992" t="s">
        <v>17539</v>
      </c>
      <c r="Q1992" t="s">
        <v>25</v>
      </c>
      <c r="R1992" t="s">
        <v>17540</v>
      </c>
    </row>
    <row r="1993" spans="1:22">
      <c r="A1993" t="s">
        <v>17541</v>
      </c>
      <c r="B1993" t="s">
        <v>17541</v>
      </c>
      <c r="C1993" t="s">
        <v>17542</v>
      </c>
      <c r="D1993" t="s">
        <v>21</v>
      </c>
      <c r="E1993" s="14" t="s">
        <v>17055</v>
      </c>
      <c r="F1993" t="s">
        <v>273</v>
      </c>
      <c r="G1993" s="17" t="str">
        <f>Config!$B$3</f>
        <v>SCH/R_IEC.SchLib</v>
      </c>
      <c r="H1993" t="s">
        <v>419</v>
      </c>
      <c r="I1993" t="s">
        <v>461</v>
      </c>
      <c r="J1993" t="s">
        <v>18033</v>
      </c>
      <c r="M1993" s="3">
        <v>39000</v>
      </c>
      <c r="N1993" t="s">
        <v>17056</v>
      </c>
      <c r="O1993" t="s">
        <v>477</v>
      </c>
      <c r="P1993" t="s">
        <v>17543</v>
      </c>
      <c r="Q1993" t="s">
        <v>25</v>
      </c>
      <c r="R1993" t="s">
        <v>17544</v>
      </c>
      <c r="S1993" t="s">
        <v>477</v>
      </c>
      <c r="T1993" t="s">
        <v>17545</v>
      </c>
      <c r="U1993" t="s">
        <v>25</v>
      </c>
      <c r="V1993" t="s">
        <v>17546</v>
      </c>
    </row>
    <row r="1994" spans="1:22">
      <c r="A1994" t="s">
        <v>17547</v>
      </c>
      <c r="B1994" t="s">
        <v>17547</v>
      </c>
      <c r="C1994" t="s">
        <v>17548</v>
      </c>
      <c r="D1994" t="s">
        <v>21</v>
      </c>
      <c r="E1994" s="14" t="s">
        <v>17055</v>
      </c>
      <c r="F1994" t="s">
        <v>277</v>
      </c>
      <c r="G1994" s="17" t="str">
        <f>Config!$B$3</f>
        <v>SCH/R_IEC.SchLib</v>
      </c>
      <c r="H1994" t="s">
        <v>419</v>
      </c>
      <c r="I1994" t="s">
        <v>461</v>
      </c>
      <c r="J1994" t="s">
        <v>18033</v>
      </c>
      <c r="M1994" s="3">
        <v>43000</v>
      </c>
      <c r="N1994" t="s">
        <v>17056</v>
      </c>
      <c r="O1994" t="s">
        <v>477</v>
      </c>
      <c r="P1994" t="s">
        <v>17549</v>
      </c>
      <c r="Q1994" t="s">
        <v>25</v>
      </c>
      <c r="R1994" t="s">
        <v>17550</v>
      </c>
    </row>
    <row r="1995" spans="1:22">
      <c r="A1995" t="s">
        <v>17551</v>
      </c>
      <c r="B1995" t="s">
        <v>17551</v>
      </c>
      <c r="C1995" t="s">
        <v>17552</v>
      </c>
      <c r="D1995" t="s">
        <v>21</v>
      </c>
      <c r="E1995" s="14" t="s">
        <v>17055</v>
      </c>
      <c r="F1995" t="s">
        <v>279</v>
      </c>
      <c r="G1995" s="17" t="str">
        <f>Config!$B$3</f>
        <v>SCH/R_IEC.SchLib</v>
      </c>
      <c r="H1995" t="s">
        <v>419</v>
      </c>
      <c r="I1995" t="s">
        <v>461</v>
      </c>
      <c r="J1995" t="s">
        <v>18033</v>
      </c>
      <c r="M1995" s="3">
        <v>47000</v>
      </c>
      <c r="N1995" t="s">
        <v>17056</v>
      </c>
      <c r="O1995" t="s">
        <v>477</v>
      </c>
      <c r="P1995" t="s">
        <v>17553</v>
      </c>
      <c r="Q1995" t="s">
        <v>25</v>
      </c>
      <c r="R1995" t="s">
        <v>17554</v>
      </c>
      <c r="S1995" t="s">
        <v>477</v>
      </c>
      <c r="T1995" t="s">
        <v>17555</v>
      </c>
      <c r="U1995" t="s">
        <v>25</v>
      </c>
      <c r="V1995" t="s">
        <v>17556</v>
      </c>
    </row>
    <row r="1996" spans="1:22">
      <c r="A1996" t="s">
        <v>17557</v>
      </c>
      <c r="B1996" t="s">
        <v>17557</v>
      </c>
      <c r="C1996" t="s">
        <v>17558</v>
      </c>
      <c r="D1996" t="s">
        <v>21</v>
      </c>
      <c r="E1996" s="14" t="s">
        <v>17055</v>
      </c>
      <c r="F1996" t="s">
        <v>283</v>
      </c>
      <c r="G1996" s="17" t="str">
        <f>Config!$B$3</f>
        <v>SCH/R_IEC.SchLib</v>
      </c>
      <c r="H1996" t="s">
        <v>419</v>
      </c>
      <c r="I1996" t="s">
        <v>461</v>
      </c>
      <c r="J1996" t="s">
        <v>18033</v>
      </c>
      <c r="M1996" s="3">
        <v>51000</v>
      </c>
      <c r="N1996" t="s">
        <v>17056</v>
      </c>
      <c r="O1996" t="s">
        <v>477</v>
      </c>
      <c r="P1996" t="s">
        <v>17559</v>
      </c>
      <c r="Q1996" t="s">
        <v>25</v>
      </c>
      <c r="R1996" t="s">
        <v>17560</v>
      </c>
      <c r="S1996" t="s">
        <v>477</v>
      </c>
      <c r="T1996" t="s">
        <v>17561</v>
      </c>
      <c r="U1996" t="s">
        <v>25</v>
      </c>
      <c r="V1996" t="s">
        <v>17562</v>
      </c>
    </row>
    <row r="1997" spans="1:22">
      <c r="A1997" t="s">
        <v>17563</v>
      </c>
      <c r="B1997" t="s">
        <v>17563</v>
      </c>
      <c r="C1997" t="s">
        <v>17564</v>
      </c>
      <c r="D1997" t="s">
        <v>21</v>
      </c>
      <c r="E1997" s="14" t="s">
        <v>17055</v>
      </c>
      <c r="F1997" t="s">
        <v>287</v>
      </c>
      <c r="G1997" s="17" t="str">
        <f>Config!$B$3</f>
        <v>SCH/R_IEC.SchLib</v>
      </c>
      <c r="H1997" t="s">
        <v>419</v>
      </c>
      <c r="I1997" t="s">
        <v>461</v>
      </c>
      <c r="J1997" t="s">
        <v>18033</v>
      </c>
      <c r="M1997" s="3">
        <v>56000</v>
      </c>
      <c r="N1997" t="s">
        <v>17056</v>
      </c>
      <c r="O1997" t="s">
        <v>477</v>
      </c>
      <c r="P1997" t="s">
        <v>17565</v>
      </c>
      <c r="Q1997" t="s">
        <v>25</v>
      </c>
      <c r="R1997" t="s">
        <v>17566</v>
      </c>
      <c r="S1997" t="s">
        <v>477</v>
      </c>
      <c r="T1997" t="s">
        <v>17567</v>
      </c>
      <c r="U1997" t="s">
        <v>25</v>
      </c>
      <c r="V1997" t="s">
        <v>17568</v>
      </c>
    </row>
    <row r="1998" spans="1:22">
      <c r="A1998" t="s">
        <v>17569</v>
      </c>
      <c r="B1998" t="s">
        <v>17569</v>
      </c>
      <c r="C1998" t="s">
        <v>17570</v>
      </c>
      <c r="D1998" t="s">
        <v>21</v>
      </c>
      <c r="E1998" s="14" t="s">
        <v>17055</v>
      </c>
      <c r="F1998" t="s">
        <v>291</v>
      </c>
      <c r="G1998" s="17" t="str">
        <f>Config!$B$3</f>
        <v>SCH/R_IEC.SchLib</v>
      </c>
      <c r="H1998" t="s">
        <v>419</v>
      </c>
      <c r="I1998" t="s">
        <v>461</v>
      </c>
      <c r="J1998" t="s">
        <v>18033</v>
      </c>
      <c r="M1998" s="3">
        <v>62000</v>
      </c>
      <c r="N1998" t="s">
        <v>17056</v>
      </c>
      <c r="O1998" t="s">
        <v>477</v>
      </c>
      <c r="P1998" t="s">
        <v>17571</v>
      </c>
      <c r="Q1998" t="s">
        <v>25</v>
      </c>
      <c r="R1998" t="s">
        <v>17572</v>
      </c>
    </row>
    <row r="1999" spans="1:22">
      <c r="A1999" t="s">
        <v>17573</v>
      </c>
      <c r="B1999" t="s">
        <v>17573</v>
      </c>
      <c r="C1999" t="s">
        <v>17574</v>
      </c>
      <c r="D1999" t="s">
        <v>21</v>
      </c>
      <c r="E1999" s="14" t="s">
        <v>17055</v>
      </c>
      <c r="F1999" t="s">
        <v>295</v>
      </c>
      <c r="G1999" s="17" t="str">
        <f>Config!$B$3</f>
        <v>SCH/R_IEC.SchLib</v>
      </c>
      <c r="H1999" t="s">
        <v>419</v>
      </c>
      <c r="I1999" t="s">
        <v>461</v>
      </c>
      <c r="J1999" t="s">
        <v>18033</v>
      </c>
      <c r="M1999" s="3">
        <v>68000</v>
      </c>
      <c r="N1999" t="s">
        <v>17056</v>
      </c>
      <c r="O1999" t="s">
        <v>477</v>
      </c>
      <c r="P1999" t="s">
        <v>17575</v>
      </c>
      <c r="Q1999" t="s">
        <v>25</v>
      </c>
      <c r="R1999" t="s">
        <v>17576</v>
      </c>
      <c r="S1999" t="s">
        <v>477</v>
      </c>
      <c r="T1999" t="s">
        <v>17577</v>
      </c>
      <c r="U1999" t="s">
        <v>25</v>
      </c>
      <c r="V1999" t="s">
        <v>17578</v>
      </c>
    </row>
    <row r="2000" spans="1:22">
      <c r="A2000" t="s">
        <v>17579</v>
      </c>
      <c r="B2000" t="s">
        <v>17579</v>
      </c>
      <c r="C2000" t="s">
        <v>17580</v>
      </c>
      <c r="D2000" t="s">
        <v>21</v>
      </c>
      <c r="E2000" s="14" t="s">
        <v>17055</v>
      </c>
      <c r="F2000" t="s">
        <v>299</v>
      </c>
      <c r="G2000" s="17" t="str">
        <f>Config!$B$3</f>
        <v>SCH/R_IEC.SchLib</v>
      </c>
      <c r="H2000" t="s">
        <v>419</v>
      </c>
      <c r="I2000" t="s">
        <v>461</v>
      </c>
      <c r="J2000" t="s">
        <v>18033</v>
      </c>
      <c r="M2000" s="3">
        <v>75000</v>
      </c>
      <c r="N2000" t="s">
        <v>17056</v>
      </c>
      <c r="O2000" t="s">
        <v>477</v>
      </c>
      <c r="P2000" t="s">
        <v>17581</v>
      </c>
      <c r="Q2000" t="s">
        <v>25</v>
      </c>
      <c r="R2000" t="s">
        <v>17582</v>
      </c>
      <c r="S2000" t="s">
        <v>477</v>
      </c>
      <c r="T2000" t="s">
        <v>17583</v>
      </c>
      <c r="U2000" t="s">
        <v>25</v>
      </c>
      <c r="V2000" t="s">
        <v>17584</v>
      </c>
    </row>
    <row r="2001" spans="1:22">
      <c r="A2001" t="s">
        <v>17585</v>
      </c>
      <c r="B2001" t="s">
        <v>17585</v>
      </c>
      <c r="C2001" t="s">
        <v>17586</v>
      </c>
      <c r="D2001" t="s">
        <v>21</v>
      </c>
      <c r="E2001" s="14" t="s">
        <v>17055</v>
      </c>
      <c r="F2001" t="s">
        <v>301</v>
      </c>
      <c r="G2001" s="17" t="str">
        <f>Config!$B$3</f>
        <v>SCH/R_IEC.SchLib</v>
      </c>
      <c r="H2001" t="s">
        <v>419</v>
      </c>
      <c r="I2001" t="s">
        <v>461</v>
      </c>
      <c r="J2001" t="s">
        <v>18033</v>
      </c>
      <c r="M2001" s="3">
        <v>82000</v>
      </c>
      <c r="N2001" t="s">
        <v>17056</v>
      </c>
      <c r="O2001" t="s">
        <v>477</v>
      </c>
      <c r="P2001" t="s">
        <v>17587</v>
      </c>
      <c r="Q2001" t="s">
        <v>25</v>
      </c>
      <c r="R2001" t="s">
        <v>17588</v>
      </c>
    </row>
    <row r="2002" spans="1:22">
      <c r="A2002" t="s">
        <v>17589</v>
      </c>
      <c r="B2002" t="s">
        <v>17589</v>
      </c>
      <c r="C2002" t="s">
        <v>17590</v>
      </c>
      <c r="D2002" t="s">
        <v>21</v>
      </c>
      <c r="E2002" s="14" t="s">
        <v>17055</v>
      </c>
      <c r="F2002" t="s">
        <v>303</v>
      </c>
      <c r="G2002" s="17" t="str">
        <f>Config!$B$3</f>
        <v>SCH/R_IEC.SchLib</v>
      </c>
      <c r="H2002" t="s">
        <v>419</v>
      </c>
      <c r="I2002" t="s">
        <v>461</v>
      </c>
      <c r="J2002" t="s">
        <v>18033</v>
      </c>
      <c r="M2002" s="3">
        <v>91000</v>
      </c>
      <c r="N2002" t="s">
        <v>17056</v>
      </c>
      <c r="O2002" t="s">
        <v>477</v>
      </c>
      <c r="P2002" t="s">
        <v>17591</v>
      </c>
      <c r="Q2002" t="s">
        <v>25</v>
      </c>
      <c r="R2002" t="s">
        <v>17592</v>
      </c>
    </row>
    <row r="2003" spans="1:22">
      <c r="A2003" t="s">
        <v>17593</v>
      </c>
      <c r="B2003" t="s">
        <v>17593</v>
      </c>
      <c r="C2003" t="s">
        <v>17594</v>
      </c>
      <c r="D2003" t="s">
        <v>21</v>
      </c>
      <c r="E2003" s="14" t="s">
        <v>17055</v>
      </c>
      <c r="F2003" t="s">
        <v>305</v>
      </c>
      <c r="G2003" s="17" t="str">
        <f>Config!$B$3</f>
        <v>SCH/R_IEC.SchLib</v>
      </c>
      <c r="H2003" t="s">
        <v>419</v>
      </c>
      <c r="I2003" t="s">
        <v>461</v>
      </c>
      <c r="J2003" t="s">
        <v>18033</v>
      </c>
      <c r="M2003" s="3">
        <v>100000</v>
      </c>
      <c r="N2003" t="s">
        <v>17056</v>
      </c>
      <c r="O2003" t="s">
        <v>477</v>
      </c>
      <c r="P2003" t="s">
        <v>17595</v>
      </c>
      <c r="Q2003" t="s">
        <v>25</v>
      </c>
      <c r="R2003" t="s">
        <v>17596</v>
      </c>
      <c r="S2003" t="s">
        <v>477</v>
      </c>
      <c r="T2003" t="s">
        <v>17597</v>
      </c>
      <c r="U2003" t="s">
        <v>25</v>
      </c>
      <c r="V2003" t="s">
        <v>17598</v>
      </c>
    </row>
    <row r="2004" spans="1:22">
      <c r="A2004" t="s">
        <v>17599</v>
      </c>
      <c r="B2004" t="s">
        <v>17599</v>
      </c>
      <c r="C2004" t="s">
        <v>17600</v>
      </c>
      <c r="D2004" t="s">
        <v>21</v>
      </c>
      <c r="E2004" s="14" t="s">
        <v>17055</v>
      </c>
      <c r="F2004" t="s">
        <v>309</v>
      </c>
      <c r="G2004" s="17" t="str">
        <f>Config!$B$3</f>
        <v>SCH/R_IEC.SchLib</v>
      </c>
      <c r="H2004" t="s">
        <v>419</v>
      </c>
      <c r="I2004" t="s">
        <v>461</v>
      </c>
      <c r="J2004" t="s">
        <v>18033</v>
      </c>
      <c r="M2004" s="3">
        <v>110000</v>
      </c>
      <c r="N2004" t="s">
        <v>17056</v>
      </c>
      <c r="O2004" t="s">
        <v>477</v>
      </c>
      <c r="P2004" t="s">
        <v>17601</v>
      </c>
      <c r="Q2004" t="s">
        <v>25</v>
      </c>
      <c r="R2004" t="s">
        <v>17602</v>
      </c>
    </row>
    <row r="2005" spans="1:22">
      <c r="A2005" t="s">
        <v>17603</v>
      </c>
      <c r="B2005" t="s">
        <v>17603</v>
      </c>
      <c r="C2005" t="s">
        <v>17604</v>
      </c>
      <c r="D2005" t="s">
        <v>21</v>
      </c>
      <c r="E2005" s="14" t="s">
        <v>17055</v>
      </c>
      <c r="F2005" t="s">
        <v>313</v>
      </c>
      <c r="G2005" s="17" t="str">
        <f>Config!$B$3</f>
        <v>SCH/R_IEC.SchLib</v>
      </c>
      <c r="H2005" t="s">
        <v>419</v>
      </c>
      <c r="I2005" t="s">
        <v>461</v>
      </c>
      <c r="J2005" t="s">
        <v>18033</v>
      </c>
      <c r="M2005" s="3">
        <v>120000</v>
      </c>
      <c r="N2005" t="s">
        <v>17056</v>
      </c>
      <c r="O2005" t="s">
        <v>477</v>
      </c>
      <c r="P2005" t="s">
        <v>17605</v>
      </c>
      <c r="Q2005" t="s">
        <v>25</v>
      </c>
      <c r="R2005" t="s">
        <v>17606</v>
      </c>
      <c r="S2005" t="s">
        <v>477</v>
      </c>
      <c r="T2005" t="s">
        <v>17607</v>
      </c>
      <c r="U2005" t="s">
        <v>25</v>
      </c>
      <c r="V2005" t="s">
        <v>17608</v>
      </c>
    </row>
    <row r="2006" spans="1:22">
      <c r="A2006" t="s">
        <v>17609</v>
      </c>
      <c r="B2006" t="s">
        <v>17609</v>
      </c>
      <c r="C2006" t="s">
        <v>17610</v>
      </c>
      <c r="D2006" t="s">
        <v>21</v>
      </c>
      <c r="E2006" s="14" t="s">
        <v>17055</v>
      </c>
      <c r="F2006" t="s">
        <v>317</v>
      </c>
      <c r="G2006" s="17" t="str">
        <f>Config!$B$3</f>
        <v>SCH/R_IEC.SchLib</v>
      </c>
      <c r="H2006" t="s">
        <v>419</v>
      </c>
      <c r="I2006" t="s">
        <v>461</v>
      </c>
      <c r="J2006" t="s">
        <v>18033</v>
      </c>
      <c r="M2006" s="3">
        <v>130000</v>
      </c>
      <c r="N2006" t="s">
        <v>17056</v>
      </c>
      <c r="O2006" t="s">
        <v>477</v>
      </c>
      <c r="P2006" t="s">
        <v>17611</v>
      </c>
      <c r="Q2006" t="s">
        <v>25</v>
      </c>
      <c r="R2006" t="s">
        <v>17612</v>
      </c>
    </row>
    <row r="2007" spans="1:22">
      <c r="A2007" t="s">
        <v>17613</v>
      </c>
      <c r="B2007" t="s">
        <v>17613</v>
      </c>
      <c r="C2007" t="s">
        <v>17614</v>
      </c>
      <c r="D2007" t="s">
        <v>21</v>
      </c>
      <c r="E2007" s="14" t="s">
        <v>17055</v>
      </c>
      <c r="F2007" t="s">
        <v>321</v>
      </c>
      <c r="G2007" s="17" t="str">
        <f>Config!$B$3</f>
        <v>SCH/R_IEC.SchLib</v>
      </c>
      <c r="H2007" t="s">
        <v>419</v>
      </c>
      <c r="I2007" t="s">
        <v>461</v>
      </c>
      <c r="J2007" t="s">
        <v>18033</v>
      </c>
      <c r="M2007" s="3">
        <v>150000</v>
      </c>
      <c r="N2007" t="s">
        <v>17056</v>
      </c>
      <c r="O2007" t="s">
        <v>477</v>
      </c>
      <c r="P2007" t="s">
        <v>17615</v>
      </c>
      <c r="Q2007" t="s">
        <v>25</v>
      </c>
      <c r="R2007" t="s">
        <v>17616</v>
      </c>
      <c r="S2007" t="s">
        <v>477</v>
      </c>
      <c r="T2007" t="s">
        <v>17617</v>
      </c>
      <c r="U2007" t="s">
        <v>25</v>
      </c>
      <c r="V2007" t="s">
        <v>17618</v>
      </c>
    </row>
    <row r="2008" spans="1:22">
      <c r="A2008" t="s">
        <v>17619</v>
      </c>
      <c r="B2008" t="s">
        <v>17619</v>
      </c>
      <c r="C2008" t="s">
        <v>17620</v>
      </c>
      <c r="D2008" t="s">
        <v>21</v>
      </c>
      <c r="E2008" s="14" t="s">
        <v>17055</v>
      </c>
      <c r="F2008" t="s">
        <v>323</v>
      </c>
      <c r="G2008" s="17" t="str">
        <f>Config!$B$3</f>
        <v>SCH/R_IEC.SchLib</v>
      </c>
      <c r="H2008" t="s">
        <v>419</v>
      </c>
      <c r="I2008" t="s">
        <v>461</v>
      </c>
      <c r="J2008" t="s">
        <v>18033</v>
      </c>
      <c r="M2008" s="3">
        <v>160000</v>
      </c>
      <c r="N2008" t="s">
        <v>17056</v>
      </c>
      <c r="O2008" t="s">
        <v>477</v>
      </c>
      <c r="P2008" t="s">
        <v>17621</v>
      </c>
      <c r="Q2008" t="s">
        <v>25</v>
      </c>
      <c r="R2008" t="s">
        <v>17622</v>
      </c>
    </row>
    <row r="2009" spans="1:22">
      <c r="A2009" t="s">
        <v>17623</v>
      </c>
      <c r="B2009" t="s">
        <v>17623</v>
      </c>
      <c r="C2009" t="s">
        <v>17624</v>
      </c>
      <c r="D2009" t="s">
        <v>21</v>
      </c>
      <c r="E2009" s="14" t="s">
        <v>17055</v>
      </c>
      <c r="F2009" t="s">
        <v>327</v>
      </c>
      <c r="G2009" s="17" t="str">
        <f>Config!$B$3</f>
        <v>SCH/R_IEC.SchLib</v>
      </c>
      <c r="H2009" t="s">
        <v>419</v>
      </c>
      <c r="I2009" t="s">
        <v>461</v>
      </c>
      <c r="J2009" t="s">
        <v>18033</v>
      </c>
      <c r="M2009" s="3">
        <v>180000</v>
      </c>
      <c r="N2009" t="s">
        <v>17056</v>
      </c>
      <c r="O2009" t="s">
        <v>477</v>
      </c>
      <c r="P2009" t="s">
        <v>17625</v>
      </c>
      <c r="Q2009" t="s">
        <v>25</v>
      </c>
      <c r="R2009" t="s">
        <v>17626</v>
      </c>
    </row>
    <row r="2010" spans="1:22">
      <c r="A2010" t="s">
        <v>17627</v>
      </c>
      <c r="B2010" t="s">
        <v>17627</v>
      </c>
      <c r="C2010" t="s">
        <v>17628</v>
      </c>
      <c r="D2010" t="s">
        <v>21</v>
      </c>
      <c r="E2010" s="14" t="s">
        <v>17055</v>
      </c>
      <c r="F2010" t="s">
        <v>331</v>
      </c>
      <c r="G2010" s="17" t="str">
        <f>Config!$B$3</f>
        <v>SCH/R_IEC.SchLib</v>
      </c>
      <c r="H2010" t="s">
        <v>419</v>
      </c>
      <c r="I2010" t="s">
        <v>461</v>
      </c>
      <c r="J2010" t="s">
        <v>18033</v>
      </c>
      <c r="M2010" s="3">
        <v>200000</v>
      </c>
      <c r="N2010" t="s">
        <v>17056</v>
      </c>
      <c r="O2010" t="s">
        <v>477</v>
      </c>
      <c r="P2010" t="s">
        <v>17629</v>
      </c>
      <c r="Q2010" t="s">
        <v>25</v>
      </c>
      <c r="R2010" t="s">
        <v>17630</v>
      </c>
      <c r="S2010" t="s">
        <v>477</v>
      </c>
      <c r="T2010" t="s">
        <v>17631</v>
      </c>
      <c r="U2010" t="s">
        <v>25</v>
      </c>
      <c r="V2010" t="s">
        <v>17632</v>
      </c>
    </row>
    <row r="2011" spans="1:22">
      <c r="A2011" t="s">
        <v>17633</v>
      </c>
      <c r="B2011" t="s">
        <v>17633</v>
      </c>
      <c r="C2011" t="s">
        <v>17634</v>
      </c>
      <c r="D2011" t="s">
        <v>21</v>
      </c>
      <c r="E2011" s="14" t="s">
        <v>17055</v>
      </c>
      <c r="F2011" t="s">
        <v>333</v>
      </c>
      <c r="G2011" s="17" t="str">
        <f>Config!$B$3</f>
        <v>SCH/R_IEC.SchLib</v>
      </c>
      <c r="H2011" t="s">
        <v>419</v>
      </c>
      <c r="I2011" t="s">
        <v>461</v>
      </c>
      <c r="J2011" t="s">
        <v>18033</v>
      </c>
      <c r="M2011" s="3">
        <v>220000</v>
      </c>
      <c r="N2011" t="s">
        <v>17056</v>
      </c>
      <c r="O2011" t="s">
        <v>477</v>
      </c>
      <c r="P2011" t="s">
        <v>17635</v>
      </c>
      <c r="Q2011" t="s">
        <v>25</v>
      </c>
      <c r="R2011" t="s">
        <v>17636</v>
      </c>
    </row>
    <row r="2012" spans="1:22">
      <c r="A2012" t="s">
        <v>17637</v>
      </c>
      <c r="B2012" t="s">
        <v>17637</v>
      </c>
      <c r="C2012" t="s">
        <v>17638</v>
      </c>
      <c r="D2012" t="s">
        <v>21</v>
      </c>
      <c r="E2012" s="14" t="s">
        <v>17055</v>
      </c>
      <c r="F2012" t="s">
        <v>335</v>
      </c>
      <c r="G2012" s="17" t="str">
        <f>Config!$B$3</f>
        <v>SCH/R_IEC.SchLib</v>
      </c>
      <c r="H2012" t="s">
        <v>419</v>
      </c>
      <c r="I2012" t="s">
        <v>461</v>
      </c>
      <c r="J2012" t="s">
        <v>18033</v>
      </c>
      <c r="M2012" s="3">
        <v>240000</v>
      </c>
      <c r="N2012" t="s">
        <v>17056</v>
      </c>
      <c r="O2012" t="s">
        <v>477</v>
      </c>
      <c r="P2012" t="s">
        <v>17639</v>
      </c>
      <c r="Q2012" t="s">
        <v>25</v>
      </c>
      <c r="R2012" t="s">
        <v>17640</v>
      </c>
    </row>
    <row r="2013" spans="1:22">
      <c r="A2013" t="s">
        <v>17641</v>
      </c>
      <c r="B2013" t="s">
        <v>17641</v>
      </c>
      <c r="C2013" t="s">
        <v>17642</v>
      </c>
      <c r="D2013" t="s">
        <v>21</v>
      </c>
      <c r="E2013" s="14" t="s">
        <v>17055</v>
      </c>
      <c r="F2013" t="s">
        <v>337</v>
      </c>
      <c r="G2013" s="17" t="str">
        <f>Config!$B$3</f>
        <v>SCH/R_IEC.SchLib</v>
      </c>
      <c r="H2013" t="s">
        <v>419</v>
      </c>
      <c r="I2013" t="s">
        <v>461</v>
      </c>
      <c r="J2013" t="s">
        <v>18033</v>
      </c>
      <c r="M2013" s="3">
        <v>270000</v>
      </c>
      <c r="N2013" t="s">
        <v>17056</v>
      </c>
      <c r="O2013" t="s">
        <v>477</v>
      </c>
      <c r="P2013" t="s">
        <v>17643</v>
      </c>
      <c r="Q2013" t="s">
        <v>25</v>
      </c>
      <c r="R2013" t="s">
        <v>17644</v>
      </c>
    </row>
    <row r="2014" spans="1:22">
      <c r="A2014" t="s">
        <v>17645</v>
      </c>
      <c r="B2014" t="s">
        <v>17645</v>
      </c>
      <c r="C2014" t="s">
        <v>17646</v>
      </c>
      <c r="D2014" t="s">
        <v>21</v>
      </c>
      <c r="E2014" s="14" t="s">
        <v>17055</v>
      </c>
      <c r="F2014" t="s">
        <v>339</v>
      </c>
      <c r="G2014" s="17" t="str">
        <f>Config!$B$3</f>
        <v>SCH/R_IEC.SchLib</v>
      </c>
      <c r="H2014" t="s">
        <v>419</v>
      </c>
      <c r="I2014" t="s">
        <v>461</v>
      </c>
      <c r="J2014" t="s">
        <v>18033</v>
      </c>
      <c r="M2014" s="3">
        <v>300000</v>
      </c>
      <c r="N2014" t="s">
        <v>17056</v>
      </c>
      <c r="O2014" t="s">
        <v>477</v>
      </c>
      <c r="P2014" t="s">
        <v>17647</v>
      </c>
      <c r="Q2014" t="s">
        <v>25</v>
      </c>
      <c r="R2014" t="s">
        <v>17648</v>
      </c>
    </row>
    <row r="2015" spans="1:22">
      <c r="A2015" t="s">
        <v>17649</v>
      </c>
      <c r="B2015" t="s">
        <v>17649</v>
      </c>
      <c r="C2015" t="s">
        <v>17650</v>
      </c>
      <c r="D2015" t="s">
        <v>21</v>
      </c>
      <c r="E2015" s="14" t="s">
        <v>17055</v>
      </c>
      <c r="F2015" t="s">
        <v>341</v>
      </c>
      <c r="G2015" s="17" t="str">
        <f>Config!$B$3</f>
        <v>SCH/R_IEC.SchLib</v>
      </c>
      <c r="H2015" t="s">
        <v>419</v>
      </c>
      <c r="I2015" t="s">
        <v>461</v>
      </c>
      <c r="J2015" t="s">
        <v>18033</v>
      </c>
      <c r="M2015" s="3">
        <v>330000</v>
      </c>
      <c r="N2015" t="s">
        <v>17056</v>
      </c>
      <c r="O2015" t="s">
        <v>477</v>
      </c>
      <c r="P2015" t="s">
        <v>17651</v>
      </c>
      <c r="Q2015" t="s">
        <v>25</v>
      </c>
      <c r="R2015" t="s">
        <v>17652</v>
      </c>
    </row>
    <row r="2016" spans="1:22">
      <c r="A2016" t="s">
        <v>17653</v>
      </c>
      <c r="B2016" t="s">
        <v>17653</v>
      </c>
      <c r="C2016" t="s">
        <v>17654</v>
      </c>
      <c r="D2016" t="s">
        <v>21</v>
      </c>
      <c r="E2016" s="14" t="s">
        <v>17055</v>
      </c>
      <c r="F2016" t="s">
        <v>345</v>
      </c>
      <c r="G2016" s="17" t="str">
        <f>Config!$B$3</f>
        <v>SCH/R_IEC.SchLib</v>
      </c>
      <c r="H2016" t="s">
        <v>419</v>
      </c>
      <c r="I2016" t="s">
        <v>461</v>
      </c>
      <c r="J2016" t="s">
        <v>18033</v>
      </c>
      <c r="M2016" s="3">
        <v>360000</v>
      </c>
      <c r="N2016" t="s">
        <v>17056</v>
      </c>
      <c r="O2016" t="s">
        <v>477</v>
      </c>
      <c r="P2016" t="s">
        <v>17655</v>
      </c>
      <c r="Q2016" t="s">
        <v>25</v>
      </c>
      <c r="R2016" t="s">
        <v>17656</v>
      </c>
    </row>
    <row r="2017" spans="1:22">
      <c r="A2017" t="s">
        <v>17657</v>
      </c>
      <c r="B2017" t="s">
        <v>17657</v>
      </c>
      <c r="C2017" t="s">
        <v>17658</v>
      </c>
      <c r="D2017" t="s">
        <v>21</v>
      </c>
      <c r="E2017" s="14" t="s">
        <v>17055</v>
      </c>
      <c r="F2017" t="s">
        <v>349</v>
      </c>
      <c r="G2017" s="17" t="str">
        <f>Config!$B$3</f>
        <v>SCH/R_IEC.SchLib</v>
      </c>
      <c r="H2017" t="s">
        <v>419</v>
      </c>
      <c r="I2017" t="s">
        <v>461</v>
      </c>
      <c r="J2017" t="s">
        <v>18033</v>
      </c>
      <c r="M2017" s="3">
        <v>390000</v>
      </c>
      <c r="N2017" t="s">
        <v>17056</v>
      </c>
      <c r="O2017" t="s">
        <v>477</v>
      </c>
      <c r="P2017" t="s">
        <v>17659</v>
      </c>
      <c r="Q2017" t="s">
        <v>25</v>
      </c>
      <c r="R2017" t="s">
        <v>17660</v>
      </c>
    </row>
    <row r="2018" spans="1:22">
      <c r="A2018" t="s">
        <v>17661</v>
      </c>
      <c r="B2018" t="s">
        <v>17661</v>
      </c>
      <c r="C2018" t="s">
        <v>17662</v>
      </c>
      <c r="D2018" t="s">
        <v>21</v>
      </c>
      <c r="E2018" s="14" t="s">
        <v>17055</v>
      </c>
      <c r="F2018" t="s">
        <v>351</v>
      </c>
      <c r="G2018" s="17" t="str">
        <f>Config!$B$3</f>
        <v>SCH/R_IEC.SchLib</v>
      </c>
      <c r="H2018" t="s">
        <v>419</v>
      </c>
      <c r="I2018" t="s">
        <v>461</v>
      </c>
      <c r="J2018" t="s">
        <v>18033</v>
      </c>
      <c r="M2018" s="3">
        <v>430000</v>
      </c>
      <c r="N2018" t="s">
        <v>17056</v>
      </c>
      <c r="O2018" t="s">
        <v>477</v>
      </c>
      <c r="P2018" t="s">
        <v>17663</v>
      </c>
      <c r="Q2018" t="s">
        <v>25</v>
      </c>
      <c r="R2018" t="s">
        <v>17664</v>
      </c>
    </row>
    <row r="2019" spans="1:22">
      <c r="A2019" t="s">
        <v>17665</v>
      </c>
      <c r="B2019" t="s">
        <v>17665</v>
      </c>
      <c r="C2019" t="s">
        <v>17666</v>
      </c>
      <c r="D2019" t="s">
        <v>21</v>
      </c>
      <c r="E2019" s="14" t="s">
        <v>17055</v>
      </c>
      <c r="F2019" t="s">
        <v>353</v>
      </c>
      <c r="G2019" s="17" t="str">
        <f>Config!$B$3</f>
        <v>SCH/R_IEC.SchLib</v>
      </c>
      <c r="H2019" t="s">
        <v>419</v>
      </c>
      <c r="I2019" t="s">
        <v>461</v>
      </c>
      <c r="J2019" t="s">
        <v>18033</v>
      </c>
      <c r="M2019" s="3">
        <v>470000</v>
      </c>
      <c r="N2019" t="s">
        <v>17056</v>
      </c>
      <c r="O2019" t="s">
        <v>477</v>
      </c>
      <c r="P2019" t="s">
        <v>17667</v>
      </c>
      <c r="Q2019" t="s">
        <v>25</v>
      </c>
      <c r="R2019" t="s">
        <v>17668</v>
      </c>
      <c r="S2019" t="s">
        <v>477</v>
      </c>
      <c r="T2019" t="s">
        <v>17669</v>
      </c>
      <c r="U2019" t="s">
        <v>25</v>
      </c>
      <c r="V2019" t="s">
        <v>17670</v>
      </c>
    </row>
    <row r="2020" spans="1:22">
      <c r="A2020" t="s">
        <v>17671</v>
      </c>
      <c r="B2020" t="s">
        <v>17671</v>
      </c>
      <c r="C2020" t="s">
        <v>17672</v>
      </c>
      <c r="D2020" t="s">
        <v>21</v>
      </c>
      <c r="E2020" s="14" t="s">
        <v>17055</v>
      </c>
      <c r="F2020" t="s">
        <v>355</v>
      </c>
      <c r="G2020" s="17" t="str">
        <f>Config!$B$3</f>
        <v>SCH/R_IEC.SchLib</v>
      </c>
      <c r="H2020" t="s">
        <v>419</v>
      </c>
      <c r="I2020" t="s">
        <v>461</v>
      </c>
      <c r="J2020" t="s">
        <v>18033</v>
      </c>
      <c r="M2020" s="3">
        <v>510000</v>
      </c>
      <c r="N2020" t="s">
        <v>17056</v>
      </c>
      <c r="O2020" t="s">
        <v>477</v>
      </c>
      <c r="P2020" t="s">
        <v>17673</v>
      </c>
      <c r="Q2020" t="s">
        <v>25</v>
      </c>
      <c r="R2020" t="s">
        <v>17674</v>
      </c>
    </row>
    <row r="2021" spans="1:22">
      <c r="A2021" t="s">
        <v>17675</v>
      </c>
      <c r="B2021" t="s">
        <v>17675</v>
      </c>
      <c r="C2021" t="s">
        <v>17676</v>
      </c>
      <c r="D2021" t="s">
        <v>21</v>
      </c>
      <c r="E2021" s="14" t="s">
        <v>17055</v>
      </c>
      <c r="F2021" t="s">
        <v>357</v>
      </c>
      <c r="G2021" s="17" t="str">
        <f>Config!$B$3</f>
        <v>SCH/R_IEC.SchLib</v>
      </c>
      <c r="H2021" t="s">
        <v>419</v>
      </c>
      <c r="I2021" t="s">
        <v>461</v>
      </c>
      <c r="J2021" t="s">
        <v>18033</v>
      </c>
      <c r="M2021" s="3">
        <v>560000</v>
      </c>
      <c r="N2021" t="s">
        <v>17056</v>
      </c>
      <c r="O2021" t="s">
        <v>477</v>
      </c>
      <c r="P2021" t="s">
        <v>17677</v>
      </c>
      <c r="Q2021" t="s">
        <v>25</v>
      </c>
      <c r="R2021" t="s">
        <v>17678</v>
      </c>
    </row>
    <row r="2022" spans="1:22">
      <c r="A2022" t="s">
        <v>17679</v>
      </c>
      <c r="B2022" t="s">
        <v>17679</v>
      </c>
      <c r="C2022" t="s">
        <v>17680</v>
      </c>
      <c r="D2022" t="s">
        <v>21</v>
      </c>
      <c r="E2022" s="14" t="s">
        <v>17055</v>
      </c>
      <c r="F2022" t="s">
        <v>359</v>
      </c>
      <c r="G2022" s="17" t="str">
        <f>Config!$B$3</f>
        <v>SCH/R_IEC.SchLib</v>
      </c>
      <c r="H2022" t="s">
        <v>419</v>
      </c>
      <c r="I2022" t="s">
        <v>461</v>
      </c>
      <c r="J2022" t="s">
        <v>18033</v>
      </c>
      <c r="M2022" s="3">
        <v>620000</v>
      </c>
      <c r="N2022" t="s">
        <v>17056</v>
      </c>
      <c r="O2022" t="s">
        <v>477</v>
      </c>
      <c r="P2022" t="s">
        <v>17681</v>
      </c>
      <c r="Q2022" t="s">
        <v>25</v>
      </c>
      <c r="R2022" t="s">
        <v>17682</v>
      </c>
    </row>
    <row r="2023" spans="1:22">
      <c r="A2023" t="s">
        <v>17683</v>
      </c>
      <c r="B2023" t="s">
        <v>17683</v>
      </c>
      <c r="C2023" t="s">
        <v>17684</v>
      </c>
      <c r="D2023" t="s">
        <v>21</v>
      </c>
      <c r="E2023" s="14" t="s">
        <v>17055</v>
      </c>
      <c r="F2023" t="s">
        <v>361</v>
      </c>
      <c r="G2023" s="17" t="str">
        <f>Config!$B$3</f>
        <v>SCH/R_IEC.SchLib</v>
      </c>
      <c r="H2023" t="s">
        <v>419</v>
      </c>
      <c r="I2023" t="s">
        <v>461</v>
      </c>
      <c r="J2023" t="s">
        <v>18033</v>
      </c>
      <c r="M2023" s="3">
        <v>680000</v>
      </c>
      <c r="N2023" t="s">
        <v>17056</v>
      </c>
      <c r="O2023" t="s">
        <v>477</v>
      </c>
      <c r="P2023" t="s">
        <v>17685</v>
      </c>
      <c r="Q2023" t="s">
        <v>25</v>
      </c>
      <c r="R2023" t="s">
        <v>17686</v>
      </c>
    </row>
    <row r="2024" spans="1:22">
      <c r="A2024" t="s">
        <v>17687</v>
      </c>
      <c r="B2024" t="s">
        <v>17687</v>
      </c>
      <c r="C2024" t="s">
        <v>17688</v>
      </c>
      <c r="D2024" t="s">
        <v>21</v>
      </c>
      <c r="E2024" s="14" t="s">
        <v>17055</v>
      </c>
      <c r="F2024" t="s">
        <v>363</v>
      </c>
      <c r="G2024" s="17" t="str">
        <f>Config!$B$3</f>
        <v>SCH/R_IEC.SchLib</v>
      </c>
      <c r="H2024" t="s">
        <v>419</v>
      </c>
      <c r="I2024" t="s">
        <v>461</v>
      </c>
      <c r="J2024" t="s">
        <v>18033</v>
      </c>
      <c r="M2024" s="3">
        <v>750000</v>
      </c>
      <c r="N2024" t="s">
        <v>17056</v>
      </c>
      <c r="O2024" t="s">
        <v>477</v>
      </c>
      <c r="P2024" t="s">
        <v>17689</v>
      </c>
      <c r="Q2024" t="s">
        <v>25</v>
      </c>
      <c r="R2024" t="s">
        <v>17690</v>
      </c>
    </row>
    <row r="2025" spans="1:22">
      <c r="A2025" t="s">
        <v>17691</v>
      </c>
      <c r="B2025" t="s">
        <v>17691</v>
      </c>
      <c r="C2025" t="s">
        <v>17692</v>
      </c>
      <c r="D2025" t="s">
        <v>21</v>
      </c>
      <c r="E2025" s="14" t="s">
        <v>17055</v>
      </c>
      <c r="F2025" t="s">
        <v>365</v>
      </c>
      <c r="G2025" s="17" t="str">
        <f>Config!$B$3</f>
        <v>SCH/R_IEC.SchLib</v>
      </c>
      <c r="H2025" t="s">
        <v>419</v>
      </c>
      <c r="I2025" t="s">
        <v>461</v>
      </c>
      <c r="J2025" t="s">
        <v>18033</v>
      </c>
      <c r="M2025" s="3">
        <v>820000</v>
      </c>
      <c r="N2025" t="s">
        <v>17056</v>
      </c>
      <c r="O2025" t="s">
        <v>477</v>
      </c>
      <c r="P2025" t="s">
        <v>17693</v>
      </c>
      <c r="Q2025" t="s">
        <v>25</v>
      </c>
      <c r="R2025" t="s">
        <v>17694</v>
      </c>
    </row>
    <row r="2026" spans="1:22">
      <c r="A2026" t="s">
        <v>17695</v>
      </c>
      <c r="B2026" t="s">
        <v>17695</v>
      </c>
      <c r="C2026" t="s">
        <v>17696</v>
      </c>
      <c r="D2026" t="s">
        <v>21</v>
      </c>
      <c r="E2026" s="14" t="s">
        <v>17055</v>
      </c>
      <c r="F2026" t="s">
        <v>367</v>
      </c>
      <c r="G2026" s="17" t="str">
        <f>Config!$B$3</f>
        <v>SCH/R_IEC.SchLib</v>
      </c>
      <c r="H2026" t="s">
        <v>419</v>
      </c>
      <c r="I2026" t="s">
        <v>461</v>
      </c>
      <c r="J2026" t="s">
        <v>18033</v>
      </c>
      <c r="M2026" s="3">
        <v>910000</v>
      </c>
      <c r="N2026" t="s">
        <v>17056</v>
      </c>
      <c r="O2026" t="s">
        <v>477</v>
      </c>
      <c r="P2026" t="s">
        <v>17697</v>
      </c>
      <c r="Q2026" t="s">
        <v>25</v>
      </c>
      <c r="R2026" t="s">
        <v>17698</v>
      </c>
    </row>
    <row r="2027" spans="1:22">
      <c r="A2027" t="s">
        <v>17699</v>
      </c>
      <c r="B2027" t="s">
        <v>17699</v>
      </c>
      <c r="C2027" t="s">
        <v>17700</v>
      </c>
      <c r="D2027" t="s">
        <v>21</v>
      </c>
      <c r="E2027" s="14" t="s">
        <v>17055</v>
      </c>
      <c r="F2027" t="s">
        <v>369</v>
      </c>
      <c r="G2027" s="17" t="str">
        <f>Config!$B$3</f>
        <v>SCH/R_IEC.SchLib</v>
      </c>
      <c r="H2027" t="s">
        <v>419</v>
      </c>
      <c r="I2027" t="s">
        <v>461</v>
      </c>
      <c r="J2027" t="s">
        <v>18033</v>
      </c>
      <c r="M2027" s="3">
        <v>1000000</v>
      </c>
      <c r="N2027" t="s">
        <v>17056</v>
      </c>
      <c r="O2027" t="s">
        <v>477</v>
      </c>
      <c r="P2027" t="s">
        <v>17701</v>
      </c>
      <c r="Q2027" t="s">
        <v>25</v>
      </c>
      <c r="R2027" t="s">
        <v>17702</v>
      </c>
      <c r="S2027" t="s">
        <v>477</v>
      </c>
      <c r="T2027" t="s">
        <v>17703</v>
      </c>
      <c r="U2027" t="s">
        <v>25</v>
      </c>
      <c r="V2027" t="s">
        <v>17704</v>
      </c>
    </row>
    <row r="2028" spans="1:22">
      <c r="A2028" t="s">
        <v>17705</v>
      </c>
      <c r="B2028" t="s">
        <v>17705</v>
      </c>
      <c r="C2028" t="s">
        <v>17706</v>
      </c>
      <c r="D2028" t="s">
        <v>21</v>
      </c>
      <c r="E2028" s="14" t="s">
        <v>17055</v>
      </c>
      <c r="F2028" t="s">
        <v>371</v>
      </c>
      <c r="G2028" s="17" t="str">
        <f>Config!$B$3</f>
        <v>SCH/R_IEC.SchLib</v>
      </c>
      <c r="H2028" t="s">
        <v>419</v>
      </c>
      <c r="I2028" t="s">
        <v>461</v>
      </c>
      <c r="J2028" t="s">
        <v>18033</v>
      </c>
      <c r="M2028" s="3">
        <v>1100000</v>
      </c>
      <c r="N2028" t="s">
        <v>17056</v>
      </c>
      <c r="O2028" t="s">
        <v>477</v>
      </c>
      <c r="P2028" t="s">
        <v>17707</v>
      </c>
      <c r="Q2028" t="s">
        <v>25</v>
      </c>
      <c r="R2028" t="s">
        <v>17708</v>
      </c>
    </row>
    <row r="2029" spans="1:22">
      <c r="A2029" t="s">
        <v>17709</v>
      </c>
      <c r="B2029" t="s">
        <v>17709</v>
      </c>
      <c r="C2029" t="s">
        <v>17710</v>
      </c>
      <c r="D2029" t="s">
        <v>21</v>
      </c>
      <c r="E2029" s="14" t="s">
        <v>17055</v>
      </c>
      <c r="F2029" t="s">
        <v>373</v>
      </c>
      <c r="G2029" s="17" t="str">
        <f>Config!$B$3</f>
        <v>SCH/R_IEC.SchLib</v>
      </c>
      <c r="H2029" t="s">
        <v>419</v>
      </c>
      <c r="I2029" t="s">
        <v>461</v>
      </c>
      <c r="J2029" t="s">
        <v>18033</v>
      </c>
      <c r="M2029" s="3">
        <v>1200000</v>
      </c>
      <c r="N2029" t="s">
        <v>17056</v>
      </c>
      <c r="O2029" t="s">
        <v>477</v>
      </c>
      <c r="P2029" t="s">
        <v>17711</v>
      </c>
      <c r="Q2029" t="s">
        <v>25</v>
      </c>
      <c r="R2029" t="s">
        <v>17712</v>
      </c>
    </row>
    <row r="2030" spans="1:22">
      <c r="A2030" t="s">
        <v>17713</v>
      </c>
      <c r="B2030" t="s">
        <v>17713</v>
      </c>
      <c r="C2030" t="s">
        <v>17714</v>
      </c>
      <c r="D2030" t="s">
        <v>21</v>
      </c>
      <c r="E2030" s="14" t="s">
        <v>17055</v>
      </c>
      <c r="F2030" t="s">
        <v>375</v>
      </c>
      <c r="G2030" s="17" t="str">
        <f>Config!$B$3</f>
        <v>SCH/R_IEC.SchLib</v>
      </c>
      <c r="H2030" t="s">
        <v>419</v>
      </c>
      <c r="I2030" t="s">
        <v>461</v>
      </c>
      <c r="J2030" t="s">
        <v>18033</v>
      </c>
      <c r="M2030" s="3">
        <v>1300000</v>
      </c>
      <c r="N2030" t="s">
        <v>17056</v>
      </c>
      <c r="O2030" t="s">
        <v>477</v>
      </c>
      <c r="P2030" t="s">
        <v>17715</v>
      </c>
      <c r="Q2030" t="s">
        <v>25</v>
      </c>
      <c r="R2030" t="s">
        <v>17716</v>
      </c>
    </row>
    <row r="2031" spans="1:22">
      <c r="A2031" t="s">
        <v>17717</v>
      </c>
      <c r="B2031" t="s">
        <v>17717</v>
      </c>
      <c r="C2031" t="s">
        <v>17718</v>
      </c>
      <c r="D2031" t="s">
        <v>21</v>
      </c>
      <c r="E2031" s="14" t="s">
        <v>17055</v>
      </c>
      <c r="F2031" t="s">
        <v>377</v>
      </c>
      <c r="G2031" s="17" t="str">
        <f>Config!$B$3</f>
        <v>SCH/R_IEC.SchLib</v>
      </c>
      <c r="H2031" t="s">
        <v>419</v>
      </c>
      <c r="I2031" t="s">
        <v>461</v>
      </c>
      <c r="J2031" t="s">
        <v>18033</v>
      </c>
      <c r="M2031" s="3">
        <v>1500000</v>
      </c>
      <c r="N2031" t="s">
        <v>17056</v>
      </c>
      <c r="O2031" t="s">
        <v>477</v>
      </c>
      <c r="P2031" t="s">
        <v>17719</v>
      </c>
      <c r="Q2031" t="s">
        <v>25</v>
      </c>
      <c r="R2031" t="s">
        <v>17720</v>
      </c>
    </row>
    <row r="2032" spans="1:22">
      <c r="A2032" t="s">
        <v>17721</v>
      </c>
      <c r="B2032" t="s">
        <v>17721</v>
      </c>
      <c r="C2032" t="s">
        <v>17722</v>
      </c>
      <c r="D2032" t="s">
        <v>21</v>
      </c>
      <c r="E2032" s="14" t="s">
        <v>17055</v>
      </c>
      <c r="F2032" t="s">
        <v>381</v>
      </c>
      <c r="G2032" s="17" t="str">
        <f>Config!$B$3</f>
        <v>SCH/R_IEC.SchLib</v>
      </c>
      <c r="H2032" t="s">
        <v>419</v>
      </c>
      <c r="I2032" t="s">
        <v>461</v>
      </c>
      <c r="J2032" t="s">
        <v>18033</v>
      </c>
      <c r="M2032" s="3">
        <v>1800000</v>
      </c>
      <c r="N2032" t="s">
        <v>17056</v>
      </c>
      <c r="O2032" t="s">
        <v>477</v>
      </c>
      <c r="P2032" t="s">
        <v>17723</v>
      </c>
      <c r="Q2032" t="s">
        <v>25</v>
      </c>
      <c r="R2032" t="s">
        <v>17724</v>
      </c>
    </row>
    <row r="2033" spans="1:18">
      <c r="A2033" t="s">
        <v>17725</v>
      </c>
      <c r="B2033" t="s">
        <v>17725</v>
      </c>
      <c r="C2033" t="s">
        <v>17726</v>
      </c>
      <c r="D2033" t="s">
        <v>21</v>
      </c>
      <c r="E2033" s="14" t="s">
        <v>17055</v>
      </c>
      <c r="F2033" t="s">
        <v>383</v>
      </c>
      <c r="G2033" s="17" t="str">
        <f>Config!$B$3</f>
        <v>SCH/R_IEC.SchLib</v>
      </c>
      <c r="H2033" t="s">
        <v>419</v>
      </c>
      <c r="I2033" t="s">
        <v>461</v>
      </c>
      <c r="J2033" t="s">
        <v>18033</v>
      </c>
      <c r="M2033" s="3">
        <v>2000000</v>
      </c>
      <c r="N2033" t="s">
        <v>17056</v>
      </c>
      <c r="O2033" t="s">
        <v>477</v>
      </c>
      <c r="P2033" t="s">
        <v>17727</v>
      </c>
      <c r="Q2033" t="s">
        <v>25</v>
      </c>
      <c r="R2033" t="s">
        <v>17728</v>
      </c>
    </row>
    <row r="2034" spans="1:18">
      <c r="A2034" t="s">
        <v>17729</v>
      </c>
      <c r="B2034" t="s">
        <v>17729</v>
      </c>
      <c r="C2034" t="s">
        <v>17730</v>
      </c>
      <c r="D2034" t="s">
        <v>21</v>
      </c>
      <c r="E2034" s="14" t="s">
        <v>17055</v>
      </c>
      <c r="F2034" t="s">
        <v>385</v>
      </c>
      <c r="G2034" s="17" t="str">
        <f>Config!$B$3</f>
        <v>SCH/R_IEC.SchLib</v>
      </c>
      <c r="H2034" t="s">
        <v>419</v>
      </c>
      <c r="I2034" t="s">
        <v>461</v>
      </c>
      <c r="J2034" t="s">
        <v>18033</v>
      </c>
      <c r="M2034" s="3">
        <v>2200000</v>
      </c>
      <c r="N2034" t="s">
        <v>17056</v>
      </c>
      <c r="O2034" t="s">
        <v>477</v>
      </c>
      <c r="P2034" t="s">
        <v>17731</v>
      </c>
      <c r="Q2034" t="s">
        <v>25</v>
      </c>
      <c r="R2034" t="s">
        <v>17732</v>
      </c>
    </row>
    <row r="2035" spans="1:18">
      <c r="A2035" t="s">
        <v>17733</v>
      </c>
      <c r="B2035" t="s">
        <v>17733</v>
      </c>
      <c r="C2035" t="s">
        <v>17734</v>
      </c>
      <c r="D2035" t="s">
        <v>21</v>
      </c>
      <c r="E2035" s="14" t="s">
        <v>17055</v>
      </c>
      <c r="F2035" t="s">
        <v>387</v>
      </c>
      <c r="G2035" s="17" t="str">
        <f>Config!$B$3</f>
        <v>SCH/R_IEC.SchLib</v>
      </c>
      <c r="H2035" t="s">
        <v>419</v>
      </c>
      <c r="I2035" t="s">
        <v>461</v>
      </c>
      <c r="J2035" t="s">
        <v>18033</v>
      </c>
      <c r="M2035" s="3">
        <v>2400000</v>
      </c>
      <c r="N2035" t="s">
        <v>17056</v>
      </c>
      <c r="O2035" t="s">
        <v>477</v>
      </c>
      <c r="P2035" t="s">
        <v>17735</v>
      </c>
      <c r="Q2035" t="s">
        <v>25</v>
      </c>
      <c r="R2035" t="s">
        <v>17736</v>
      </c>
    </row>
    <row r="2036" spans="1:18">
      <c r="A2036" t="s">
        <v>17737</v>
      </c>
      <c r="B2036" t="s">
        <v>17737</v>
      </c>
      <c r="C2036" t="s">
        <v>17738</v>
      </c>
      <c r="D2036" t="s">
        <v>21</v>
      </c>
      <c r="E2036" s="14" t="s">
        <v>17055</v>
      </c>
      <c r="F2036" t="s">
        <v>389</v>
      </c>
      <c r="G2036" s="17" t="str">
        <f>Config!$B$3</f>
        <v>SCH/R_IEC.SchLib</v>
      </c>
      <c r="H2036" t="s">
        <v>419</v>
      </c>
      <c r="I2036" t="s">
        <v>461</v>
      </c>
      <c r="J2036" t="s">
        <v>18033</v>
      </c>
      <c r="M2036" s="3">
        <v>2700000</v>
      </c>
      <c r="N2036" t="s">
        <v>17056</v>
      </c>
      <c r="O2036" t="s">
        <v>477</v>
      </c>
      <c r="P2036" t="s">
        <v>17739</v>
      </c>
      <c r="Q2036" t="s">
        <v>25</v>
      </c>
      <c r="R2036" t="s">
        <v>17740</v>
      </c>
    </row>
    <row r="2037" spans="1:18">
      <c r="A2037" t="s">
        <v>17741</v>
      </c>
      <c r="B2037" t="s">
        <v>17741</v>
      </c>
      <c r="C2037" t="s">
        <v>17742</v>
      </c>
      <c r="D2037" t="s">
        <v>21</v>
      </c>
      <c r="E2037" s="14" t="s">
        <v>17055</v>
      </c>
      <c r="F2037" t="s">
        <v>391</v>
      </c>
      <c r="G2037" s="17" t="str">
        <f>Config!$B$3</f>
        <v>SCH/R_IEC.SchLib</v>
      </c>
      <c r="H2037" t="s">
        <v>419</v>
      </c>
      <c r="I2037" t="s">
        <v>461</v>
      </c>
      <c r="J2037" t="s">
        <v>18033</v>
      </c>
      <c r="M2037" s="3">
        <v>3000000</v>
      </c>
      <c r="N2037" t="s">
        <v>17056</v>
      </c>
      <c r="O2037" t="s">
        <v>477</v>
      </c>
      <c r="P2037" t="s">
        <v>17743</v>
      </c>
      <c r="Q2037" t="s">
        <v>25</v>
      </c>
      <c r="R2037" t="s">
        <v>17744</v>
      </c>
    </row>
    <row r="2038" spans="1:18">
      <c r="A2038" t="s">
        <v>17745</v>
      </c>
      <c r="B2038" t="s">
        <v>17745</v>
      </c>
      <c r="C2038" t="s">
        <v>17746</v>
      </c>
      <c r="D2038" t="s">
        <v>21</v>
      </c>
      <c r="E2038" s="14" t="s">
        <v>17055</v>
      </c>
      <c r="F2038" t="s">
        <v>393</v>
      </c>
      <c r="G2038" s="17" t="str">
        <f>Config!$B$3</f>
        <v>SCH/R_IEC.SchLib</v>
      </c>
      <c r="H2038" t="s">
        <v>419</v>
      </c>
      <c r="I2038" t="s">
        <v>461</v>
      </c>
      <c r="J2038" t="s">
        <v>18033</v>
      </c>
      <c r="M2038" s="3">
        <v>3300000</v>
      </c>
      <c r="N2038" t="s">
        <v>17056</v>
      </c>
      <c r="O2038" t="s">
        <v>477</v>
      </c>
      <c r="P2038" t="s">
        <v>17747</v>
      </c>
      <c r="Q2038" t="s">
        <v>25</v>
      </c>
      <c r="R2038" t="s">
        <v>17748</v>
      </c>
    </row>
    <row r="2039" spans="1:18">
      <c r="A2039" t="s">
        <v>17749</v>
      </c>
      <c r="B2039" t="s">
        <v>17749</v>
      </c>
      <c r="C2039" t="s">
        <v>17750</v>
      </c>
      <c r="D2039" t="s">
        <v>21</v>
      </c>
      <c r="E2039" s="14" t="s">
        <v>17055</v>
      </c>
      <c r="F2039" t="s">
        <v>395</v>
      </c>
      <c r="G2039" s="17" t="str">
        <f>Config!$B$3</f>
        <v>SCH/R_IEC.SchLib</v>
      </c>
      <c r="H2039" t="s">
        <v>419</v>
      </c>
      <c r="I2039" t="s">
        <v>461</v>
      </c>
      <c r="J2039" t="s">
        <v>18033</v>
      </c>
      <c r="M2039" s="3">
        <v>3600000</v>
      </c>
      <c r="N2039" t="s">
        <v>17056</v>
      </c>
      <c r="O2039" t="s">
        <v>477</v>
      </c>
      <c r="P2039" t="s">
        <v>17751</v>
      </c>
      <c r="Q2039" t="s">
        <v>25</v>
      </c>
      <c r="R2039" t="s">
        <v>17752</v>
      </c>
    </row>
    <row r="2040" spans="1:18">
      <c r="A2040" t="s">
        <v>17753</v>
      </c>
      <c r="B2040" t="s">
        <v>17753</v>
      </c>
      <c r="C2040" t="s">
        <v>17754</v>
      </c>
      <c r="D2040" t="s">
        <v>21</v>
      </c>
      <c r="E2040" s="14" t="s">
        <v>17055</v>
      </c>
      <c r="F2040" t="s">
        <v>397</v>
      </c>
      <c r="G2040" s="17" t="str">
        <f>Config!$B$3</f>
        <v>SCH/R_IEC.SchLib</v>
      </c>
      <c r="H2040" t="s">
        <v>419</v>
      </c>
      <c r="I2040" t="s">
        <v>461</v>
      </c>
      <c r="J2040" t="s">
        <v>18033</v>
      </c>
      <c r="M2040" s="3">
        <v>3900000</v>
      </c>
      <c r="N2040" t="s">
        <v>17056</v>
      </c>
      <c r="O2040" t="s">
        <v>477</v>
      </c>
      <c r="P2040" t="s">
        <v>17755</v>
      </c>
      <c r="Q2040" t="s">
        <v>25</v>
      </c>
      <c r="R2040" t="s">
        <v>17756</v>
      </c>
    </row>
    <row r="2041" spans="1:18">
      <c r="A2041" t="s">
        <v>17757</v>
      </c>
      <c r="B2041" t="s">
        <v>17757</v>
      </c>
      <c r="C2041" t="s">
        <v>17758</v>
      </c>
      <c r="D2041" t="s">
        <v>21</v>
      </c>
      <c r="E2041" s="14" t="s">
        <v>17055</v>
      </c>
      <c r="F2041" t="s">
        <v>399</v>
      </c>
      <c r="G2041" s="17" t="str">
        <f>Config!$B$3</f>
        <v>SCH/R_IEC.SchLib</v>
      </c>
      <c r="H2041" t="s">
        <v>419</v>
      </c>
      <c r="I2041" t="s">
        <v>461</v>
      </c>
      <c r="J2041" t="s">
        <v>18033</v>
      </c>
      <c r="M2041" s="3">
        <v>4300000</v>
      </c>
      <c r="N2041" t="s">
        <v>17056</v>
      </c>
      <c r="O2041" t="s">
        <v>477</v>
      </c>
      <c r="P2041" t="s">
        <v>17759</v>
      </c>
      <c r="Q2041" t="s">
        <v>25</v>
      </c>
      <c r="R2041" t="s">
        <v>17760</v>
      </c>
    </row>
    <row r="2042" spans="1:18">
      <c r="A2042" t="s">
        <v>17761</v>
      </c>
      <c r="B2042" t="s">
        <v>17761</v>
      </c>
      <c r="C2042" t="s">
        <v>17762</v>
      </c>
      <c r="D2042" t="s">
        <v>21</v>
      </c>
      <c r="E2042" s="14" t="s">
        <v>17055</v>
      </c>
      <c r="F2042" t="s">
        <v>401</v>
      </c>
      <c r="G2042" s="17" t="str">
        <f>Config!$B$3</f>
        <v>SCH/R_IEC.SchLib</v>
      </c>
      <c r="H2042" t="s">
        <v>419</v>
      </c>
      <c r="I2042" t="s">
        <v>461</v>
      </c>
      <c r="J2042" t="s">
        <v>18033</v>
      </c>
      <c r="M2042" s="3">
        <v>4700000</v>
      </c>
      <c r="N2042" t="s">
        <v>17056</v>
      </c>
      <c r="O2042" t="s">
        <v>477</v>
      </c>
      <c r="P2042" t="s">
        <v>17763</v>
      </c>
      <c r="Q2042" t="s">
        <v>25</v>
      </c>
      <c r="R2042" t="s">
        <v>17764</v>
      </c>
    </row>
    <row r="2043" spans="1:18">
      <c r="A2043" t="s">
        <v>17765</v>
      </c>
      <c r="B2043" t="s">
        <v>17765</v>
      </c>
      <c r="C2043" t="s">
        <v>17766</v>
      </c>
      <c r="D2043" t="s">
        <v>21</v>
      </c>
      <c r="E2043" s="14" t="s">
        <v>17055</v>
      </c>
      <c r="F2043" t="s">
        <v>403</v>
      </c>
      <c r="G2043" s="17" t="str">
        <f>Config!$B$3</f>
        <v>SCH/R_IEC.SchLib</v>
      </c>
      <c r="H2043" t="s">
        <v>419</v>
      </c>
      <c r="I2043" t="s">
        <v>461</v>
      </c>
      <c r="J2043" t="s">
        <v>18033</v>
      </c>
      <c r="M2043" s="3">
        <v>5100000</v>
      </c>
      <c r="N2043" t="s">
        <v>17056</v>
      </c>
      <c r="O2043" t="s">
        <v>477</v>
      </c>
      <c r="P2043" t="s">
        <v>17767</v>
      </c>
      <c r="Q2043" t="s">
        <v>25</v>
      </c>
      <c r="R2043" t="s">
        <v>17768</v>
      </c>
    </row>
    <row r="2044" spans="1:18">
      <c r="A2044" t="s">
        <v>17769</v>
      </c>
      <c r="B2044" t="s">
        <v>17769</v>
      </c>
      <c r="C2044" t="s">
        <v>17770</v>
      </c>
      <c r="D2044" t="s">
        <v>21</v>
      </c>
      <c r="E2044" s="14" t="s">
        <v>17055</v>
      </c>
      <c r="F2044" t="s">
        <v>405</v>
      </c>
      <c r="G2044" s="17" t="str">
        <f>Config!$B$3</f>
        <v>SCH/R_IEC.SchLib</v>
      </c>
      <c r="H2044" t="s">
        <v>419</v>
      </c>
      <c r="I2044" t="s">
        <v>461</v>
      </c>
      <c r="J2044" t="s">
        <v>18033</v>
      </c>
      <c r="M2044" s="3">
        <v>5600000</v>
      </c>
      <c r="N2044" t="s">
        <v>17056</v>
      </c>
      <c r="O2044" t="s">
        <v>477</v>
      </c>
      <c r="P2044" t="s">
        <v>17771</v>
      </c>
      <c r="Q2044" t="s">
        <v>25</v>
      </c>
      <c r="R2044" t="s">
        <v>17772</v>
      </c>
    </row>
    <row r="2045" spans="1:18">
      <c r="A2045" t="s">
        <v>17773</v>
      </c>
      <c r="B2045" t="s">
        <v>17773</v>
      </c>
      <c r="C2045" t="s">
        <v>17774</v>
      </c>
      <c r="D2045" t="s">
        <v>21</v>
      </c>
      <c r="E2045" s="14" t="s">
        <v>17055</v>
      </c>
      <c r="F2045" t="s">
        <v>415</v>
      </c>
      <c r="G2045" s="17" t="str">
        <f>Config!$B$3</f>
        <v>SCH/R_IEC.SchLib</v>
      </c>
      <c r="H2045" t="s">
        <v>419</v>
      </c>
      <c r="I2045" t="s">
        <v>461</v>
      </c>
      <c r="J2045" t="s">
        <v>18033</v>
      </c>
      <c r="M2045" s="3">
        <v>9100000</v>
      </c>
      <c r="N2045" t="s">
        <v>17056</v>
      </c>
      <c r="O2045" t="s">
        <v>477</v>
      </c>
      <c r="P2045" t="s">
        <v>17775</v>
      </c>
      <c r="Q2045" t="s">
        <v>25</v>
      </c>
      <c r="R2045" t="s">
        <v>17776</v>
      </c>
    </row>
    <row r="2046" spans="1:18">
      <c r="A2046" t="s">
        <v>17777</v>
      </c>
      <c r="B2046" t="s">
        <v>17777</v>
      </c>
      <c r="C2046" t="s">
        <v>17778</v>
      </c>
      <c r="D2046" t="s">
        <v>21</v>
      </c>
      <c r="E2046" s="14" t="s">
        <v>17055</v>
      </c>
      <c r="F2046" t="s">
        <v>417</v>
      </c>
      <c r="G2046" s="17" t="str">
        <f>Config!$B$3</f>
        <v>SCH/R_IEC.SchLib</v>
      </c>
      <c r="H2046" t="s">
        <v>419</v>
      </c>
      <c r="I2046" t="s">
        <v>461</v>
      </c>
      <c r="J2046" t="s">
        <v>18033</v>
      </c>
      <c r="M2046" s="3">
        <v>10000000</v>
      </c>
      <c r="N2046" t="s">
        <v>17056</v>
      </c>
      <c r="O2046" t="s">
        <v>477</v>
      </c>
      <c r="P2046" t="s">
        <v>17779</v>
      </c>
      <c r="Q2046" t="s">
        <v>25</v>
      </c>
      <c r="R2046" t="s">
        <v>17780</v>
      </c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253"/>
  <sheetViews>
    <sheetView workbookViewId="0">
      <pane xSplit="2" ySplit="1" topLeftCell="C213" activePane="bottomRight" state="frozen"/>
      <selection pane="topRight" activeCell="C1" sqref="C1"/>
      <selection pane="bottomLeft" activeCell="A2" sqref="A2"/>
      <selection pane="bottomRight" activeCell="P253" sqref="P253"/>
    </sheetView>
  </sheetViews>
  <sheetFormatPr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  <row r="197" spans="1:24">
      <c r="A197" t="s">
        <v>17781</v>
      </c>
      <c r="B197" t="s">
        <v>17781</v>
      </c>
      <c r="C197" t="s">
        <v>17782</v>
      </c>
      <c r="D197" t="s">
        <v>21</v>
      </c>
      <c r="E197" s="14" t="s">
        <v>17055</v>
      </c>
      <c r="F197" t="s">
        <v>474</v>
      </c>
      <c r="G197" t="str">
        <f>Config!$B$4</f>
        <v>SCH/C_IEC.SchLib</v>
      </c>
      <c r="H197" t="s">
        <v>425</v>
      </c>
      <c r="I197" t="s">
        <v>461</v>
      </c>
      <c r="J197" t="s">
        <v>17783</v>
      </c>
      <c r="K197" s="3">
        <v>9.9999999999999998E-13</v>
      </c>
      <c r="L197" t="s">
        <v>17784</v>
      </c>
      <c r="M197" t="s">
        <v>477</v>
      </c>
      <c r="N197" t="s">
        <v>17785</v>
      </c>
      <c r="O197" t="s">
        <v>25</v>
      </c>
      <c r="P197" t="s">
        <v>17786</v>
      </c>
    </row>
    <row r="198" spans="1:24">
      <c r="A198" t="s">
        <v>17787</v>
      </c>
      <c r="B198" t="s">
        <v>17787</v>
      </c>
      <c r="C198" t="s">
        <v>17788</v>
      </c>
      <c r="D198" t="s">
        <v>21</v>
      </c>
      <c r="E198" s="14" t="s">
        <v>17055</v>
      </c>
      <c r="F198" t="s">
        <v>483</v>
      </c>
      <c r="G198" t="str">
        <f>Config!$B$4</f>
        <v>SCH/C_IEC.SchLib</v>
      </c>
      <c r="H198" t="s">
        <v>425</v>
      </c>
      <c r="I198" t="s">
        <v>461</v>
      </c>
      <c r="J198" t="s">
        <v>17783</v>
      </c>
      <c r="K198" s="3">
        <v>1.1999999999999999E-12</v>
      </c>
      <c r="L198" t="s">
        <v>17789</v>
      </c>
      <c r="M198" t="s">
        <v>477</v>
      </c>
      <c r="N198" t="s">
        <v>17790</v>
      </c>
      <c r="O198" t="s">
        <v>25</v>
      </c>
      <c r="P198" t="s">
        <v>17791</v>
      </c>
    </row>
    <row r="199" spans="1:24">
      <c r="A199" t="s">
        <v>17792</v>
      </c>
      <c r="B199" t="s">
        <v>17792</v>
      </c>
      <c r="C199" t="s">
        <v>17793</v>
      </c>
      <c r="D199" t="s">
        <v>21</v>
      </c>
      <c r="E199" s="14" t="s">
        <v>17055</v>
      </c>
      <c r="F199" t="s">
        <v>489</v>
      </c>
      <c r="G199" t="str">
        <f>Config!$B$4</f>
        <v>SCH/C_IEC.SchLib</v>
      </c>
      <c r="H199" t="s">
        <v>425</v>
      </c>
      <c r="I199" t="s">
        <v>461</v>
      </c>
      <c r="J199" t="s">
        <v>17783</v>
      </c>
      <c r="K199" s="3">
        <v>1.5000000000000001E-12</v>
      </c>
      <c r="L199" t="s">
        <v>17794</v>
      </c>
      <c r="M199" t="s">
        <v>477</v>
      </c>
      <c r="N199" t="s">
        <v>17795</v>
      </c>
      <c r="O199" t="s">
        <v>25</v>
      </c>
      <c r="P199" t="s">
        <v>17796</v>
      </c>
    </row>
    <row r="200" spans="1:24">
      <c r="A200" t="s">
        <v>17797</v>
      </c>
      <c r="B200" t="s">
        <v>17797</v>
      </c>
      <c r="C200" t="s">
        <v>17798</v>
      </c>
      <c r="D200" t="s">
        <v>21</v>
      </c>
      <c r="E200" s="14" t="s">
        <v>17055</v>
      </c>
      <c r="F200" t="s">
        <v>495</v>
      </c>
      <c r="G200" t="str">
        <f>Config!$B$4</f>
        <v>SCH/C_IEC.SchLib</v>
      </c>
      <c r="H200" t="s">
        <v>425</v>
      </c>
      <c r="I200" t="s">
        <v>461</v>
      </c>
      <c r="J200" t="s">
        <v>17783</v>
      </c>
      <c r="K200" s="3">
        <v>1.8E-12</v>
      </c>
      <c r="L200" t="s">
        <v>17799</v>
      </c>
      <c r="M200" t="s">
        <v>477</v>
      </c>
      <c r="N200" t="s">
        <v>17800</v>
      </c>
      <c r="O200" t="s">
        <v>25</v>
      </c>
      <c r="P200" t="s">
        <v>17801</v>
      </c>
    </row>
    <row r="201" spans="1:24">
      <c r="A201" t="s">
        <v>17802</v>
      </c>
      <c r="B201" t="s">
        <v>17802</v>
      </c>
      <c r="C201" t="s">
        <v>17803</v>
      </c>
      <c r="D201" t="s">
        <v>21</v>
      </c>
      <c r="E201" s="14" t="s">
        <v>17055</v>
      </c>
      <c r="F201" t="s">
        <v>501</v>
      </c>
      <c r="G201" t="str">
        <f>Config!$B$4</f>
        <v>SCH/C_IEC.SchLib</v>
      </c>
      <c r="H201" t="s">
        <v>425</v>
      </c>
      <c r="I201" t="s">
        <v>461</v>
      </c>
      <c r="J201" t="s">
        <v>17783</v>
      </c>
      <c r="K201" s="3">
        <v>2.1999999999999999E-12</v>
      </c>
      <c r="L201" t="s">
        <v>17804</v>
      </c>
      <c r="M201" t="s">
        <v>477</v>
      </c>
      <c r="N201" t="s">
        <v>17805</v>
      </c>
      <c r="O201" t="s">
        <v>25</v>
      </c>
      <c r="P201" t="s">
        <v>17806</v>
      </c>
    </row>
    <row r="202" spans="1:24">
      <c r="A202" t="s">
        <v>17807</v>
      </c>
      <c r="B202" t="s">
        <v>17807</v>
      </c>
      <c r="C202" t="s">
        <v>17808</v>
      </c>
      <c r="D202" t="s">
        <v>21</v>
      </c>
      <c r="E202" s="14" t="s">
        <v>17055</v>
      </c>
      <c r="F202" t="s">
        <v>507</v>
      </c>
      <c r="G202" t="str">
        <f>Config!$B$4</f>
        <v>SCH/C_IEC.SchLib</v>
      </c>
      <c r="H202" t="s">
        <v>425</v>
      </c>
      <c r="I202" t="s">
        <v>461</v>
      </c>
      <c r="J202" t="s">
        <v>17783</v>
      </c>
      <c r="K202" s="3">
        <v>2.6999999999999998E-12</v>
      </c>
      <c r="L202" t="s">
        <v>17809</v>
      </c>
      <c r="M202" t="s">
        <v>477</v>
      </c>
      <c r="N202" t="s">
        <v>17810</v>
      </c>
      <c r="O202" t="s">
        <v>25</v>
      </c>
      <c r="P202" t="s">
        <v>17811</v>
      </c>
    </row>
    <row r="203" spans="1:24">
      <c r="A203" t="s">
        <v>17812</v>
      </c>
      <c r="B203" t="s">
        <v>17812</v>
      </c>
      <c r="C203" t="s">
        <v>17813</v>
      </c>
      <c r="D203" t="s">
        <v>21</v>
      </c>
      <c r="E203" s="14" t="s">
        <v>17055</v>
      </c>
      <c r="F203" t="s">
        <v>513</v>
      </c>
      <c r="G203" t="str">
        <f>Config!$B$4</f>
        <v>SCH/C_IEC.SchLib</v>
      </c>
      <c r="H203" t="s">
        <v>425</v>
      </c>
      <c r="I203" t="s">
        <v>461</v>
      </c>
      <c r="J203" t="s">
        <v>17783</v>
      </c>
      <c r="K203" s="3">
        <v>3.3000000000000001E-12</v>
      </c>
      <c r="L203" t="s">
        <v>17814</v>
      </c>
      <c r="M203" t="s">
        <v>477</v>
      </c>
      <c r="N203" t="s">
        <v>17815</v>
      </c>
      <c r="O203" t="s">
        <v>25</v>
      </c>
      <c r="P203" t="s">
        <v>17816</v>
      </c>
    </row>
    <row r="204" spans="1:24">
      <c r="A204" t="s">
        <v>17817</v>
      </c>
      <c r="B204" t="s">
        <v>17817</v>
      </c>
      <c r="C204" t="s">
        <v>17818</v>
      </c>
      <c r="D204" t="s">
        <v>21</v>
      </c>
      <c r="E204" s="14" t="s">
        <v>17055</v>
      </c>
      <c r="F204" t="s">
        <v>519</v>
      </c>
      <c r="G204" t="str">
        <f>Config!$B$4</f>
        <v>SCH/C_IEC.SchLib</v>
      </c>
      <c r="H204" t="s">
        <v>425</v>
      </c>
      <c r="I204" t="s">
        <v>461</v>
      </c>
      <c r="J204" t="s">
        <v>17783</v>
      </c>
      <c r="K204" s="3">
        <v>3.8999999999999999E-12</v>
      </c>
      <c r="L204" t="s">
        <v>17819</v>
      </c>
      <c r="M204" t="s">
        <v>477</v>
      </c>
      <c r="N204" t="s">
        <v>17820</v>
      </c>
      <c r="O204" t="s">
        <v>25</v>
      </c>
      <c r="P204" t="s">
        <v>17821</v>
      </c>
    </row>
    <row r="205" spans="1:24">
      <c r="A205" t="s">
        <v>17822</v>
      </c>
      <c r="B205" t="s">
        <v>17822</v>
      </c>
      <c r="C205" t="s">
        <v>17823</v>
      </c>
      <c r="D205" t="s">
        <v>21</v>
      </c>
      <c r="E205" s="14" t="s">
        <v>17055</v>
      </c>
      <c r="F205" t="s">
        <v>525</v>
      </c>
      <c r="G205" t="str">
        <f>Config!$B$4</f>
        <v>SCH/C_IEC.SchLib</v>
      </c>
      <c r="H205" t="s">
        <v>425</v>
      </c>
      <c r="I205" t="s">
        <v>461</v>
      </c>
      <c r="J205" t="s">
        <v>17783</v>
      </c>
      <c r="K205" s="3">
        <v>4.6999999999999998E-12</v>
      </c>
      <c r="L205" t="s">
        <v>17824</v>
      </c>
      <c r="M205" t="s">
        <v>477</v>
      </c>
      <c r="N205" t="s">
        <v>17825</v>
      </c>
      <c r="O205" t="s">
        <v>25</v>
      </c>
      <c r="P205" t="s">
        <v>17826</v>
      </c>
    </row>
    <row r="206" spans="1:24">
      <c r="A206" t="s">
        <v>17827</v>
      </c>
      <c r="B206" t="s">
        <v>17827</v>
      </c>
      <c r="C206" t="s">
        <v>17828</v>
      </c>
      <c r="D206" t="s">
        <v>21</v>
      </c>
      <c r="E206" s="14" t="s">
        <v>17055</v>
      </c>
      <c r="F206" t="s">
        <v>531</v>
      </c>
      <c r="G206" t="str">
        <f>Config!$B$4</f>
        <v>SCH/C_IEC.SchLib</v>
      </c>
      <c r="H206" t="s">
        <v>425</v>
      </c>
      <c r="I206" t="s">
        <v>461</v>
      </c>
      <c r="J206" t="s">
        <v>17783</v>
      </c>
      <c r="K206" s="3">
        <v>5.6000000000000004E-12</v>
      </c>
      <c r="L206" t="s">
        <v>17829</v>
      </c>
      <c r="M206" t="s">
        <v>477</v>
      </c>
      <c r="N206" t="s">
        <v>17830</v>
      </c>
      <c r="O206" t="s">
        <v>25</v>
      </c>
      <c r="P206" t="s">
        <v>17831</v>
      </c>
    </row>
    <row r="207" spans="1:24">
      <c r="A207" t="s">
        <v>17832</v>
      </c>
      <c r="B207" t="s">
        <v>17832</v>
      </c>
      <c r="C207" t="s">
        <v>17833</v>
      </c>
      <c r="D207" t="s">
        <v>21</v>
      </c>
      <c r="E207" s="14" t="s">
        <v>17055</v>
      </c>
      <c r="F207" t="s">
        <v>537</v>
      </c>
      <c r="G207" t="str">
        <f>Config!$B$4</f>
        <v>SCH/C_IEC.SchLib</v>
      </c>
      <c r="H207" t="s">
        <v>425</v>
      </c>
      <c r="I207" t="s">
        <v>461</v>
      </c>
      <c r="J207" t="s">
        <v>17783</v>
      </c>
      <c r="K207" s="3">
        <v>6.8000000000000001E-12</v>
      </c>
      <c r="L207" t="s">
        <v>17834</v>
      </c>
      <c r="M207" t="s">
        <v>477</v>
      </c>
      <c r="N207" t="s">
        <v>17835</v>
      </c>
      <c r="O207" t="s">
        <v>25</v>
      </c>
      <c r="P207" t="s">
        <v>17836</v>
      </c>
    </row>
    <row r="208" spans="1:24">
      <c r="A208" t="s">
        <v>17837</v>
      </c>
      <c r="B208" t="s">
        <v>17837</v>
      </c>
      <c r="C208" t="s">
        <v>17838</v>
      </c>
      <c r="D208" t="s">
        <v>21</v>
      </c>
      <c r="E208" s="14" t="s">
        <v>17055</v>
      </c>
      <c r="F208" t="s">
        <v>543</v>
      </c>
      <c r="G208" t="str">
        <f>Config!$B$4</f>
        <v>SCH/C_IEC.SchLib</v>
      </c>
      <c r="H208" t="s">
        <v>425</v>
      </c>
      <c r="I208" t="s">
        <v>461</v>
      </c>
      <c r="J208" t="s">
        <v>17783</v>
      </c>
      <c r="K208" s="3">
        <v>8.1999999999999998E-12</v>
      </c>
      <c r="L208" t="s">
        <v>17839</v>
      </c>
      <c r="M208" t="s">
        <v>477</v>
      </c>
      <c r="N208" t="s">
        <v>17840</v>
      </c>
      <c r="O208" t="s">
        <v>25</v>
      </c>
      <c r="P208" t="s">
        <v>17841</v>
      </c>
    </row>
    <row r="209" spans="1:16">
      <c r="A209" t="s">
        <v>17842</v>
      </c>
      <c r="B209" t="s">
        <v>17842</v>
      </c>
      <c r="C209" t="s">
        <v>17843</v>
      </c>
      <c r="D209" t="s">
        <v>21</v>
      </c>
      <c r="E209" s="14" t="s">
        <v>17055</v>
      </c>
      <c r="F209" t="s">
        <v>550</v>
      </c>
      <c r="G209" t="str">
        <f>Config!$B$4</f>
        <v>SCH/C_IEC.SchLib</v>
      </c>
      <c r="H209" t="s">
        <v>425</v>
      </c>
      <c r="I209" t="s">
        <v>461</v>
      </c>
      <c r="J209" t="s">
        <v>17783</v>
      </c>
      <c r="K209" s="3">
        <v>9.9999999999999994E-12</v>
      </c>
      <c r="L209" t="s">
        <v>17844</v>
      </c>
      <c r="M209" t="s">
        <v>477</v>
      </c>
      <c r="N209" t="s">
        <v>17845</v>
      </c>
      <c r="O209" t="s">
        <v>25</v>
      </c>
      <c r="P209" t="s">
        <v>17846</v>
      </c>
    </row>
    <row r="210" spans="1:16">
      <c r="A210" t="s">
        <v>17847</v>
      </c>
      <c r="B210" t="s">
        <v>17847</v>
      </c>
      <c r="C210" t="s">
        <v>17848</v>
      </c>
      <c r="D210" t="s">
        <v>21</v>
      </c>
      <c r="E210" s="14" t="s">
        <v>17055</v>
      </c>
      <c r="F210" t="s">
        <v>557</v>
      </c>
      <c r="G210" t="str">
        <f>Config!$B$4</f>
        <v>SCH/C_IEC.SchLib</v>
      </c>
      <c r="H210" t="s">
        <v>425</v>
      </c>
      <c r="I210" t="s">
        <v>461</v>
      </c>
      <c r="J210" t="s">
        <v>17783</v>
      </c>
      <c r="K210" s="3">
        <v>1.2000000000000001E-11</v>
      </c>
      <c r="L210" t="s">
        <v>17849</v>
      </c>
      <c r="M210" t="s">
        <v>477</v>
      </c>
      <c r="N210" t="s">
        <v>17850</v>
      </c>
      <c r="O210" t="s">
        <v>25</v>
      </c>
      <c r="P210" t="s">
        <v>17851</v>
      </c>
    </row>
    <row r="211" spans="1:16">
      <c r="A211" t="s">
        <v>17852</v>
      </c>
      <c r="B211" t="s">
        <v>17852</v>
      </c>
      <c r="C211" t="s">
        <v>17853</v>
      </c>
      <c r="D211" t="s">
        <v>21</v>
      </c>
      <c r="E211" s="14" t="s">
        <v>17055</v>
      </c>
      <c r="F211" t="s">
        <v>564</v>
      </c>
      <c r="G211" t="str">
        <f>Config!$B$4</f>
        <v>SCH/C_IEC.SchLib</v>
      </c>
      <c r="H211" t="s">
        <v>425</v>
      </c>
      <c r="I211" t="s">
        <v>461</v>
      </c>
      <c r="J211" t="s">
        <v>17783</v>
      </c>
      <c r="K211" s="3">
        <v>1.5E-11</v>
      </c>
      <c r="L211" t="s">
        <v>17854</v>
      </c>
      <c r="M211" t="s">
        <v>477</v>
      </c>
      <c r="N211" t="s">
        <v>17855</v>
      </c>
      <c r="O211" t="s">
        <v>25</v>
      </c>
      <c r="P211" t="s">
        <v>17856</v>
      </c>
    </row>
    <row r="212" spans="1:16">
      <c r="A212" t="s">
        <v>17857</v>
      </c>
      <c r="B212" t="s">
        <v>17857</v>
      </c>
      <c r="C212" t="s">
        <v>17858</v>
      </c>
      <c r="D212" t="s">
        <v>21</v>
      </c>
      <c r="E212" s="14" t="s">
        <v>17055</v>
      </c>
      <c r="F212" t="s">
        <v>571</v>
      </c>
      <c r="G212" t="str">
        <f>Config!$B$4</f>
        <v>SCH/C_IEC.SchLib</v>
      </c>
      <c r="H212" t="s">
        <v>425</v>
      </c>
      <c r="I212" t="s">
        <v>461</v>
      </c>
      <c r="J212" t="s">
        <v>17783</v>
      </c>
      <c r="K212" s="3">
        <v>1.7999999999999999E-11</v>
      </c>
      <c r="L212" t="s">
        <v>17859</v>
      </c>
      <c r="M212" t="s">
        <v>477</v>
      </c>
      <c r="N212" t="s">
        <v>17860</v>
      </c>
      <c r="O212" t="s">
        <v>25</v>
      </c>
      <c r="P212" t="s">
        <v>17861</v>
      </c>
    </row>
    <row r="213" spans="1:16">
      <c r="A213" t="s">
        <v>17862</v>
      </c>
      <c r="B213" t="s">
        <v>17862</v>
      </c>
      <c r="C213" t="s">
        <v>17863</v>
      </c>
      <c r="D213" t="s">
        <v>21</v>
      </c>
      <c r="E213" s="14" t="s">
        <v>17055</v>
      </c>
      <c r="F213" t="s">
        <v>578</v>
      </c>
      <c r="G213" t="str">
        <f>Config!$B$4</f>
        <v>SCH/C_IEC.SchLib</v>
      </c>
      <c r="H213" t="s">
        <v>425</v>
      </c>
      <c r="I213" t="s">
        <v>461</v>
      </c>
      <c r="J213" t="s">
        <v>17783</v>
      </c>
      <c r="K213" s="3">
        <v>2.2000000000000002E-11</v>
      </c>
      <c r="L213" t="s">
        <v>17864</v>
      </c>
      <c r="M213" t="s">
        <v>477</v>
      </c>
      <c r="N213" t="s">
        <v>17865</v>
      </c>
      <c r="O213" t="s">
        <v>25</v>
      </c>
      <c r="P213" t="s">
        <v>17866</v>
      </c>
    </row>
    <row r="214" spans="1:16">
      <c r="A214" t="s">
        <v>17867</v>
      </c>
      <c r="B214" t="s">
        <v>17867</v>
      </c>
      <c r="C214" t="s">
        <v>17868</v>
      </c>
      <c r="D214" t="s">
        <v>21</v>
      </c>
      <c r="E214" s="14" t="s">
        <v>17055</v>
      </c>
      <c r="F214" t="s">
        <v>585</v>
      </c>
      <c r="G214" t="str">
        <f>Config!$B$4</f>
        <v>SCH/C_IEC.SchLib</v>
      </c>
      <c r="H214" t="s">
        <v>425</v>
      </c>
      <c r="I214" t="s">
        <v>461</v>
      </c>
      <c r="J214" t="s">
        <v>17783</v>
      </c>
      <c r="K214" s="3">
        <v>2.7E-11</v>
      </c>
      <c r="L214" t="s">
        <v>17869</v>
      </c>
      <c r="M214" t="s">
        <v>477</v>
      </c>
      <c r="N214" t="s">
        <v>17870</v>
      </c>
      <c r="O214" t="s">
        <v>25</v>
      </c>
      <c r="P214" t="s">
        <v>17871</v>
      </c>
    </row>
    <row r="215" spans="1:16">
      <c r="A215" t="s">
        <v>17872</v>
      </c>
      <c r="B215" t="s">
        <v>17872</v>
      </c>
      <c r="C215" t="s">
        <v>17873</v>
      </c>
      <c r="D215" t="s">
        <v>21</v>
      </c>
      <c r="E215" s="14" t="s">
        <v>17055</v>
      </c>
      <c r="F215" t="s">
        <v>592</v>
      </c>
      <c r="G215" t="str">
        <f>Config!$B$4</f>
        <v>SCH/C_IEC.SchLib</v>
      </c>
      <c r="H215" t="s">
        <v>425</v>
      </c>
      <c r="I215" t="s">
        <v>461</v>
      </c>
      <c r="J215" t="s">
        <v>17783</v>
      </c>
      <c r="K215" s="3">
        <v>3.3000000000000002E-11</v>
      </c>
      <c r="L215" t="s">
        <v>17874</v>
      </c>
      <c r="M215" t="s">
        <v>477</v>
      </c>
      <c r="N215" t="s">
        <v>17875</v>
      </c>
      <c r="O215" t="s">
        <v>25</v>
      </c>
      <c r="P215" t="s">
        <v>17876</v>
      </c>
    </row>
    <row r="216" spans="1:16">
      <c r="A216" t="s">
        <v>17877</v>
      </c>
      <c r="B216" t="s">
        <v>17877</v>
      </c>
      <c r="C216" t="s">
        <v>17878</v>
      </c>
      <c r="D216" t="s">
        <v>21</v>
      </c>
      <c r="E216" s="14" t="s">
        <v>17055</v>
      </c>
      <c r="F216" t="s">
        <v>599</v>
      </c>
      <c r="G216" t="str">
        <f>Config!$B$4</f>
        <v>SCH/C_IEC.SchLib</v>
      </c>
      <c r="H216" t="s">
        <v>425</v>
      </c>
      <c r="I216" t="s">
        <v>461</v>
      </c>
      <c r="J216" t="s">
        <v>17783</v>
      </c>
      <c r="K216" s="3">
        <v>3.9000000000000001E-11</v>
      </c>
      <c r="L216" t="s">
        <v>17879</v>
      </c>
      <c r="M216" t="s">
        <v>477</v>
      </c>
      <c r="N216" t="s">
        <v>17880</v>
      </c>
      <c r="O216" t="s">
        <v>25</v>
      </c>
      <c r="P216" t="s">
        <v>17881</v>
      </c>
    </row>
    <row r="217" spans="1:16">
      <c r="A217" t="s">
        <v>17882</v>
      </c>
      <c r="B217" t="s">
        <v>17882</v>
      </c>
      <c r="C217" t="s">
        <v>17883</v>
      </c>
      <c r="D217" t="s">
        <v>21</v>
      </c>
      <c r="E217" s="14" t="s">
        <v>17055</v>
      </c>
      <c r="F217" t="s">
        <v>606</v>
      </c>
      <c r="G217" t="str">
        <f>Config!$B$4</f>
        <v>SCH/C_IEC.SchLib</v>
      </c>
      <c r="H217" t="s">
        <v>425</v>
      </c>
      <c r="I217" t="s">
        <v>461</v>
      </c>
      <c r="J217" t="s">
        <v>17783</v>
      </c>
      <c r="K217" s="3">
        <v>4.6999999999999999E-11</v>
      </c>
      <c r="L217" t="s">
        <v>17884</v>
      </c>
      <c r="M217" t="s">
        <v>477</v>
      </c>
      <c r="N217" t="s">
        <v>17885</v>
      </c>
      <c r="O217" t="s">
        <v>25</v>
      </c>
      <c r="P217" t="s">
        <v>17886</v>
      </c>
    </row>
    <row r="218" spans="1:16">
      <c r="A218" t="s">
        <v>17887</v>
      </c>
      <c r="B218" t="s">
        <v>17887</v>
      </c>
      <c r="C218" t="s">
        <v>17888</v>
      </c>
      <c r="D218" t="s">
        <v>21</v>
      </c>
      <c r="E218" s="14" t="s">
        <v>17055</v>
      </c>
      <c r="F218" t="s">
        <v>613</v>
      </c>
      <c r="G218" t="str">
        <f>Config!$B$4</f>
        <v>SCH/C_IEC.SchLib</v>
      </c>
      <c r="H218" t="s">
        <v>425</v>
      </c>
      <c r="I218" t="s">
        <v>461</v>
      </c>
      <c r="J218" t="s">
        <v>17783</v>
      </c>
      <c r="K218" s="3">
        <v>5.6E-11</v>
      </c>
      <c r="L218" t="s">
        <v>17889</v>
      </c>
      <c r="M218" t="s">
        <v>477</v>
      </c>
      <c r="N218" t="s">
        <v>17890</v>
      </c>
      <c r="O218" t="s">
        <v>25</v>
      </c>
      <c r="P218" t="s">
        <v>17891</v>
      </c>
    </row>
    <row r="219" spans="1:16">
      <c r="A219" t="s">
        <v>17892</v>
      </c>
      <c r="B219" t="s">
        <v>17892</v>
      </c>
      <c r="C219" t="s">
        <v>17893</v>
      </c>
      <c r="D219" t="s">
        <v>21</v>
      </c>
      <c r="E219" s="14" t="s">
        <v>17055</v>
      </c>
      <c r="F219" t="s">
        <v>620</v>
      </c>
      <c r="G219" t="str">
        <f>Config!$B$4</f>
        <v>SCH/C_IEC.SchLib</v>
      </c>
      <c r="H219" t="s">
        <v>425</v>
      </c>
      <c r="I219" t="s">
        <v>461</v>
      </c>
      <c r="J219" t="s">
        <v>17783</v>
      </c>
      <c r="K219" s="3">
        <v>6.7999999999999998E-11</v>
      </c>
      <c r="L219" t="s">
        <v>17894</v>
      </c>
      <c r="M219" t="s">
        <v>477</v>
      </c>
      <c r="N219" t="s">
        <v>17895</v>
      </c>
      <c r="O219" t="s">
        <v>25</v>
      </c>
      <c r="P219" t="s">
        <v>17896</v>
      </c>
    </row>
    <row r="220" spans="1:16">
      <c r="A220" t="s">
        <v>17897</v>
      </c>
      <c r="B220" t="s">
        <v>17897</v>
      </c>
      <c r="C220" t="s">
        <v>17898</v>
      </c>
      <c r="D220" t="s">
        <v>21</v>
      </c>
      <c r="E220" s="14" t="s">
        <v>17055</v>
      </c>
      <c r="F220" t="s">
        <v>627</v>
      </c>
      <c r="G220" t="str">
        <f>Config!$B$4</f>
        <v>SCH/C_IEC.SchLib</v>
      </c>
      <c r="H220" t="s">
        <v>425</v>
      </c>
      <c r="I220" t="s">
        <v>461</v>
      </c>
      <c r="J220" t="s">
        <v>17783</v>
      </c>
      <c r="K220" s="3">
        <v>8.2000000000000001E-11</v>
      </c>
      <c r="L220" t="s">
        <v>17899</v>
      </c>
      <c r="M220" t="s">
        <v>477</v>
      </c>
      <c r="N220" t="s">
        <v>17900</v>
      </c>
      <c r="O220" t="s">
        <v>25</v>
      </c>
      <c r="P220" t="s">
        <v>17901</v>
      </c>
    </row>
    <row r="221" spans="1:16">
      <c r="A221" t="s">
        <v>17902</v>
      </c>
      <c r="B221" t="s">
        <v>17902</v>
      </c>
      <c r="C221" t="s">
        <v>17903</v>
      </c>
      <c r="D221" t="s">
        <v>21</v>
      </c>
      <c r="E221" s="14" t="s">
        <v>17055</v>
      </c>
      <c r="F221" t="s">
        <v>634</v>
      </c>
      <c r="G221" t="str">
        <f>Config!$B$4</f>
        <v>SCH/C_IEC.SchLib</v>
      </c>
      <c r="H221" t="s">
        <v>425</v>
      </c>
      <c r="I221" t="s">
        <v>461</v>
      </c>
      <c r="J221" t="s">
        <v>17783</v>
      </c>
      <c r="K221" s="3">
        <v>1E-10</v>
      </c>
      <c r="L221" t="s">
        <v>17904</v>
      </c>
      <c r="M221" t="s">
        <v>477</v>
      </c>
      <c r="N221" t="s">
        <v>17905</v>
      </c>
      <c r="O221" t="s">
        <v>25</v>
      </c>
      <c r="P221" t="s">
        <v>17906</v>
      </c>
    </row>
    <row r="222" spans="1:16">
      <c r="A222" t="s">
        <v>17907</v>
      </c>
      <c r="B222" t="s">
        <v>17907</v>
      </c>
      <c r="C222" t="s">
        <v>17908</v>
      </c>
      <c r="D222" t="s">
        <v>21</v>
      </c>
      <c r="E222" s="14" t="s">
        <v>17055</v>
      </c>
      <c r="F222" t="s">
        <v>648</v>
      </c>
      <c r="G222" t="str">
        <f>Config!$B$4</f>
        <v>SCH/C_IEC.SchLib</v>
      </c>
      <c r="H222" t="s">
        <v>425</v>
      </c>
      <c r="I222" t="s">
        <v>461</v>
      </c>
      <c r="J222" t="s">
        <v>17783</v>
      </c>
      <c r="K222" s="3">
        <v>1.5E-10</v>
      </c>
      <c r="L222" t="s">
        <v>17909</v>
      </c>
      <c r="M222" t="s">
        <v>477</v>
      </c>
      <c r="N222" t="s">
        <v>17910</v>
      </c>
      <c r="O222" t="s">
        <v>25</v>
      </c>
      <c r="P222" t="s">
        <v>17911</v>
      </c>
    </row>
    <row r="223" spans="1:16">
      <c r="A223" t="s">
        <v>17912</v>
      </c>
      <c r="B223" t="s">
        <v>17912</v>
      </c>
      <c r="C223" t="s">
        <v>17913</v>
      </c>
      <c r="D223" t="s">
        <v>21</v>
      </c>
      <c r="E223" s="14" t="s">
        <v>17055</v>
      </c>
      <c r="F223" t="s">
        <v>655</v>
      </c>
      <c r="G223" t="str">
        <f>Config!$B$4</f>
        <v>SCH/C_IEC.SchLib</v>
      </c>
      <c r="H223" t="s">
        <v>425</v>
      </c>
      <c r="I223" t="s">
        <v>461</v>
      </c>
      <c r="J223" t="s">
        <v>17783</v>
      </c>
      <c r="K223" s="3">
        <v>1.8E-10</v>
      </c>
      <c r="L223" t="s">
        <v>17914</v>
      </c>
      <c r="M223" t="s">
        <v>477</v>
      </c>
      <c r="N223" t="s">
        <v>17915</v>
      </c>
      <c r="O223" t="s">
        <v>25</v>
      </c>
      <c r="P223" t="s">
        <v>17916</v>
      </c>
    </row>
    <row r="224" spans="1:16">
      <c r="A224" t="s">
        <v>17917</v>
      </c>
      <c r="B224" t="s">
        <v>17917</v>
      </c>
      <c r="C224" t="s">
        <v>17918</v>
      </c>
      <c r="D224" t="s">
        <v>21</v>
      </c>
      <c r="E224" s="14" t="s">
        <v>17055</v>
      </c>
      <c r="F224" t="s">
        <v>662</v>
      </c>
      <c r="G224" t="str">
        <f>Config!$B$4</f>
        <v>SCH/C_IEC.SchLib</v>
      </c>
      <c r="H224" t="s">
        <v>425</v>
      </c>
      <c r="I224" t="s">
        <v>461</v>
      </c>
      <c r="J224" t="s">
        <v>17783</v>
      </c>
      <c r="K224" s="3">
        <v>2.1999999999999999E-10</v>
      </c>
      <c r="L224" t="s">
        <v>17919</v>
      </c>
      <c r="M224" t="s">
        <v>477</v>
      </c>
      <c r="N224" t="s">
        <v>17920</v>
      </c>
      <c r="O224" t="s">
        <v>25</v>
      </c>
      <c r="P224" t="s">
        <v>17921</v>
      </c>
    </row>
    <row r="225" spans="1:16">
      <c r="A225" t="s">
        <v>17922</v>
      </c>
      <c r="B225" t="s">
        <v>17922</v>
      </c>
      <c r="C225" t="s">
        <v>17923</v>
      </c>
      <c r="D225" t="s">
        <v>21</v>
      </c>
      <c r="E225" s="14" t="s">
        <v>17055</v>
      </c>
      <c r="F225" t="s">
        <v>606</v>
      </c>
      <c r="G225" t="str">
        <f>Config!$B$4</f>
        <v>SCH/C_IEC.SchLib</v>
      </c>
      <c r="H225" t="s">
        <v>425</v>
      </c>
      <c r="I225" t="s">
        <v>461</v>
      </c>
      <c r="J225" t="s">
        <v>17924</v>
      </c>
      <c r="K225" s="3">
        <v>4.6999999999999999E-11</v>
      </c>
      <c r="L225" t="s">
        <v>17925</v>
      </c>
      <c r="M225" t="s">
        <v>477</v>
      </c>
      <c r="N225" t="s">
        <v>17926</v>
      </c>
      <c r="O225" t="s">
        <v>25</v>
      </c>
      <c r="P225" t="s">
        <v>17927</v>
      </c>
    </row>
    <row r="226" spans="1:16">
      <c r="A226" t="s">
        <v>17928</v>
      </c>
      <c r="B226" t="s">
        <v>17928</v>
      </c>
      <c r="C226" t="s">
        <v>17929</v>
      </c>
      <c r="D226" t="s">
        <v>21</v>
      </c>
      <c r="E226" s="14" t="s">
        <v>17055</v>
      </c>
      <c r="F226" t="s">
        <v>634</v>
      </c>
      <c r="G226" t="str">
        <f>Config!$B$4</f>
        <v>SCH/C_IEC.SchLib</v>
      </c>
      <c r="H226" t="s">
        <v>425</v>
      </c>
      <c r="I226" t="s">
        <v>461</v>
      </c>
      <c r="J226" t="s">
        <v>17924</v>
      </c>
      <c r="K226" s="3">
        <v>1E-10</v>
      </c>
      <c r="L226" t="s">
        <v>17925</v>
      </c>
      <c r="M226" t="s">
        <v>477</v>
      </c>
      <c r="N226" t="s">
        <v>17930</v>
      </c>
      <c r="O226" t="s">
        <v>25</v>
      </c>
      <c r="P226" t="s">
        <v>17931</v>
      </c>
    </row>
    <row r="227" spans="1:16">
      <c r="A227" t="s">
        <v>17932</v>
      </c>
      <c r="B227" t="s">
        <v>17932</v>
      </c>
      <c r="C227" t="s">
        <v>17933</v>
      </c>
      <c r="D227" t="s">
        <v>21</v>
      </c>
      <c r="E227" s="14" t="s">
        <v>17055</v>
      </c>
      <c r="F227" t="s">
        <v>641</v>
      </c>
      <c r="G227" t="str">
        <f>Config!$B$4</f>
        <v>SCH/C_IEC.SchLib</v>
      </c>
      <c r="H227" t="s">
        <v>425</v>
      </c>
      <c r="I227" t="s">
        <v>461</v>
      </c>
      <c r="J227" t="s">
        <v>17924</v>
      </c>
      <c r="K227" s="3">
        <v>1.2E-10</v>
      </c>
      <c r="L227" t="s">
        <v>17925</v>
      </c>
      <c r="M227" t="s">
        <v>477</v>
      </c>
      <c r="N227" t="s">
        <v>17934</v>
      </c>
      <c r="O227" t="s">
        <v>25</v>
      </c>
      <c r="P227" t="s">
        <v>17935</v>
      </c>
    </row>
    <row r="228" spans="1:16">
      <c r="A228" t="s">
        <v>17936</v>
      </c>
      <c r="B228" t="s">
        <v>17936</v>
      </c>
      <c r="C228" t="s">
        <v>17937</v>
      </c>
      <c r="D228" t="s">
        <v>21</v>
      </c>
      <c r="E228" s="14" t="s">
        <v>17055</v>
      </c>
      <c r="F228" t="s">
        <v>648</v>
      </c>
      <c r="G228" t="str">
        <f>Config!$B$4</f>
        <v>SCH/C_IEC.SchLib</v>
      </c>
      <c r="H228" t="s">
        <v>425</v>
      </c>
      <c r="I228" t="s">
        <v>461</v>
      </c>
      <c r="J228" t="s">
        <v>17924</v>
      </c>
      <c r="K228" s="3">
        <v>1.5E-10</v>
      </c>
      <c r="L228" t="s">
        <v>17925</v>
      </c>
      <c r="M228" t="s">
        <v>477</v>
      </c>
      <c r="N228" t="s">
        <v>17938</v>
      </c>
      <c r="O228" t="s">
        <v>25</v>
      </c>
      <c r="P228" t="s">
        <v>17939</v>
      </c>
    </row>
    <row r="229" spans="1:16">
      <c r="A229" t="s">
        <v>17940</v>
      </c>
      <c r="B229" t="s">
        <v>17940</v>
      </c>
      <c r="C229" t="s">
        <v>17941</v>
      </c>
      <c r="D229" t="s">
        <v>21</v>
      </c>
      <c r="E229" s="14" t="s">
        <v>17055</v>
      </c>
      <c r="F229" t="s">
        <v>655</v>
      </c>
      <c r="G229" t="str">
        <f>Config!$B$4</f>
        <v>SCH/C_IEC.SchLib</v>
      </c>
      <c r="H229" t="s">
        <v>425</v>
      </c>
      <c r="I229" t="s">
        <v>461</v>
      </c>
      <c r="J229" t="s">
        <v>17924</v>
      </c>
      <c r="K229" s="3">
        <v>1.8E-10</v>
      </c>
      <c r="L229" t="s">
        <v>17925</v>
      </c>
      <c r="M229" t="s">
        <v>477</v>
      </c>
      <c r="N229" t="s">
        <v>17942</v>
      </c>
      <c r="O229" t="s">
        <v>25</v>
      </c>
      <c r="P229" t="s">
        <v>17943</v>
      </c>
    </row>
    <row r="230" spans="1:16">
      <c r="A230" t="s">
        <v>17944</v>
      </c>
      <c r="B230" t="s">
        <v>17944</v>
      </c>
      <c r="C230" t="s">
        <v>17945</v>
      </c>
      <c r="D230" t="s">
        <v>21</v>
      </c>
      <c r="E230" s="14" t="s">
        <v>17055</v>
      </c>
      <c r="F230" t="s">
        <v>662</v>
      </c>
      <c r="G230" t="str">
        <f>Config!$B$4</f>
        <v>SCH/C_IEC.SchLib</v>
      </c>
      <c r="H230" t="s">
        <v>425</v>
      </c>
      <c r="I230" t="s">
        <v>461</v>
      </c>
      <c r="J230" t="s">
        <v>17924</v>
      </c>
      <c r="K230" s="3">
        <v>2.1999999999999999E-10</v>
      </c>
      <c r="L230" t="s">
        <v>17925</v>
      </c>
      <c r="M230" t="s">
        <v>477</v>
      </c>
      <c r="N230" t="s">
        <v>17946</v>
      </c>
      <c r="O230" t="s">
        <v>25</v>
      </c>
      <c r="P230" t="s">
        <v>17947</v>
      </c>
    </row>
    <row r="231" spans="1:16">
      <c r="A231" t="s">
        <v>17948</v>
      </c>
      <c r="B231" t="s">
        <v>17948</v>
      </c>
      <c r="C231" t="s">
        <v>17949</v>
      </c>
      <c r="D231" t="s">
        <v>21</v>
      </c>
      <c r="E231" s="14" t="s">
        <v>17055</v>
      </c>
      <c r="F231" t="s">
        <v>669</v>
      </c>
      <c r="G231" t="str">
        <f>Config!$B$4</f>
        <v>SCH/C_IEC.SchLib</v>
      </c>
      <c r="H231" t="s">
        <v>425</v>
      </c>
      <c r="I231" t="s">
        <v>461</v>
      </c>
      <c r="J231" t="s">
        <v>17924</v>
      </c>
      <c r="K231" s="3">
        <v>2.7E-10</v>
      </c>
      <c r="L231" t="s">
        <v>17925</v>
      </c>
      <c r="M231" t="s">
        <v>477</v>
      </c>
      <c r="N231" t="s">
        <v>17950</v>
      </c>
      <c r="O231" t="s">
        <v>25</v>
      </c>
      <c r="P231" t="s">
        <v>17951</v>
      </c>
    </row>
    <row r="232" spans="1:16">
      <c r="A232" t="s">
        <v>17952</v>
      </c>
      <c r="B232" t="s">
        <v>17952</v>
      </c>
      <c r="C232" t="s">
        <v>17953</v>
      </c>
      <c r="D232" t="s">
        <v>21</v>
      </c>
      <c r="E232" s="14" t="s">
        <v>17055</v>
      </c>
      <c r="F232" t="s">
        <v>676</v>
      </c>
      <c r="G232" t="str">
        <f>Config!$B$4</f>
        <v>SCH/C_IEC.SchLib</v>
      </c>
      <c r="H232" t="s">
        <v>425</v>
      </c>
      <c r="I232" t="s">
        <v>461</v>
      </c>
      <c r="J232" t="s">
        <v>17924</v>
      </c>
      <c r="K232" s="3">
        <v>3.3E-10</v>
      </c>
      <c r="L232" t="s">
        <v>17925</v>
      </c>
      <c r="M232" t="s">
        <v>477</v>
      </c>
      <c r="N232" t="s">
        <v>17954</v>
      </c>
      <c r="O232" t="s">
        <v>25</v>
      </c>
      <c r="P232" t="s">
        <v>17955</v>
      </c>
    </row>
    <row r="233" spans="1:16">
      <c r="A233" t="s">
        <v>17956</v>
      </c>
      <c r="B233" t="s">
        <v>17956</v>
      </c>
      <c r="C233" t="s">
        <v>17957</v>
      </c>
      <c r="D233" t="s">
        <v>21</v>
      </c>
      <c r="E233" s="14" t="s">
        <v>17055</v>
      </c>
      <c r="F233" t="s">
        <v>683</v>
      </c>
      <c r="G233" t="str">
        <f>Config!$B$4</f>
        <v>SCH/C_IEC.SchLib</v>
      </c>
      <c r="H233" t="s">
        <v>425</v>
      </c>
      <c r="I233" t="s">
        <v>461</v>
      </c>
      <c r="J233" t="s">
        <v>17924</v>
      </c>
      <c r="K233" s="3">
        <v>3.9E-10</v>
      </c>
      <c r="L233" t="s">
        <v>17925</v>
      </c>
      <c r="M233" t="s">
        <v>477</v>
      </c>
      <c r="N233" t="s">
        <v>17958</v>
      </c>
      <c r="O233" t="s">
        <v>25</v>
      </c>
      <c r="P233" t="s">
        <v>17959</v>
      </c>
    </row>
    <row r="234" spans="1:16">
      <c r="A234" t="s">
        <v>17960</v>
      </c>
      <c r="B234" t="s">
        <v>17960</v>
      </c>
      <c r="C234" t="s">
        <v>17961</v>
      </c>
      <c r="D234" t="s">
        <v>21</v>
      </c>
      <c r="E234" s="14" t="s">
        <v>17055</v>
      </c>
      <c r="F234" t="s">
        <v>690</v>
      </c>
      <c r="G234" t="str">
        <f>Config!$B$4</f>
        <v>SCH/C_IEC.SchLib</v>
      </c>
      <c r="H234" t="s">
        <v>425</v>
      </c>
      <c r="I234" t="s">
        <v>461</v>
      </c>
      <c r="J234" t="s">
        <v>17924</v>
      </c>
      <c r="K234" s="3">
        <v>4.7000000000000003E-10</v>
      </c>
      <c r="L234" t="s">
        <v>17925</v>
      </c>
      <c r="M234" t="s">
        <v>477</v>
      </c>
      <c r="N234" t="s">
        <v>17962</v>
      </c>
      <c r="O234" t="s">
        <v>25</v>
      </c>
      <c r="P234" t="s">
        <v>17963</v>
      </c>
    </row>
    <row r="235" spans="1:16">
      <c r="A235" t="s">
        <v>17964</v>
      </c>
      <c r="B235" t="s">
        <v>17964</v>
      </c>
      <c r="C235" t="s">
        <v>17965</v>
      </c>
      <c r="D235" t="s">
        <v>21</v>
      </c>
      <c r="E235" s="14" t="s">
        <v>17055</v>
      </c>
      <c r="F235" t="s">
        <v>697</v>
      </c>
      <c r="G235" t="str">
        <f>Config!$B$4</f>
        <v>SCH/C_IEC.SchLib</v>
      </c>
      <c r="H235" t="s">
        <v>425</v>
      </c>
      <c r="I235" t="s">
        <v>461</v>
      </c>
      <c r="J235" t="s">
        <v>17924</v>
      </c>
      <c r="K235" s="3">
        <v>5.6000000000000003E-10</v>
      </c>
      <c r="L235" t="s">
        <v>17925</v>
      </c>
      <c r="M235" t="s">
        <v>477</v>
      </c>
      <c r="N235" t="s">
        <v>17966</v>
      </c>
      <c r="O235" t="s">
        <v>25</v>
      </c>
      <c r="P235" t="s">
        <v>17967</v>
      </c>
    </row>
    <row r="236" spans="1:16">
      <c r="A236" t="s">
        <v>17968</v>
      </c>
      <c r="B236" t="s">
        <v>17968</v>
      </c>
      <c r="C236" t="s">
        <v>17969</v>
      </c>
      <c r="D236" t="s">
        <v>21</v>
      </c>
      <c r="E236" s="14" t="s">
        <v>17055</v>
      </c>
      <c r="F236" t="s">
        <v>704</v>
      </c>
      <c r="G236" t="str">
        <f>Config!$B$4</f>
        <v>SCH/C_IEC.SchLib</v>
      </c>
      <c r="H236" t="s">
        <v>425</v>
      </c>
      <c r="I236" t="s">
        <v>461</v>
      </c>
      <c r="J236" t="s">
        <v>17924</v>
      </c>
      <c r="K236" s="3">
        <v>6.8000000000000003E-10</v>
      </c>
      <c r="L236" t="s">
        <v>17925</v>
      </c>
      <c r="M236" t="s">
        <v>477</v>
      </c>
      <c r="N236" t="s">
        <v>17970</v>
      </c>
      <c r="O236" t="s">
        <v>25</v>
      </c>
      <c r="P236" t="s">
        <v>17971</v>
      </c>
    </row>
    <row r="237" spans="1:16">
      <c r="A237" t="s">
        <v>17972</v>
      </c>
      <c r="B237" t="s">
        <v>17972</v>
      </c>
      <c r="C237" t="s">
        <v>17973</v>
      </c>
      <c r="D237" t="s">
        <v>21</v>
      </c>
      <c r="E237" s="14" t="s">
        <v>17055</v>
      </c>
      <c r="F237" t="s">
        <v>711</v>
      </c>
      <c r="G237" t="str">
        <f>Config!$B$4</f>
        <v>SCH/C_IEC.SchLib</v>
      </c>
      <c r="H237" t="s">
        <v>425</v>
      </c>
      <c r="I237" t="s">
        <v>461</v>
      </c>
      <c r="J237" t="s">
        <v>17924</v>
      </c>
      <c r="K237" s="3">
        <v>8.1999999999999996E-10</v>
      </c>
      <c r="L237" t="s">
        <v>17974</v>
      </c>
      <c r="M237" t="s">
        <v>477</v>
      </c>
      <c r="N237" t="s">
        <v>17975</v>
      </c>
      <c r="O237" t="s">
        <v>25</v>
      </c>
      <c r="P237" t="s">
        <v>17976</v>
      </c>
    </row>
    <row r="238" spans="1:16">
      <c r="A238" t="s">
        <v>17977</v>
      </c>
      <c r="B238" t="s">
        <v>17977</v>
      </c>
      <c r="C238" t="s">
        <v>17978</v>
      </c>
      <c r="D238" t="s">
        <v>21</v>
      </c>
      <c r="E238" s="14" t="s">
        <v>17055</v>
      </c>
      <c r="F238" t="s">
        <v>717</v>
      </c>
      <c r="G238" t="str">
        <f>Config!$B$4</f>
        <v>SCH/C_IEC.SchLib</v>
      </c>
      <c r="H238" t="s">
        <v>425</v>
      </c>
      <c r="I238" t="s">
        <v>461</v>
      </c>
      <c r="J238" t="s">
        <v>17924</v>
      </c>
      <c r="K238" s="3">
        <v>1.0000000000000001E-9</v>
      </c>
      <c r="L238" t="s">
        <v>17925</v>
      </c>
      <c r="M238" t="s">
        <v>477</v>
      </c>
      <c r="N238" t="s">
        <v>17979</v>
      </c>
      <c r="O238" t="s">
        <v>25</v>
      </c>
      <c r="P238" t="s">
        <v>17980</v>
      </c>
    </row>
    <row r="239" spans="1:16">
      <c r="A239" t="s">
        <v>17981</v>
      </c>
      <c r="B239" t="s">
        <v>17981</v>
      </c>
      <c r="C239" t="s">
        <v>17982</v>
      </c>
      <c r="D239" t="s">
        <v>21</v>
      </c>
      <c r="E239" s="14" t="s">
        <v>17055</v>
      </c>
      <c r="F239" t="s">
        <v>723</v>
      </c>
      <c r="G239" t="str">
        <f>Config!$B$4</f>
        <v>SCH/C_IEC.SchLib</v>
      </c>
      <c r="H239" t="s">
        <v>425</v>
      </c>
      <c r="I239" t="s">
        <v>461</v>
      </c>
      <c r="J239" t="s">
        <v>17924</v>
      </c>
      <c r="K239" s="3">
        <v>1.2E-9</v>
      </c>
      <c r="L239" t="s">
        <v>17925</v>
      </c>
      <c r="M239" t="s">
        <v>477</v>
      </c>
      <c r="N239" t="s">
        <v>17983</v>
      </c>
      <c r="O239" t="s">
        <v>25</v>
      </c>
      <c r="P239" t="s">
        <v>17984</v>
      </c>
    </row>
    <row r="240" spans="1:16">
      <c r="A240" t="s">
        <v>17985</v>
      </c>
      <c r="B240" t="s">
        <v>17985</v>
      </c>
      <c r="C240" t="s">
        <v>17986</v>
      </c>
      <c r="D240" t="s">
        <v>21</v>
      </c>
      <c r="E240" s="14" t="s">
        <v>17055</v>
      </c>
      <c r="F240" t="s">
        <v>729</v>
      </c>
      <c r="G240" t="str">
        <f>Config!$B$4</f>
        <v>SCH/C_IEC.SchLib</v>
      </c>
      <c r="H240" t="s">
        <v>425</v>
      </c>
      <c r="I240" t="s">
        <v>461</v>
      </c>
      <c r="J240" t="s">
        <v>17924</v>
      </c>
      <c r="K240" s="3">
        <v>1.5E-9</v>
      </c>
      <c r="L240" t="s">
        <v>17925</v>
      </c>
      <c r="M240" t="s">
        <v>477</v>
      </c>
      <c r="N240" t="s">
        <v>17987</v>
      </c>
      <c r="O240" t="s">
        <v>25</v>
      </c>
      <c r="P240" t="s">
        <v>17988</v>
      </c>
    </row>
    <row r="241" spans="1:16">
      <c r="A241" t="s">
        <v>17989</v>
      </c>
      <c r="B241" t="s">
        <v>17989</v>
      </c>
      <c r="C241" t="s">
        <v>17990</v>
      </c>
      <c r="D241" t="s">
        <v>21</v>
      </c>
      <c r="E241" s="14" t="s">
        <v>17055</v>
      </c>
      <c r="F241" t="s">
        <v>735</v>
      </c>
      <c r="G241" t="str">
        <f>Config!$B$4</f>
        <v>SCH/C_IEC.SchLib</v>
      </c>
      <c r="H241" t="s">
        <v>425</v>
      </c>
      <c r="I241" t="s">
        <v>461</v>
      </c>
      <c r="J241" t="s">
        <v>17924</v>
      </c>
      <c r="K241" s="3">
        <v>1.8E-9</v>
      </c>
      <c r="L241" t="s">
        <v>17925</v>
      </c>
      <c r="M241" t="s">
        <v>477</v>
      </c>
      <c r="N241" t="s">
        <v>17991</v>
      </c>
      <c r="O241" t="s">
        <v>25</v>
      </c>
      <c r="P241" t="s">
        <v>17992</v>
      </c>
    </row>
    <row r="242" spans="1:16">
      <c r="A242" t="s">
        <v>17993</v>
      </c>
      <c r="B242" t="s">
        <v>17993</v>
      </c>
      <c r="C242" t="s">
        <v>17994</v>
      </c>
      <c r="D242" t="s">
        <v>21</v>
      </c>
      <c r="E242" s="14" t="s">
        <v>17055</v>
      </c>
      <c r="F242" t="s">
        <v>739</v>
      </c>
      <c r="G242" t="str">
        <f>Config!$B$4</f>
        <v>SCH/C_IEC.SchLib</v>
      </c>
      <c r="H242" t="s">
        <v>425</v>
      </c>
      <c r="I242" t="s">
        <v>461</v>
      </c>
      <c r="J242" t="s">
        <v>17924</v>
      </c>
      <c r="K242" s="3">
        <v>2.1999999999999998E-9</v>
      </c>
      <c r="L242" t="s">
        <v>17925</v>
      </c>
      <c r="M242" t="s">
        <v>477</v>
      </c>
      <c r="N242" t="s">
        <v>17995</v>
      </c>
      <c r="O242" t="s">
        <v>25</v>
      </c>
      <c r="P242" t="s">
        <v>17996</v>
      </c>
    </row>
    <row r="243" spans="1:16">
      <c r="A243" t="s">
        <v>17997</v>
      </c>
      <c r="B243" t="s">
        <v>17997</v>
      </c>
      <c r="C243" t="s">
        <v>17998</v>
      </c>
      <c r="D243" t="s">
        <v>21</v>
      </c>
      <c r="E243" s="14" t="s">
        <v>17055</v>
      </c>
      <c r="F243" t="s">
        <v>745</v>
      </c>
      <c r="G243" t="str">
        <f>Config!$B$4</f>
        <v>SCH/C_IEC.SchLib</v>
      </c>
      <c r="H243" t="s">
        <v>425</v>
      </c>
      <c r="I243" t="s">
        <v>461</v>
      </c>
      <c r="J243" t="s">
        <v>17924</v>
      </c>
      <c r="K243" s="3">
        <v>2.7000000000000002E-9</v>
      </c>
      <c r="L243" t="s">
        <v>17925</v>
      </c>
      <c r="M243" t="s">
        <v>477</v>
      </c>
      <c r="N243" t="s">
        <v>17999</v>
      </c>
      <c r="O243" t="s">
        <v>25</v>
      </c>
      <c r="P243" t="s">
        <v>18000</v>
      </c>
    </row>
    <row r="244" spans="1:16">
      <c r="A244" t="s">
        <v>18001</v>
      </c>
      <c r="B244" t="s">
        <v>18001</v>
      </c>
      <c r="C244" t="s">
        <v>18002</v>
      </c>
      <c r="D244" t="s">
        <v>21</v>
      </c>
      <c r="E244" s="14" t="s">
        <v>17055</v>
      </c>
      <c r="F244" t="s">
        <v>751</v>
      </c>
      <c r="G244" t="str">
        <f>Config!$B$4</f>
        <v>SCH/C_IEC.SchLib</v>
      </c>
      <c r="H244" t="s">
        <v>425</v>
      </c>
      <c r="I244" t="s">
        <v>461</v>
      </c>
      <c r="J244" t="s">
        <v>17924</v>
      </c>
      <c r="K244" s="3">
        <v>3.3000000000000002E-9</v>
      </c>
      <c r="L244" t="s">
        <v>17925</v>
      </c>
      <c r="M244" t="s">
        <v>477</v>
      </c>
      <c r="N244" t="s">
        <v>18003</v>
      </c>
      <c r="O244" t="s">
        <v>25</v>
      </c>
      <c r="P244" t="s">
        <v>18004</v>
      </c>
    </row>
    <row r="245" spans="1:16">
      <c r="A245" t="s">
        <v>18005</v>
      </c>
      <c r="B245" t="s">
        <v>18005</v>
      </c>
      <c r="C245" t="s">
        <v>18006</v>
      </c>
      <c r="D245" t="s">
        <v>21</v>
      </c>
      <c r="E245" s="14" t="s">
        <v>17055</v>
      </c>
      <c r="F245" t="s">
        <v>757</v>
      </c>
      <c r="G245" t="str">
        <f>Config!$B$4</f>
        <v>SCH/C_IEC.SchLib</v>
      </c>
      <c r="H245" t="s">
        <v>425</v>
      </c>
      <c r="I245" t="s">
        <v>461</v>
      </c>
      <c r="J245" t="s">
        <v>17924</v>
      </c>
      <c r="K245" s="3">
        <v>3.9000000000000002E-9</v>
      </c>
      <c r="L245" t="s">
        <v>17925</v>
      </c>
      <c r="M245" t="s">
        <v>477</v>
      </c>
      <c r="N245" t="s">
        <v>18007</v>
      </c>
      <c r="O245" t="s">
        <v>25</v>
      </c>
      <c r="P245" t="s">
        <v>18008</v>
      </c>
    </row>
    <row r="246" spans="1:16">
      <c r="A246" t="s">
        <v>18009</v>
      </c>
      <c r="B246" t="s">
        <v>18009</v>
      </c>
      <c r="C246" t="s">
        <v>18010</v>
      </c>
      <c r="D246" t="s">
        <v>21</v>
      </c>
      <c r="E246" s="14" t="s">
        <v>17055</v>
      </c>
      <c r="F246" t="s">
        <v>761</v>
      </c>
      <c r="G246" t="str">
        <f>Config!$B$4</f>
        <v>SCH/C_IEC.SchLib</v>
      </c>
      <c r="H246" t="s">
        <v>425</v>
      </c>
      <c r="I246" t="s">
        <v>461</v>
      </c>
      <c r="J246" t="s">
        <v>17924</v>
      </c>
      <c r="K246" s="3">
        <v>4.6999999999999999E-9</v>
      </c>
      <c r="L246" t="s">
        <v>17925</v>
      </c>
      <c r="M246" t="s">
        <v>477</v>
      </c>
      <c r="N246" t="s">
        <v>18011</v>
      </c>
      <c r="O246" t="s">
        <v>25</v>
      </c>
      <c r="P246" t="s">
        <v>18012</v>
      </c>
    </row>
    <row r="247" spans="1:16">
      <c r="A247" t="s">
        <v>18013</v>
      </c>
      <c r="B247" t="s">
        <v>18013</v>
      </c>
      <c r="C247" t="s">
        <v>18014</v>
      </c>
      <c r="D247" t="s">
        <v>21</v>
      </c>
      <c r="E247" s="14" t="s">
        <v>17055</v>
      </c>
      <c r="F247" t="s">
        <v>891</v>
      </c>
      <c r="G247" t="str">
        <f>Config!$B$4</f>
        <v>SCH/C_IEC.SchLib</v>
      </c>
      <c r="H247" t="s">
        <v>425</v>
      </c>
      <c r="I247" t="s">
        <v>461</v>
      </c>
      <c r="J247" t="s">
        <v>17924</v>
      </c>
      <c r="K247" s="3">
        <v>5.5999999999999997E-9</v>
      </c>
      <c r="L247" t="s">
        <v>17925</v>
      </c>
      <c r="M247" t="s">
        <v>477</v>
      </c>
      <c r="N247" t="s">
        <v>18015</v>
      </c>
      <c r="O247" t="s">
        <v>25</v>
      </c>
      <c r="P247" t="s">
        <v>18016</v>
      </c>
    </row>
    <row r="248" spans="1:16">
      <c r="A248" t="s">
        <v>18017</v>
      </c>
      <c r="B248" t="s">
        <v>18017</v>
      </c>
      <c r="C248" t="s">
        <v>18018</v>
      </c>
      <c r="D248" t="s">
        <v>21</v>
      </c>
      <c r="E248" s="14" t="s">
        <v>17055</v>
      </c>
      <c r="F248" t="s">
        <v>765</v>
      </c>
      <c r="G248" t="str">
        <f>Config!$B$4</f>
        <v>SCH/C_IEC.SchLib</v>
      </c>
      <c r="H248" t="s">
        <v>425</v>
      </c>
      <c r="I248" t="s">
        <v>461</v>
      </c>
      <c r="J248" t="s">
        <v>17924</v>
      </c>
      <c r="K248" s="3">
        <v>6.7999999999999997E-9</v>
      </c>
      <c r="L248" t="s">
        <v>17925</v>
      </c>
      <c r="M248" t="s">
        <v>477</v>
      </c>
      <c r="N248" t="s">
        <v>18019</v>
      </c>
      <c r="O248" t="s">
        <v>25</v>
      </c>
      <c r="P248" t="s">
        <v>18020</v>
      </c>
    </row>
    <row r="249" spans="1:16">
      <c r="A249" t="s">
        <v>18021</v>
      </c>
      <c r="B249" t="s">
        <v>18021</v>
      </c>
      <c r="C249" t="s">
        <v>18022</v>
      </c>
      <c r="D249" t="s">
        <v>21</v>
      </c>
      <c r="E249" s="14" t="s">
        <v>17055</v>
      </c>
      <c r="F249" t="s">
        <v>902</v>
      </c>
      <c r="G249" t="str">
        <f>Config!$B$4</f>
        <v>SCH/C_IEC.SchLib</v>
      </c>
      <c r="H249" t="s">
        <v>425</v>
      </c>
      <c r="I249" t="s">
        <v>461</v>
      </c>
      <c r="J249" t="s">
        <v>17924</v>
      </c>
      <c r="K249" s="3">
        <v>8.2000000000000006E-9</v>
      </c>
      <c r="L249" t="s">
        <v>17925</v>
      </c>
      <c r="M249" t="s">
        <v>477</v>
      </c>
      <c r="N249" t="s">
        <v>18023</v>
      </c>
      <c r="O249" t="s">
        <v>25</v>
      </c>
      <c r="P249" t="s">
        <v>18024</v>
      </c>
    </row>
    <row r="250" spans="1:16">
      <c r="A250" t="s">
        <v>18025</v>
      </c>
      <c r="B250" t="s">
        <v>18025</v>
      </c>
      <c r="C250" t="s">
        <v>18026</v>
      </c>
      <c r="D250" t="s">
        <v>21</v>
      </c>
      <c r="E250" s="14" t="s">
        <v>17055</v>
      </c>
      <c r="F250" t="s">
        <v>770</v>
      </c>
      <c r="G250" t="str">
        <f>Config!$B$4</f>
        <v>SCH/C_IEC.SchLib</v>
      </c>
      <c r="H250" t="s">
        <v>425</v>
      </c>
      <c r="I250" t="s">
        <v>461</v>
      </c>
      <c r="J250" t="s">
        <v>17924</v>
      </c>
      <c r="K250" s="3">
        <v>1E-8</v>
      </c>
      <c r="L250" t="s">
        <v>17925</v>
      </c>
      <c r="M250" t="s">
        <v>477</v>
      </c>
      <c r="N250" t="s">
        <v>18027</v>
      </c>
      <c r="O250" t="s">
        <v>25</v>
      </c>
      <c r="P250" t="s">
        <v>18028</v>
      </c>
    </row>
    <row r="251" spans="1:16">
      <c r="A251" t="s">
        <v>18029</v>
      </c>
      <c r="B251" t="s">
        <v>18029</v>
      </c>
      <c r="C251" t="s">
        <v>18030</v>
      </c>
      <c r="D251" t="s">
        <v>21</v>
      </c>
      <c r="E251" s="14" t="s">
        <v>17055</v>
      </c>
      <c r="F251" t="s">
        <v>991</v>
      </c>
      <c r="G251" t="str">
        <f>Config!$B$4</f>
        <v>SCH/C_IEC.SchLib</v>
      </c>
      <c r="H251" t="s">
        <v>425</v>
      </c>
      <c r="I251" t="s">
        <v>461</v>
      </c>
      <c r="J251" t="s">
        <v>17924</v>
      </c>
      <c r="K251" s="3">
        <v>9.9999999999999995E-8</v>
      </c>
      <c r="L251" t="s">
        <v>17925</v>
      </c>
      <c r="M251" t="s">
        <v>477</v>
      </c>
      <c r="N251" t="s">
        <v>18031</v>
      </c>
      <c r="O251" t="s">
        <v>25</v>
      </c>
      <c r="P251" t="s">
        <v>18032</v>
      </c>
    </row>
    <row r="252" spans="1:16">
      <c r="A252" t="s">
        <v>18039</v>
      </c>
      <c r="B252" t="s">
        <v>18039</v>
      </c>
      <c r="C252" t="s">
        <v>18034</v>
      </c>
      <c r="D252" t="s">
        <v>21</v>
      </c>
      <c r="E252" s="14" t="s">
        <v>6450</v>
      </c>
      <c r="F252" t="s">
        <v>18035</v>
      </c>
      <c r="G252" t="str">
        <f>Config!$B$4</f>
        <v>SCH/C_IEC.SchLib</v>
      </c>
      <c r="H252" t="s">
        <v>425</v>
      </c>
      <c r="I252" t="s">
        <v>461</v>
      </c>
      <c r="J252" t="s">
        <v>5956</v>
      </c>
      <c r="K252" s="3">
        <v>9.9999999999999995E-7</v>
      </c>
      <c r="L252" t="s">
        <v>18036</v>
      </c>
      <c r="M252" t="s">
        <v>4771</v>
      </c>
      <c r="N252" t="s">
        <v>18038</v>
      </c>
      <c r="O252" t="s">
        <v>25</v>
      </c>
      <c r="P252" t="s">
        <v>18037</v>
      </c>
    </row>
    <row r="253" spans="1:16">
      <c r="A253" t="s">
        <v>18040</v>
      </c>
      <c r="B253" t="s">
        <v>18040</v>
      </c>
      <c r="C253" t="s">
        <v>18041</v>
      </c>
      <c r="D253" t="s">
        <v>21</v>
      </c>
      <c r="E253" s="14" t="s">
        <v>6450</v>
      </c>
      <c r="F253" t="s">
        <v>13350</v>
      </c>
      <c r="G253" t="str">
        <f>Config!$B$4</f>
        <v>SCH/C_IEC.SchLib</v>
      </c>
      <c r="H253" t="s">
        <v>425</v>
      </c>
      <c r="I253" t="s">
        <v>461</v>
      </c>
      <c r="J253" t="s">
        <v>5956</v>
      </c>
      <c r="K253" s="3">
        <v>9.9999999999999995E-7</v>
      </c>
      <c r="L253" t="s">
        <v>18042</v>
      </c>
      <c r="M253" t="s">
        <v>4771</v>
      </c>
      <c r="N253" t="s">
        <v>18043</v>
      </c>
      <c r="O253" t="s">
        <v>25</v>
      </c>
      <c r="P253" t="s">
        <v>18044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L239" sqref="L239"/>
    </sheetView>
  </sheetViews>
  <sheetFormatPr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74"/>
  <sheetViews>
    <sheetView zoomScale="85" zoomScaleNormal="85" workbookViewId="0">
      <pane xSplit="2" ySplit="1" topLeftCell="C148" activePane="bottomRight" state="frozen"/>
      <selection pane="topRight" activeCell="C1" sqref="C1"/>
      <selection pane="bottomLeft" activeCell="A2" sqref="A2"/>
      <selection pane="bottomRight" activeCell="C173" sqref="C173"/>
    </sheetView>
  </sheetViews>
  <sheetFormatPr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14038</v>
      </c>
      <c r="B256" t="s">
        <v>14038</v>
      </c>
      <c r="C256" t="s">
        <v>14039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14038</v>
      </c>
      <c r="L256" s="1" t="s">
        <v>13497</v>
      </c>
    </row>
    <row r="257" spans="1:25" ht="15.75">
      <c r="A257" t="s">
        <v>14036</v>
      </c>
      <c r="B257" t="s">
        <v>14036</v>
      </c>
      <c r="C257" t="s">
        <v>14037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14036</v>
      </c>
      <c r="L257" s="1" t="s">
        <v>13497</v>
      </c>
    </row>
    <row r="258" spans="1:25" ht="15.75">
      <c r="A258" t="s">
        <v>14034</v>
      </c>
      <c r="B258" t="s">
        <v>14034</v>
      </c>
      <c r="C258" t="s">
        <v>14035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14034</v>
      </c>
      <c r="L258" s="1" t="s">
        <v>13497</v>
      </c>
    </row>
    <row r="259" spans="1:25" ht="15.75">
      <c r="A259" t="s">
        <v>14030</v>
      </c>
      <c r="B259" t="s">
        <v>14030</v>
      </c>
      <c r="C259" t="s">
        <v>14032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14030</v>
      </c>
      <c r="L259" s="1" t="s">
        <v>13497</v>
      </c>
    </row>
    <row r="260" spans="1:25" ht="15.75">
      <c r="A260" t="s">
        <v>14031</v>
      </c>
      <c r="B260" t="s">
        <v>14031</v>
      </c>
      <c r="C260" t="s">
        <v>14033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14031</v>
      </c>
      <c r="L260" s="1" t="s">
        <v>13497</v>
      </c>
    </row>
    <row r="261" spans="1:25" ht="15.75">
      <c r="A261" t="s">
        <v>12715</v>
      </c>
      <c r="B261" t="s">
        <v>12715</v>
      </c>
      <c r="C261" t="s">
        <v>12720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12715</v>
      </c>
      <c r="L261" s="1" t="s">
        <v>13497</v>
      </c>
    </row>
    <row r="262" spans="1:25" ht="15.75">
      <c r="A262" t="s">
        <v>13384</v>
      </c>
      <c r="B262" t="s">
        <v>13384</v>
      </c>
      <c r="C262" t="s">
        <v>13385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13384</v>
      </c>
      <c r="L262" s="1" t="s">
        <v>13497</v>
      </c>
    </row>
    <row r="263" spans="1:25" ht="15.75">
      <c r="A263" t="s">
        <v>12716</v>
      </c>
      <c r="B263" t="s">
        <v>12716</v>
      </c>
      <c r="C263" t="s">
        <v>12721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12716</v>
      </c>
      <c r="L263" s="1" t="s">
        <v>13497</v>
      </c>
    </row>
    <row r="264" spans="1:25" ht="15.75">
      <c r="A264" t="s">
        <v>12727</v>
      </c>
      <c r="B264" t="s">
        <v>12727</v>
      </c>
      <c r="C264" t="s">
        <v>12728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12727</v>
      </c>
      <c r="L264" s="1" t="s">
        <v>13497</v>
      </c>
    </row>
    <row r="265" spans="1:25" ht="15.75">
      <c r="A265" t="s">
        <v>12717</v>
      </c>
      <c r="B265" t="s">
        <v>12717</v>
      </c>
      <c r="C265" t="s">
        <v>12722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12717</v>
      </c>
      <c r="L265" s="1" t="s">
        <v>13497</v>
      </c>
    </row>
    <row r="266" spans="1:25" ht="15.75">
      <c r="A266" t="s">
        <v>12725</v>
      </c>
      <c r="B266" t="s">
        <v>12725</v>
      </c>
      <c r="C266" t="s">
        <v>12726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12725</v>
      </c>
      <c r="L266" s="1" t="s">
        <v>13497</v>
      </c>
    </row>
    <row r="267" spans="1:25" ht="15.75">
      <c r="A267" t="s">
        <v>12718</v>
      </c>
      <c r="B267" t="s">
        <v>12718</v>
      </c>
      <c r="C267" t="s">
        <v>12723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12718</v>
      </c>
      <c r="L267" s="1" t="s">
        <v>13497</v>
      </c>
    </row>
    <row r="268" spans="1:25" ht="15.75">
      <c r="A268" t="s">
        <v>12719</v>
      </c>
      <c r="B268" t="s">
        <v>12719</v>
      </c>
      <c r="C268" t="s">
        <v>12724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12719</v>
      </c>
      <c r="L268" s="1" t="s">
        <v>13497</v>
      </c>
    </row>
    <row r="269" spans="1:25" ht="15.75">
      <c r="A269" t="s">
        <v>13070</v>
      </c>
      <c r="B269">
        <v>5600200320</v>
      </c>
      <c r="C269" t="s">
        <v>13071</v>
      </c>
      <c r="D269" t="s">
        <v>6637</v>
      </c>
      <c r="G269" t="str">
        <f>Config!$B$7</f>
        <v>SCH/Connector.SchLib</v>
      </c>
      <c r="H269" t="s">
        <v>7852</v>
      </c>
      <c r="I269" t="str">
        <f>_xlfn.CONCAT(PrivateLibraryPath,"PCB/Molex.PcbLib")</f>
        <v>../altium_lib_private/PCB/Molex.PcbLib</v>
      </c>
      <c r="J269">
        <v>5600200320</v>
      </c>
      <c r="L269" s="1" t="s">
        <v>13497</v>
      </c>
      <c r="M269" t="s">
        <v>13072</v>
      </c>
      <c r="N269" t="s">
        <v>6637</v>
      </c>
      <c r="O269" s="14" t="s">
        <v>13073</v>
      </c>
      <c r="P269" t="s">
        <v>25</v>
      </c>
      <c r="Q269" t="s">
        <v>13074</v>
      </c>
      <c r="V269" t="s">
        <v>6637</v>
      </c>
      <c r="W269" s="14" t="s">
        <v>13073</v>
      </c>
      <c r="X269" t="s">
        <v>4559</v>
      </c>
      <c r="Y269" t="s">
        <v>13075</v>
      </c>
    </row>
    <row r="270" spans="1:25" ht="15.75">
      <c r="A270" t="s">
        <v>13076</v>
      </c>
      <c r="B270">
        <v>5023520300</v>
      </c>
      <c r="C270" t="s">
        <v>13077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5023520300</v>
      </c>
      <c r="L270" s="1" t="s">
        <v>13497</v>
      </c>
      <c r="M270" t="s">
        <v>13078</v>
      </c>
      <c r="N270" t="s">
        <v>6637</v>
      </c>
      <c r="O270">
        <v>5023520300</v>
      </c>
      <c r="P270" t="s">
        <v>25</v>
      </c>
      <c r="Q270" t="s">
        <v>13079</v>
      </c>
      <c r="V270" t="s">
        <v>6637</v>
      </c>
      <c r="W270">
        <v>5023520300</v>
      </c>
      <c r="X270" t="s">
        <v>4559</v>
      </c>
      <c r="Y270" t="s">
        <v>13080</v>
      </c>
    </row>
    <row r="271" spans="1:25" ht="15.75">
      <c r="A271" t="s">
        <v>13081</v>
      </c>
      <c r="B271">
        <v>5023520200</v>
      </c>
      <c r="C271" t="s">
        <v>13082</v>
      </c>
      <c r="D271" t="s">
        <v>6637</v>
      </c>
      <c r="G271" t="str">
        <f>Config!$B$7</f>
        <v>SCH/Connector.SchLib</v>
      </c>
      <c r="H271" t="s">
        <v>7005</v>
      </c>
      <c r="I271" t="str">
        <f>_xlfn.CONCAT(PrivateLibraryPath,"PCB/Molex.PcbLib")</f>
        <v>../altium_lib_private/PCB/Molex.PcbLib</v>
      </c>
      <c r="J271">
        <v>5023520200</v>
      </c>
      <c r="L271" s="1" t="s">
        <v>13497</v>
      </c>
      <c r="M271" s="28" t="s">
        <v>13084</v>
      </c>
      <c r="N271" t="s">
        <v>6637</v>
      </c>
      <c r="O271">
        <v>5023520200</v>
      </c>
      <c r="P271" t="s">
        <v>25</v>
      </c>
      <c r="Q271" t="s">
        <v>13083</v>
      </c>
      <c r="V271" t="s">
        <v>6637</v>
      </c>
      <c r="W271">
        <v>5023520200</v>
      </c>
      <c r="X271" t="s">
        <v>4559</v>
      </c>
      <c r="Y271" t="s">
        <v>13085</v>
      </c>
    </row>
    <row r="272" spans="1:25" ht="15.75">
      <c r="A272" t="s">
        <v>13305</v>
      </c>
      <c r="B272" t="s">
        <v>13306</v>
      </c>
      <c r="C272" t="s">
        <v>13307</v>
      </c>
      <c r="D272" t="s">
        <v>13045</v>
      </c>
      <c r="G272" t="str">
        <f>Config!$B$7</f>
        <v>SCH/Connector.SchLib</v>
      </c>
      <c r="H272" t="s">
        <v>13308</v>
      </c>
      <c r="I272" t="s">
        <v>7983</v>
      </c>
      <c r="J272" t="s">
        <v>13329</v>
      </c>
      <c r="L272" s="1" t="s">
        <v>13497</v>
      </c>
      <c r="M272" t="s">
        <v>13309</v>
      </c>
      <c r="N272" t="s">
        <v>13045</v>
      </c>
      <c r="O272" t="s">
        <v>13311</v>
      </c>
      <c r="P272" t="s">
        <v>25</v>
      </c>
      <c r="Q272" t="s">
        <v>13310</v>
      </c>
      <c r="V272" t="s">
        <v>13314</v>
      </c>
      <c r="W272" t="s">
        <v>13312</v>
      </c>
      <c r="X272" t="s">
        <v>4559</v>
      </c>
      <c r="Y272" t="s">
        <v>13313</v>
      </c>
    </row>
    <row r="273" spans="1:26" ht="15.75">
      <c r="A273" t="s">
        <v>14343</v>
      </c>
      <c r="B273" t="s">
        <v>14343</v>
      </c>
      <c r="C273" t="s">
        <v>14344</v>
      </c>
      <c r="D273" t="s">
        <v>6648</v>
      </c>
      <c r="G273" t="str">
        <f>Config!$B$7</f>
        <v>SCH/Connector.SchLib</v>
      </c>
      <c r="H273" t="s">
        <v>14341</v>
      </c>
      <c r="I273" t="s">
        <v>12318</v>
      </c>
      <c r="J273" t="s">
        <v>14340</v>
      </c>
      <c r="L273" s="1" t="s">
        <v>13497</v>
      </c>
      <c r="M273" t="s">
        <v>14342</v>
      </c>
      <c r="N273" t="s">
        <v>14345</v>
      </c>
      <c r="O273" t="s">
        <v>14346</v>
      </c>
      <c r="P273" t="s">
        <v>25</v>
      </c>
      <c r="Q273" t="s">
        <v>14347</v>
      </c>
      <c r="V273" t="s">
        <v>14348</v>
      </c>
      <c r="W273" t="s">
        <v>14346</v>
      </c>
      <c r="X273" t="s">
        <v>4559</v>
      </c>
      <c r="Y273" t="s">
        <v>14349</v>
      </c>
      <c r="Z273" t="s">
        <v>4727</v>
      </c>
    </row>
    <row r="274" spans="1:26" ht="15.75">
      <c r="A274" t="s">
        <v>14350</v>
      </c>
      <c r="B274" t="s">
        <v>14350</v>
      </c>
      <c r="C274" t="s">
        <v>14351</v>
      </c>
      <c r="D274" t="s">
        <v>14352</v>
      </c>
      <c r="G274" t="s">
        <v>4430</v>
      </c>
      <c r="H274" t="s">
        <v>14341</v>
      </c>
      <c r="I274" s="39"/>
      <c r="J274" s="39"/>
      <c r="L274" s="1" t="s">
        <v>13497</v>
      </c>
      <c r="M274" t="s">
        <v>14353</v>
      </c>
      <c r="N274" t="s">
        <v>12253</v>
      </c>
      <c r="O274" t="s">
        <v>14354</v>
      </c>
      <c r="P274" t="s">
        <v>25</v>
      </c>
      <c r="Q274" t="s">
        <v>14355</v>
      </c>
      <c r="V274" t="s">
        <v>14356</v>
      </c>
      <c r="W274" t="s">
        <v>14354</v>
      </c>
      <c r="X274" t="s">
        <v>4559</v>
      </c>
      <c r="Y274" t="s">
        <v>14357</v>
      </c>
      <c r="Z274" t="s">
        <v>4727</v>
      </c>
    </row>
  </sheetData>
  <phoneticPr fontId="2" type="noConversion"/>
  <conditionalFormatting sqref="G2:G273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1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8" sqref="N8"/>
    </sheetView>
  </sheetViews>
  <sheetFormatPr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  <row r="8" spans="1:25">
      <c r="A8" t="s">
        <v>16937</v>
      </c>
      <c r="B8" t="s">
        <v>16937</v>
      </c>
      <c r="C8" t="s">
        <v>16938</v>
      </c>
      <c r="D8" t="s">
        <v>6665</v>
      </c>
      <c r="E8" t="s">
        <v>16875</v>
      </c>
      <c r="G8" t="str">
        <f>Config!$B$6</f>
        <v>SCH/Logic_IEC.SchLib</v>
      </c>
      <c r="H8" t="s">
        <v>16939</v>
      </c>
      <c r="I8" t="s">
        <v>10703</v>
      </c>
      <c r="J8" t="s">
        <v>16940</v>
      </c>
      <c r="L8" t="s">
        <v>16941</v>
      </c>
      <c r="M8" t="s">
        <v>4517</v>
      </c>
      <c r="N8" t="s">
        <v>16943</v>
      </c>
      <c r="O8" t="s">
        <v>25</v>
      </c>
      <c r="P8" t="s">
        <v>16944</v>
      </c>
      <c r="U8" t="s">
        <v>4517</v>
      </c>
      <c r="V8" t="s">
        <v>16943</v>
      </c>
      <c r="W8" t="s">
        <v>4559</v>
      </c>
      <c r="X8" t="s">
        <v>16942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46"/>
  <sheetViews>
    <sheetView tabSelected="1" zoomScaleNormal="100" workbookViewId="0">
      <pane xSplit="1" ySplit="1" topLeftCell="G203" activePane="bottomRight" state="frozen"/>
      <selection pane="topRight" activeCell="B1" sqref="B1"/>
      <selection pane="bottomLeft" activeCell="A2" sqref="A2"/>
      <selection pane="bottomRight" activeCell="P251" sqref="P251"/>
    </sheetView>
  </sheetViews>
  <sheetFormatPr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16.28515625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  <row r="202" spans="1:23">
      <c r="A202" t="s">
        <v>16867</v>
      </c>
      <c r="B202" t="s">
        <v>16867</v>
      </c>
      <c r="C202" t="s">
        <v>16868</v>
      </c>
      <c r="D202" t="s">
        <v>4517</v>
      </c>
      <c r="E202" t="s">
        <v>11104</v>
      </c>
      <c r="F202" t="s">
        <v>2655</v>
      </c>
      <c r="G202" t="s">
        <v>16867</v>
      </c>
      <c r="H202" t="s">
        <v>6243</v>
      </c>
      <c r="I202" t="s">
        <v>11107</v>
      </c>
      <c r="J202" t="s">
        <v>16869</v>
      </c>
      <c r="K202" t="s">
        <v>4517</v>
      </c>
      <c r="L202" t="s">
        <v>16871</v>
      </c>
      <c r="M202" t="s">
        <v>25</v>
      </c>
      <c r="N202" t="s">
        <v>16870</v>
      </c>
      <c r="S202" t="s">
        <v>4517</v>
      </c>
      <c r="T202" t="s">
        <v>16871</v>
      </c>
      <c r="U202" t="s">
        <v>4559</v>
      </c>
      <c r="V202" t="s">
        <v>16872</v>
      </c>
    </row>
    <row r="203" spans="1:23">
      <c r="A203" t="s">
        <v>16873</v>
      </c>
      <c r="B203" t="s">
        <v>16873</v>
      </c>
      <c r="C203" t="s">
        <v>16883</v>
      </c>
      <c r="D203" t="s">
        <v>16874</v>
      </c>
      <c r="E203" t="s">
        <v>16875</v>
      </c>
      <c r="F203" t="s">
        <v>7015</v>
      </c>
      <c r="G203" t="s">
        <v>16876</v>
      </c>
      <c r="H203" t="s">
        <v>10703</v>
      </c>
      <c r="I203" t="s">
        <v>16877</v>
      </c>
      <c r="J203" t="s">
        <v>16878</v>
      </c>
      <c r="K203" t="s">
        <v>16879</v>
      </c>
      <c r="L203" t="s">
        <v>16880</v>
      </c>
      <c r="M203" t="s">
        <v>25</v>
      </c>
      <c r="N203" t="s">
        <v>16881</v>
      </c>
      <c r="S203" t="s">
        <v>16879</v>
      </c>
      <c r="T203" t="s">
        <v>16881</v>
      </c>
      <c r="U203" t="s">
        <v>4559</v>
      </c>
      <c r="V203" t="s">
        <v>16882</v>
      </c>
    </row>
    <row r="204" spans="1:23">
      <c r="A204" t="s">
        <v>16884</v>
      </c>
      <c r="B204" t="s">
        <v>16887</v>
      </c>
      <c r="C204" t="s">
        <v>16888</v>
      </c>
      <c r="D204" t="s">
        <v>6322</v>
      </c>
      <c r="E204" t="s">
        <v>16875</v>
      </c>
      <c r="F204" t="s">
        <v>7015</v>
      </c>
      <c r="G204" t="s">
        <v>11136</v>
      </c>
      <c r="H204" t="s">
        <v>10703</v>
      </c>
      <c r="I204" t="s">
        <v>16891</v>
      </c>
      <c r="J204" t="s">
        <v>16893</v>
      </c>
      <c r="K204" t="s">
        <v>6322</v>
      </c>
      <c r="L204" t="s">
        <v>16884</v>
      </c>
      <c r="M204" t="s">
        <v>25</v>
      </c>
      <c r="N204" t="s">
        <v>16894</v>
      </c>
      <c r="S204" t="s">
        <v>6322</v>
      </c>
      <c r="T204" t="s">
        <v>16884</v>
      </c>
      <c r="U204" t="s">
        <v>4559</v>
      </c>
      <c r="V204" t="s">
        <v>16896</v>
      </c>
    </row>
    <row r="205" spans="1:23">
      <c r="A205" t="s">
        <v>16885</v>
      </c>
      <c r="B205" t="s">
        <v>16886</v>
      </c>
      <c r="C205" t="s">
        <v>16889</v>
      </c>
      <c r="D205" t="s">
        <v>6322</v>
      </c>
      <c r="E205" t="s">
        <v>16875</v>
      </c>
      <c r="F205" t="s">
        <v>7015</v>
      </c>
      <c r="G205" t="s">
        <v>16890</v>
      </c>
      <c r="H205" t="s">
        <v>10703</v>
      </c>
      <c r="I205" t="s">
        <v>16892</v>
      </c>
      <c r="J205" t="s">
        <v>16893</v>
      </c>
      <c r="K205" t="s">
        <v>6322</v>
      </c>
      <c r="L205" t="s">
        <v>16885</v>
      </c>
      <c r="M205" t="s">
        <v>25</v>
      </c>
      <c r="N205" t="s">
        <v>16895</v>
      </c>
      <c r="S205" t="s">
        <v>6322</v>
      </c>
      <c r="T205" t="s">
        <v>16885</v>
      </c>
      <c r="U205" t="s">
        <v>4559</v>
      </c>
      <c r="V205" t="s">
        <v>16897</v>
      </c>
    </row>
    <row r="206" spans="1:23">
      <c r="A206" t="s">
        <v>16899</v>
      </c>
      <c r="B206" t="s">
        <v>16899</v>
      </c>
      <c r="C206" t="s">
        <v>16900</v>
      </c>
      <c r="D206" t="s">
        <v>16901</v>
      </c>
      <c r="E206" t="s">
        <v>16902</v>
      </c>
      <c r="F206" t="s">
        <v>2655</v>
      </c>
      <c r="G206" t="s">
        <v>16903</v>
      </c>
      <c r="H206" t="s">
        <v>6243</v>
      </c>
      <c r="I206" t="s">
        <v>16898</v>
      </c>
      <c r="J206" t="s">
        <v>16904</v>
      </c>
      <c r="K206" t="s">
        <v>16901</v>
      </c>
      <c r="L206" t="s">
        <v>16905</v>
      </c>
      <c r="M206" t="s">
        <v>25</v>
      </c>
      <c r="N206" t="s">
        <v>16906</v>
      </c>
      <c r="S206" t="s">
        <v>16901</v>
      </c>
      <c r="T206" t="s">
        <v>16905</v>
      </c>
      <c r="U206" t="s">
        <v>4559</v>
      </c>
      <c r="V206" t="s">
        <v>16907</v>
      </c>
    </row>
    <row r="207" spans="1:23">
      <c r="A207" t="s">
        <v>16908</v>
      </c>
      <c r="B207" t="s">
        <v>16908</v>
      </c>
      <c r="C207" t="s">
        <v>16911</v>
      </c>
      <c r="D207" t="s">
        <v>6322</v>
      </c>
      <c r="E207" t="s">
        <v>6236</v>
      </c>
      <c r="F207" t="s">
        <v>2655</v>
      </c>
      <c r="G207" t="s">
        <v>16914</v>
      </c>
      <c r="H207" t="s">
        <v>4377</v>
      </c>
      <c r="I207" t="s">
        <v>10880</v>
      </c>
      <c r="J207" t="s">
        <v>16912</v>
      </c>
      <c r="K207" t="s">
        <v>6322</v>
      </c>
      <c r="L207" t="s">
        <v>16917</v>
      </c>
      <c r="M207" t="s">
        <v>25</v>
      </c>
      <c r="N207" t="s">
        <v>16916</v>
      </c>
    </row>
    <row r="208" spans="1:23">
      <c r="A208" t="s">
        <v>16909</v>
      </c>
      <c r="B208" t="s">
        <v>16909</v>
      </c>
      <c r="C208" t="s">
        <v>16911</v>
      </c>
      <c r="D208" t="s">
        <v>6322</v>
      </c>
      <c r="E208" t="s">
        <v>6335</v>
      </c>
      <c r="F208" t="s">
        <v>2655</v>
      </c>
      <c r="G208" t="s">
        <v>16914</v>
      </c>
      <c r="H208" t="s">
        <v>4377</v>
      </c>
      <c r="I208" t="s">
        <v>11072</v>
      </c>
      <c r="J208" t="s">
        <v>16912</v>
      </c>
      <c r="K208" t="s">
        <v>6322</v>
      </c>
      <c r="L208" t="s">
        <v>16919</v>
      </c>
      <c r="M208" t="s">
        <v>25</v>
      </c>
      <c r="N208" t="s">
        <v>16918</v>
      </c>
      <c r="S208" t="s">
        <v>6322</v>
      </c>
      <c r="T208" t="s">
        <v>16924</v>
      </c>
      <c r="U208" t="s">
        <v>4559</v>
      </c>
      <c r="V208" t="s">
        <v>16923</v>
      </c>
    </row>
    <row r="209" spans="1:22">
      <c r="A209" t="s">
        <v>16910</v>
      </c>
      <c r="B209" t="s">
        <v>16910</v>
      </c>
      <c r="C209" t="s">
        <v>16911</v>
      </c>
      <c r="D209" t="s">
        <v>6322</v>
      </c>
      <c r="E209" t="s">
        <v>16922</v>
      </c>
      <c r="F209" t="s">
        <v>2655</v>
      </c>
      <c r="G209" t="s">
        <v>16913</v>
      </c>
      <c r="H209" t="s">
        <v>7975</v>
      </c>
      <c r="I209" t="s">
        <v>16915</v>
      </c>
      <c r="J209" t="s">
        <v>16912</v>
      </c>
      <c r="K209" t="s">
        <v>6322</v>
      </c>
      <c r="L209" t="s">
        <v>16921</v>
      </c>
      <c r="M209" t="s">
        <v>25</v>
      </c>
      <c r="N209" t="s">
        <v>16920</v>
      </c>
    </row>
    <row r="210" spans="1:22">
      <c r="A210" t="s">
        <v>16929</v>
      </c>
      <c r="B210" t="s">
        <v>16929</v>
      </c>
      <c r="C210" t="s">
        <v>16930</v>
      </c>
      <c r="D210" t="s">
        <v>16928</v>
      </c>
      <c r="E210" t="s">
        <v>16875</v>
      </c>
      <c r="F210" t="s">
        <v>2655</v>
      </c>
      <c r="G210" t="s">
        <v>16929</v>
      </c>
      <c r="H210" t="s">
        <v>10703</v>
      </c>
      <c r="I210" t="s">
        <v>16925</v>
      </c>
      <c r="J210" t="s">
        <v>16931</v>
      </c>
      <c r="K210" t="s">
        <v>16928</v>
      </c>
      <c r="L210" t="s">
        <v>16927</v>
      </c>
      <c r="M210" t="s">
        <v>25</v>
      </c>
      <c r="N210" t="s">
        <v>16926</v>
      </c>
    </row>
    <row r="211" spans="1:22">
      <c r="A211" t="s">
        <v>16932</v>
      </c>
      <c r="B211" t="s">
        <v>16932</v>
      </c>
      <c r="C211" t="s">
        <v>16933</v>
      </c>
      <c r="D211" t="s">
        <v>6322</v>
      </c>
      <c r="E211" t="s">
        <v>4553</v>
      </c>
      <c r="F211" t="s">
        <v>2655</v>
      </c>
      <c r="G211" t="s">
        <v>16932</v>
      </c>
      <c r="H211" t="s">
        <v>4376</v>
      </c>
      <c r="I211" t="s">
        <v>8890</v>
      </c>
      <c r="J211" t="s">
        <v>16936</v>
      </c>
      <c r="K211" t="s">
        <v>6322</v>
      </c>
      <c r="L211" t="s">
        <v>16935</v>
      </c>
      <c r="M211" t="s">
        <v>25</v>
      </c>
      <c r="N211" t="s">
        <v>16934</v>
      </c>
    </row>
    <row r="212" spans="1:22">
      <c r="A212" t="s">
        <v>16945</v>
      </c>
      <c r="B212" t="s">
        <v>16945</v>
      </c>
      <c r="C212" t="s">
        <v>16981</v>
      </c>
      <c r="D212" t="s">
        <v>4517</v>
      </c>
      <c r="E212" t="s">
        <v>16875</v>
      </c>
      <c r="F212" t="s">
        <v>2655</v>
      </c>
      <c r="G212" t="s">
        <v>16995</v>
      </c>
      <c r="H212" t="s">
        <v>10703</v>
      </c>
      <c r="I212" t="s">
        <v>16996</v>
      </c>
      <c r="J212" t="s">
        <v>16997</v>
      </c>
      <c r="K212" t="s">
        <v>4517</v>
      </c>
      <c r="L212" t="s">
        <v>16945</v>
      </c>
      <c r="M212" t="s">
        <v>25</v>
      </c>
      <c r="N212" t="s">
        <v>16963</v>
      </c>
      <c r="S212" t="s">
        <v>4517</v>
      </c>
      <c r="T212" t="s">
        <v>16945</v>
      </c>
      <c r="U212" t="s">
        <v>4559</v>
      </c>
      <c r="V212" t="s">
        <v>17039</v>
      </c>
    </row>
    <row r="213" spans="1:22">
      <c r="A213" t="s">
        <v>16946</v>
      </c>
      <c r="B213" t="s">
        <v>16946</v>
      </c>
      <c r="C213" t="s">
        <v>16982</v>
      </c>
      <c r="D213" t="s">
        <v>4517</v>
      </c>
      <c r="E213" t="s">
        <v>16875</v>
      </c>
      <c r="F213" t="s">
        <v>2655</v>
      </c>
      <c r="G213" t="s">
        <v>16995</v>
      </c>
      <c r="H213" t="s">
        <v>10703</v>
      </c>
      <c r="I213" t="s">
        <v>16996</v>
      </c>
      <c r="J213" t="s">
        <v>16997</v>
      </c>
      <c r="K213" t="s">
        <v>4517</v>
      </c>
      <c r="L213" t="s">
        <v>16946</v>
      </c>
      <c r="M213" t="s">
        <v>25</v>
      </c>
      <c r="N213" t="s">
        <v>16964</v>
      </c>
      <c r="S213" t="s">
        <v>4517</v>
      </c>
      <c r="T213" t="s">
        <v>16946</v>
      </c>
      <c r="U213" t="s">
        <v>4559</v>
      </c>
      <c r="V213" t="s">
        <v>17040</v>
      </c>
    </row>
    <row r="214" spans="1:22">
      <c r="A214" t="s">
        <v>16947</v>
      </c>
      <c r="B214" t="s">
        <v>16947</v>
      </c>
      <c r="C214" t="s">
        <v>16983</v>
      </c>
      <c r="D214" t="s">
        <v>4517</v>
      </c>
      <c r="E214" t="s">
        <v>16875</v>
      </c>
      <c r="F214" t="s">
        <v>2655</v>
      </c>
      <c r="G214" t="s">
        <v>16995</v>
      </c>
      <c r="H214" t="s">
        <v>10703</v>
      </c>
      <c r="I214" t="s">
        <v>16996</v>
      </c>
      <c r="J214" t="s">
        <v>16997</v>
      </c>
      <c r="K214" t="s">
        <v>4517</v>
      </c>
      <c r="L214" t="s">
        <v>16947</v>
      </c>
      <c r="M214" t="s">
        <v>25</v>
      </c>
      <c r="N214" t="s">
        <v>16965</v>
      </c>
      <c r="S214" t="s">
        <v>4517</v>
      </c>
      <c r="T214" t="s">
        <v>16947</v>
      </c>
      <c r="U214" t="s">
        <v>4559</v>
      </c>
      <c r="V214" t="s">
        <v>17041</v>
      </c>
    </row>
    <row r="215" spans="1:22">
      <c r="A215" t="s">
        <v>16948</v>
      </c>
      <c r="B215" t="s">
        <v>16948</v>
      </c>
      <c r="C215" t="s">
        <v>16984</v>
      </c>
      <c r="D215" t="s">
        <v>4517</v>
      </c>
      <c r="E215" t="s">
        <v>16875</v>
      </c>
      <c r="F215" t="s">
        <v>2655</v>
      </c>
      <c r="G215" t="s">
        <v>16995</v>
      </c>
      <c r="H215" t="s">
        <v>10703</v>
      </c>
      <c r="I215" t="s">
        <v>16996</v>
      </c>
      <c r="J215" t="s">
        <v>16997</v>
      </c>
      <c r="K215" t="s">
        <v>4517</v>
      </c>
      <c r="L215" t="s">
        <v>16948</v>
      </c>
      <c r="M215" t="s">
        <v>25</v>
      </c>
      <c r="N215" t="s">
        <v>16966</v>
      </c>
      <c r="S215" t="s">
        <v>4517</v>
      </c>
      <c r="T215" t="s">
        <v>16948</v>
      </c>
      <c r="U215" t="s">
        <v>4559</v>
      </c>
      <c r="V215" t="s">
        <v>17042</v>
      </c>
    </row>
    <row r="216" spans="1:22">
      <c r="A216" t="s">
        <v>16949</v>
      </c>
      <c r="B216" t="s">
        <v>16949</v>
      </c>
      <c r="C216" t="s">
        <v>16985</v>
      </c>
      <c r="D216" t="s">
        <v>4517</v>
      </c>
      <c r="E216" t="s">
        <v>16875</v>
      </c>
      <c r="F216" t="s">
        <v>2655</v>
      </c>
      <c r="G216" t="s">
        <v>16995</v>
      </c>
      <c r="H216" t="s">
        <v>10703</v>
      </c>
      <c r="I216" t="s">
        <v>16996</v>
      </c>
      <c r="J216" t="s">
        <v>16997</v>
      </c>
      <c r="K216" t="s">
        <v>4517</v>
      </c>
      <c r="L216" t="s">
        <v>16949</v>
      </c>
      <c r="M216" t="s">
        <v>25</v>
      </c>
      <c r="N216" t="s">
        <v>16967</v>
      </c>
      <c r="S216" t="s">
        <v>4517</v>
      </c>
      <c r="T216" t="s">
        <v>16949</v>
      </c>
      <c r="U216" t="s">
        <v>4559</v>
      </c>
      <c r="V216" t="s">
        <v>17043</v>
      </c>
    </row>
    <row r="217" spans="1:22">
      <c r="A217" t="s">
        <v>16950</v>
      </c>
      <c r="B217" t="s">
        <v>16950</v>
      </c>
      <c r="C217" t="s">
        <v>16986</v>
      </c>
      <c r="D217" t="s">
        <v>4517</v>
      </c>
      <c r="E217" t="s">
        <v>16875</v>
      </c>
      <c r="F217" t="s">
        <v>2655</v>
      </c>
      <c r="G217" t="s">
        <v>16995</v>
      </c>
      <c r="H217" t="s">
        <v>10703</v>
      </c>
      <c r="I217" t="s">
        <v>16996</v>
      </c>
      <c r="J217" t="s">
        <v>16997</v>
      </c>
      <c r="K217" t="s">
        <v>4517</v>
      </c>
      <c r="L217" t="s">
        <v>16950</v>
      </c>
      <c r="M217" t="s">
        <v>25</v>
      </c>
      <c r="N217" t="s">
        <v>16968</v>
      </c>
      <c r="S217" t="s">
        <v>4517</v>
      </c>
      <c r="T217" t="s">
        <v>16950</v>
      </c>
      <c r="U217" t="s">
        <v>4559</v>
      </c>
      <c r="V217" t="s">
        <v>17044</v>
      </c>
    </row>
    <row r="218" spans="1:22">
      <c r="A218" t="s">
        <v>16951</v>
      </c>
      <c r="B218" t="s">
        <v>16951</v>
      </c>
      <c r="C218" t="s">
        <v>16987</v>
      </c>
      <c r="D218" t="s">
        <v>4517</v>
      </c>
      <c r="E218" t="s">
        <v>16875</v>
      </c>
      <c r="F218" t="s">
        <v>2655</v>
      </c>
      <c r="G218" t="s">
        <v>16995</v>
      </c>
      <c r="H218" t="s">
        <v>10703</v>
      </c>
      <c r="I218" t="s">
        <v>16996</v>
      </c>
      <c r="J218" t="s">
        <v>16997</v>
      </c>
      <c r="K218" t="s">
        <v>4517</v>
      </c>
      <c r="L218" t="s">
        <v>16951</v>
      </c>
      <c r="M218" t="s">
        <v>25</v>
      </c>
      <c r="N218" t="s">
        <v>16969</v>
      </c>
      <c r="S218" t="s">
        <v>4517</v>
      </c>
      <c r="T218" t="s">
        <v>16951</v>
      </c>
      <c r="U218" t="s">
        <v>4559</v>
      </c>
      <c r="V218" t="s">
        <v>17045</v>
      </c>
    </row>
    <row r="219" spans="1:22">
      <c r="A219" t="s">
        <v>16952</v>
      </c>
      <c r="B219" t="s">
        <v>16952</v>
      </c>
      <c r="C219" t="s">
        <v>16988</v>
      </c>
      <c r="D219" t="s">
        <v>4517</v>
      </c>
      <c r="E219" t="s">
        <v>16875</v>
      </c>
      <c r="F219" t="s">
        <v>2655</v>
      </c>
      <c r="G219" t="s">
        <v>16995</v>
      </c>
      <c r="H219" t="s">
        <v>10703</v>
      </c>
      <c r="I219" t="s">
        <v>16996</v>
      </c>
      <c r="J219" t="s">
        <v>16997</v>
      </c>
      <c r="K219" t="s">
        <v>4517</v>
      </c>
      <c r="L219" t="s">
        <v>16952</v>
      </c>
      <c r="M219" t="s">
        <v>25</v>
      </c>
      <c r="N219" t="s">
        <v>16970</v>
      </c>
      <c r="S219" t="s">
        <v>4517</v>
      </c>
      <c r="T219" t="s">
        <v>16952</v>
      </c>
      <c r="U219" t="s">
        <v>4559</v>
      </c>
      <c r="V219" t="s">
        <v>17046</v>
      </c>
    </row>
    <row r="220" spans="1:22">
      <c r="A220" t="s">
        <v>16953</v>
      </c>
      <c r="B220" t="s">
        <v>16953</v>
      </c>
      <c r="C220" t="s">
        <v>16989</v>
      </c>
      <c r="D220" t="s">
        <v>4517</v>
      </c>
      <c r="E220" t="s">
        <v>16875</v>
      </c>
      <c r="F220" t="s">
        <v>2655</v>
      </c>
      <c r="G220" t="s">
        <v>16995</v>
      </c>
      <c r="H220" t="s">
        <v>10703</v>
      </c>
      <c r="I220" t="s">
        <v>16996</v>
      </c>
      <c r="J220" t="s">
        <v>16997</v>
      </c>
      <c r="K220" t="s">
        <v>4517</v>
      </c>
      <c r="L220" t="s">
        <v>16953</v>
      </c>
      <c r="M220" t="s">
        <v>25</v>
      </c>
      <c r="N220" t="s">
        <v>16971</v>
      </c>
      <c r="S220" t="s">
        <v>4517</v>
      </c>
      <c r="T220" t="s">
        <v>16953</v>
      </c>
      <c r="U220" t="s">
        <v>4559</v>
      </c>
      <c r="V220" t="s">
        <v>17047</v>
      </c>
    </row>
    <row r="221" spans="1:22">
      <c r="A221" t="s">
        <v>16954</v>
      </c>
      <c r="B221" t="s">
        <v>16954</v>
      </c>
      <c r="C221" t="s">
        <v>16990</v>
      </c>
      <c r="D221" t="s">
        <v>4517</v>
      </c>
      <c r="E221" t="s">
        <v>16875</v>
      </c>
      <c r="F221" t="s">
        <v>2655</v>
      </c>
      <c r="G221" t="s">
        <v>16995</v>
      </c>
      <c r="H221" t="s">
        <v>10703</v>
      </c>
      <c r="I221" t="s">
        <v>16996</v>
      </c>
      <c r="J221" t="s">
        <v>16997</v>
      </c>
      <c r="K221" t="s">
        <v>4517</v>
      </c>
      <c r="L221" t="s">
        <v>16954</v>
      </c>
      <c r="M221" t="s">
        <v>25</v>
      </c>
      <c r="N221" t="s">
        <v>16972</v>
      </c>
      <c r="S221" t="s">
        <v>4517</v>
      </c>
      <c r="T221" t="s">
        <v>16954</v>
      </c>
      <c r="U221" t="s">
        <v>4559</v>
      </c>
      <c r="V221" t="s">
        <v>17048</v>
      </c>
    </row>
    <row r="222" spans="1:22">
      <c r="A222" t="s">
        <v>16955</v>
      </c>
      <c r="B222" t="s">
        <v>16955</v>
      </c>
      <c r="C222" t="s">
        <v>16986</v>
      </c>
      <c r="D222" t="s">
        <v>4517</v>
      </c>
      <c r="E222" t="s">
        <v>16875</v>
      </c>
      <c r="F222" t="s">
        <v>2655</v>
      </c>
      <c r="G222" t="s">
        <v>16995</v>
      </c>
      <c r="H222" t="s">
        <v>10703</v>
      </c>
      <c r="I222" t="s">
        <v>16996</v>
      </c>
      <c r="J222" t="s">
        <v>16997</v>
      </c>
      <c r="K222" t="s">
        <v>4517</v>
      </c>
      <c r="L222" t="s">
        <v>16955</v>
      </c>
      <c r="M222" t="s">
        <v>25</v>
      </c>
      <c r="N222" t="s">
        <v>16973</v>
      </c>
    </row>
    <row r="223" spans="1:22">
      <c r="A223" t="s">
        <v>16956</v>
      </c>
      <c r="B223" t="s">
        <v>16956</v>
      </c>
      <c r="C223" t="s">
        <v>16991</v>
      </c>
      <c r="D223" t="s">
        <v>4517</v>
      </c>
      <c r="E223" t="s">
        <v>16875</v>
      </c>
      <c r="F223" t="s">
        <v>2655</v>
      </c>
      <c r="G223" t="s">
        <v>16995</v>
      </c>
      <c r="H223" t="s">
        <v>10703</v>
      </c>
      <c r="I223" t="s">
        <v>16996</v>
      </c>
      <c r="J223" t="s">
        <v>16997</v>
      </c>
      <c r="K223" t="s">
        <v>4517</v>
      </c>
      <c r="L223" t="s">
        <v>16956</v>
      </c>
      <c r="M223" t="s">
        <v>25</v>
      </c>
      <c r="N223" t="s">
        <v>16974</v>
      </c>
    </row>
    <row r="224" spans="1:22">
      <c r="A224" t="s">
        <v>16957</v>
      </c>
      <c r="B224" t="s">
        <v>16957</v>
      </c>
      <c r="C224" t="s">
        <v>16984</v>
      </c>
      <c r="D224" t="s">
        <v>4517</v>
      </c>
      <c r="E224" t="s">
        <v>16875</v>
      </c>
      <c r="F224" t="s">
        <v>2655</v>
      </c>
      <c r="G224" t="s">
        <v>16995</v>
      </c>
      <c r="H224" t="s">
        <v>10703</v>
      </c>
      <c r="I224" t="s">
        <v>16996</v>
      </c>
      <c r="J224" t="s">
        <v>16997</v>
      </c>
      <c r="K224" t="s">
        <v>4517</v>
      </c>
      <c r="L224" t="s">
        <v>16957</v>
      </c>
      <c r="M224" t="s">
        <v>25</v>
      </c>
      <c r="N224" t="s">
        <v>16975</v>
      </c>
    </row>
    <row r="225" spans="1:22">
      <c r="A225" t="s">
        <v>16958</v>
      </c>
      <c r="B225" t="s">
        <v>16958</v>
      </c>
      <c r="C225" t="s">
        <v>16992</v>
      </c>
      <c r="D225" t="s">
        <v>4517</v>
      </c>
      <c r="E225" t="s">
        <v>16875</v>
      </c>
      <c r="F225" t="s">
        <v>2655</v>
      </c>
      <c r="G225" t="s">
        <v>16995</v>
      </c>
      <c r="H225" t="s">
        <v>10703</v>
      </c>
      <c r="I225" t="s">
        <v>16996</v>
      </c>
      <c r="J225" t="s">
        <v>16997</v>
      </c>
      <c r="K225" t="s">
        <v>4517</v>
      </c>
      <c r="L225" t="s">
        <v>16958</v>
      </c>
      <c r="M225" t="s">
        <v>25</v>
      </c>
      <c r="N225" t="s">
        <v>16976</v>
      </c>
    </row>
    <row r="226" spans="1:22">
      <c r="A226" t="s">
        <v>16959</v>
      </c>
      <c r="B226" t="s">
        <v>16959</v>
      </c>
      <c r="C226" t="s">
        <v>16993</v>
      </c>
      <c r="D226" t="s">
        <v>4517</v>
      </c>
      <c r="E226" t="s">
        <v>16875</v>
      </c>
      <c r="F226" t="s">
        <v>2655</v>
      </c>
      <c r="G226" t="s">
        <v>16995</v>
      </c>
      <c r="H226" t="s">
        <v>10703</v>
      </c>
      <c r="I226" t="s">
        <v>16996</v>
      </c>
      <c r="J226" t="s">
        <v>16997</v>
      </c>
      <c r="K226" t="s">
        <v>4517</v>
      </c>
      <c r="L226" t="s">
        <v>16959</v>
      </c>
      <c r="M226" t="s">
        <v>25</v>
      </c>
      <c r="N226" t="s">
        <v>16977</v>
      </c>
      <c r="S226" t="s">
        <v>4517</v>
      </c>
      <c r="T226" t="s">
        <v>16959</v>
      </c>
      <c r="U226" t="s">
        <v>4559</v>
      </c>
      <c r="V226" t="s">
        <v>17049</v>
      </c>
    </row>
    <row r="227" spans="1:22">
      <c r="A227" t="s">
        <v>16960</v>
      </c>
      <c r="B227" t="s">
        <v>16960</v>
      </c>
      <c r="C227" t="s">
        <v>16994</v>
      </c>
      <c r="D227" t="s">
        <v>4517</v>
      </c>
      <c r="E227" t="s">
        <v>16875</v>
      </c>
      <c r="F227" t="s">
        <v>2655</v>
      </c>
      <c r="G227" t="s">
        <v>16995</v>
      </c>
      <c r="H227" t="s">
        <v>10703</v>
      </c>
      <c r="I227" t="s">
        <v>16996</v>
      </c>
      <c r="J227" t="s">
        <v>16997</v>
      </c>
      <c r="K227" t="s">
        <v>4517</v>
      </c>
      <c r="L227" t="s">
        <v>16960</v>
      </c>
      <c r="M227" t="s">
        <v>25</v>
      </c>
      <c r="N227" t="s">
        <v>16978</v>
      </c>
      <c r="S227" t="s">
        <v>4517</v>
      </c>
      <c r="T227" t="s">
        <v>16960</v>
      </c>
      <c r="U227" t="s">
        <v>4559</v>
      </c>
      <c r="V227" t="s">
        <v>17050</v>
      </c>
    </row>
    <row r="228" spans="1:22">
      <c r="A228" t="s">
        <v>16961</v>
      </c>
      <c r="B228" t="s">
        <v>16961</v>
      </c>
      <c r="C228" t="s">
        <v>16983</v>
      </c>
      <c r="D228" t="s">
        <v>4517</v>
      </c>
      <c r="E228" t="s">
        <v>16875</v>
      </c>
      <c r="F228" t="s">
        <v>2655</v>
      </c>
      <c r="G228" t="s">
        <v>16995</v>
      </c>
      <c r="H228" t="s">
        <v>10703</v>
      </c>
      <c r="I228" t="s">
        <v>16996</v>
      </c>
      <c r="J228" t="s">
        <v>16997</v>
      </c>
      <c r="K228" t="s">
        <v>4517</v>
      </c>
      <c r="L228" t="s">
        <v>16961</v>
      </c>
      <c r="M228" t="s">
        <v>25</v>
      </c>
      <c r="N228" t="s">
        <v>16979</v>
      </c>
      <c r="S228" t="s">
        <v>4517</v>
      </c>
      <c r="T228" t="s">
        <v>16961</v>
      </c>
      <c r="U228" t="s">
        <v>4559</v>
      </c>
      <c r="V228" t="s">
        <v>17051</v>
      </c>
    </row>
    <row r="229" spans="1:22">
      <c r="A229" t="s">
        <v>16962</v>
      </c>
      <c r="B229" t="s">
        <v>16962</v>
      </c>
      <c r="C229" t="s">
        <v>16981</v>
      </c>
      <c r="D229" t="s">
        <v>4517</v>
      </c>
      <c r="E229" t="s">
        <v>16875</v>
      </c>
      <c r="F229" t="s">
        <v>2655</v>
      </c>
      <c r="G229" t="s">
        <v>16995</v>
      </c>
      <c r="H229" t="s">
        <v>10703</v>
      </c>
      <c r="I229" t="s">
        <v>16996</v>
      </c>
      <c r="J229" t="s">
        <v>16997</v>
      </c>
      <c r="K229" t="s">
        <v>4517</v>
      </c>
      <c r="L229" t="s">
        <v>16962</v>
      </c>
      <c r="M229" t="s">
        <v>25</v>
      </c>
      <c r="N229" t="s">
        <v>16980</v>
      </c>
      <c r="S229" t="s">
        <v>4517</v>
      </c>
      <c r="T229" t="s">
        <v>16962</v>
      </c>
      <c r="U229" t="s">
        <v>4559</v>
      </c>
      <c r="V229" t="s">
        <v>17052</v>
      </c>
    </row>
    <row r="230" spans="1:22">
      <c r="A230" t="s">
        <v>17023</v>
      </c>
      <c r="B230" t="s">
        <v>17023</v>
      </c>
      <c r="C230" t="s">
        <v>17015</v>
      </c>
      <c r="D230" t="s">
        <v>4517</v>
      </c>
      <c r="E230" t="s">
        <v>17031</v>
      </c>
      <c r="F230" t="s">
        <v>2655</v>
      </c>
      <c r="G230" t="s">
        <v>17032</v>
      </c>
      <c r="H230" t="s">
        <v>6243</v>
      </c>
      <c r="I230" t="s">
        <v>17033</v>
      </c>
      <c r="J230" t="s">
        <v>16998</v>
      </c>
      <c r="K230" t="s">
        <v>4517</v>
      </c>
      <c r="L230" t="s">
        <v>16999</v>
      </c>
      <c r="M230" t="s">
        <v>25</v>
      </c>
      <c r="N230" t="s">
        <v>17007</v>
      </c>
      <c r="S230" t="s">
        <v>4517</v>
      </c>
      <c r="T230" t="s">
        <v>16999</v>
      </c>
      <c r="U230" t="s">
        <v>4559</v>
      </c>
      <c r="V230" t="s">
        <v>17034</v>
      </c>
    </row>
    <row r="231" spans="1:22">
      <c r="A231" t="s">
        <v>17024</v>
      </c>
      <c r="B231" t="s">
        <v>17024</v>
      </c>
      <c r="C231" t="s">
        <v>17016</v>
      </c>
      <c r="D231" t="s">
        <v>4517</v>
      </c>
      <c r="E231" t="s">
        <v>17031</v>
      </c>
      <c r="F231" t="s">
        <v>2655</v>
      </c>
      <c r="G231" t="s">
        <v>17032</v>
      </c>
      <c r="H231" t="s">
        <v>6243</v>
      </c>
      <c r="I231" t="s">
        <v>17033</v>
      </c>
      <c r="J231" t="s">
        <v>16998</v>
      </c>
      <c r="K231" t="s">
        <v>4517</v>
      </c>
      <c r="L231" t="s">
        <v>17000</v>
      </c>
      <c r="M231" t="s">
        <v>25</v>
      </c>
      <c r="N231" t="s">
        <v>17008</v>
      </c>
      <c r="S231" t="s">
        <v>4517</v>
      </c>
      <c r="T231" t="s">
        <v>17000</v>
      </c>
      <c r="U231" t="s">
        <v>4559</v>
      </c>
      <c r="V231" t="s">
        <v>17035</v>
      </c>
    </row>
    <row r="232" spans="1:22">
      <c r="A232" t="s">
        <v>17025</v>
      </c>
      <c r="B232" t="s">
        <v>17025</v>
      </c>
      <c r="C232" t="s">
        <v>17017</v>
      </c>
      <c r="D232" t="s">
        <v>4517</v>
      </c>
      <c r="E232" t="s">
        <v>17031</v>
      </c>
      <c r="F232" t="s">
        <v>2655</v>
      </c>
      <c r="G232" t="s">
        <v>17032</v>
      </c>
      <c r="H232" t="s">
        <v>6243</v>
      </c>
      <c r="I232" t="s">
        <v>17033</v>
      </c>
      <c r="J232" t="s">
        <v>16998</v>
      </c>
      <c r="K232" t="s">
        <v>4517</v>
      </c>
      <c r="L232" t="s">
        <v>17001</v>
      </c>
      <c r="M232" t="s">
        <v>25</v>
      </c>
      <c r="N232" t="s">
        <v>17009</v>
      </c>
    </row>
    <row r="233" spans="1:22">
      <c r="A233" t="s">
        <v>17026</v>
      </c>
      <c r="B233" t="s">
        <v>17026</v>
      </c>
      <c r="C233" t="s">
        <v>17018</v>
      </c>
      <c r="D233" t="s">
        <v>4517</v>
      </c>
      <c r="E233" t="s">
        <v>17031</v>
      </c>
      <c r="F233" t="s">
        <v>2655</v>
      </c>
      <c r="G233" t="s">
        <v>17032</v>
      </c>
      <c r="H233" t="s">
        <v>6243</v>
      </c>
      <c r="I233" t="s">
        <v>17033</v>
      </c>
      <c r="J233" t="s">
        <v>16998</v>
      </c>
      <c r="K233" t="s">
        <v>4517</v>
      </c>
      <c r="L233" t="s">
        <v>17002</v>
      </c>
      <c r="M233" t="s">
        <v>25</v>
      </c>
      <c r="N233" t="s">
        <v>17010</v>
      </c>
      <c r="S233" t="s">
        <v>4517</v>
      </c>
      <c r="T233" t="s">
        <v>17002</v>
      </c>
      <c r="U233" t="s">
        <v>4559</v>
      </c>
      <c r="V233" t="s">
        <v>17036</v>
      </c>
    </row>
    <row r="234" spans="1:22">
      <c r="A234" t="s">
        <v>17027</v>
      </c>
      <c r="B234" t="s">
        <v>17027</v>
      </c>
      <c r="C234" t="s">
        <v>17019</v>
      </c>
      <c r="D234" t="s">
        <v>4517</v>
      </c>
      <c r="E234" t="s">
        <v>17031</v>
      </c>
      <c r="F234" t="s">
        <v>2655</v>
      </c>
      <c r="G234" t="s">
        <v>17032</v>
      </c>
      <c r="H234" t="s">
        <v>6243</v>
      </c>
      <c r="I234" t="s">
        <v>17033</v>
      </c>
      <c r="J234" t="s">
        <v>16998</v>
      </c>
      <c r="K234" t="s">
        <v>4517</v>
      </c>
      <c r="L234" t="s">
        <v>17003</v>
      </c>
      <c r="M234" t="s">
        <v>25</v>
      </c>
      <c r="N234" t="s">
        <v>17011</v>
      </c>
    </row>
    <row r="235" spans="1:22">
      <c r="A235" t="s">
        <v>17028</v>
      </c>
      <c r="B235" t="s">
        <v>17028</v>
      </c>
      <c r="C235" t="s">
        <v>17020</v>
      </c>
      <c r="D235" t="s">
        <v>4517</v>
      </c>
      <c r="E235" t="s">
        <v>17031</v>
      </c>
      <c r="F235" t="s">
        <v>2655</v>
      </c>
      <c r="G235" t="s">
        <v>17032</v>
      </c>
      <c r="H235" t="s">
        <v>6243</v>
      </c>
      <c r="I235" t="s">
        <v>17033</v>
      </c>
      <c r="J235" t="s">
        <v>16998</v>
      </c>
      <c r="K235" t="s">
        <v>4517</v>
      </c>
      <c r="L235" t="s">
        <v>17004</v>
      </c>
      <c r="M235" t="s">
        <v>25</v>
      </c>
      <c r="N235" t="s">
        <v>17012</v>
      </c>
      <c r="S235" t="s">
        <v>4517</v>
      </c>
      <c r="T235" t="s">
        <v>17004</v>
      </c>
      <c r="U235" t="s">
        <v>4559</v>
      </c>
      <c r="V235" t="s">
        <v>17038</v>
      </c>
    </row>
    <row r="236" spans="1:22">
      <c r="A236" t="s">
        <v>17029</v>
      </c>
      <c r="B236" t="s">
        <v>17029</v>
      </c>
      <c r="C236" t="s">
        <v>17021</v>
      </c>
      <c r="D236" t="s">
        <v>4517</v>
      </c>
      <c r="E236" t="s">
        <v>17031</v>
      </c>
      <c r="F236" t="s">
        <v>2655</v>
      </c>
      <c r="G236" t="s">
        <v>17032</v>
      </c>
      <c r="H236" t="s">
        <v>6243</v>
      </c>
      <c r="I236" t="s">
        <v>17033</v>
      </c>
      <c r="J236" t="s">
        <v>16998</v>
      </c>
      <c r="K236" t="s">
        <v>4517</v>
      </c>
      <c r="L236" t="s">
        <v>17005</v>
      </c>
      <c r="M236" t="s">
        <v>25</v>
      </c>
      <c r="N236" t="s">
        <v>17013</v>
      </c>
    </row>
    <row r="237" spans="1:22">
      <c r="A237" t="s">
        <v>17030</v>
      </c>
      <c r="B237" t="s">
        <v>17030</v>
      </c>
      <c r="C237" t="s">
        <v>17022</v>
      </c>
      <c r="D237" t="s">
        <v>4517</v>
      </c>
      <c r="E237" t="s">
        <v>17031</v>
      </c>
      <c r="F237" t="s">
        <v>2655</v>
      </c>
      <c r="G237" t="s">
        <v>17032</v>
      </c>
      <c r="H237" t="s">
        <v>6243</v>
      </c>
      <c r="I237" t="s">
        <v>17033</v>
      </c>
      <c r="J237" t="s">
        <v>16998</v>
      </c>
      <c r="K237" t="s">
        <v>4517</v>
      </c>
      <c r="L237" t="s">
        <v>17006</v>
      </c>
      <c r="M237" t="s">
        <v>25</v>
      </c>
      <c r="N237" t="s">
        <v>17014</v>
      </c>
      <c r="S237" t="s">
        <v>4517</v>
      </c>
      <c r="T237" t="s">
        <v>17006</v>
      </c>
      <c r="U237" t="s">
        <v>4559</v>
      </c>
      <c r="V237" t="s">
        <v>17037</v>
      </c>
    </row>
    <row r="238" spans="1:22">
      <c r="A238" t="s">
        <v>18048</v>
      </c>
      <c r="B238" t="s">
        <v>18048</v>
      </c>
      <c r="C238" t="s">
        <v>18057</v>
      </c>
      <c r="D238" t="s">
        <v>4517</v>
      </c>
      <c r="E238" t="s">
        <v>18066</v>
      </c>
      <c r="F238" t="s">
        <v>2655</v>
      </c>
      <c r="G238" t="s">
        <v>18047</v>
      </c>
      <c r="H238" t="s">
        <v>6741</v>
      </c>
      <c r="I238" t="s">
        <v>18045</v>
      </c>
      <c r="J238" t="s">
        <v>18046</v>
      </c>
      <c r="K238" t="s">
        <v>4517</v>
      </c>
      <c r="L238" t="s">
        <v>18068</v>
      </c>
      <c r="M238" t="s">
        <v>25</v>
      </c>
      <c r="N238" t="s">
        <v>18067</v>
      </c>
    </row>
    <row r="239" spans="1:22">
      <c r="A239" t="s">
        <v>18049</v>
      </c>
      <c r="B239" t="s">
        <v>18049</v>
      </c>
      <c r="C239" t="s">
        <v>18058</v>
      </c>
      <c r="D239" t="s">
        <v>4517</v>
      </c>
      <c r="E239" t="s">
        <v>18066</v>
      </c>
      <c r="F239" t="s">
        <v>2655</v>
      </c>
      <c r="G239" t="s">
        <v>18047</v>
      </c>
      <c r="H239" t="s">
        <v>6741</v>
      </c>
      <c r="I239" t="s">
        <v>18045</v>
      </c>
      <c r="J239" t="s">
        <v>18046</v>
      </c>
      <c r="K239" t="s">
        <v>4517</v>
      </c>
      <c r="L239" t="s">
        <v>18070</v>
      </c>
      <c r="M239" t="s">
        <v>25</v>
      </c>
      <c r="N239" t="s">
        <v>18069</v>
      </c>
    </row>
    <row r="240" spans="1:22">
      <c r="A240" t="s">
        <v>18050</v>
      </c>
      <c r="B240" t="s">
        <v>18050</v>
      </c>
      <c r="C240" t="s">
        <v>18059</v>
      </c>
      <c r="D240" t="s">
        <v>4517</v>
      </c>
      <c r="E240" t="s">
        <v>18066</v>
      </c>
      <c r="F240" t="s">
        <v>2655</v>
      </c>
      <c r="G240" t="s">
        <v>18047</v>
      </c>
      <c r="H240" t="s">
        <v>6741</v>
      </c>
      <c r="I240" t="s">
        <v>18045</v>
      </c>
      <c r="J240" t="s">
        <v>18046</v>
      </c>
      <c r="K240" t="s">
        <v>4517</v>
      </c>
      <c r="L240" t="s">
        <v>18072</v>
      </c>
      <c r="M240" t="s">
        <v>25</v>
      </c>
      <c r="N240" t="s">
        <v>18071</v>
      </c>
    </row>
    <row r="241" spans="1:14">
      <c r="A241" t="s">
        <v>18051</v>
      </c>
      <c r="B241" t="s">
        <v>18051</v>
      </c>
      <c r="C241" t="s">
        <v>18060</v>
      </c>
      <c r="D241" t="s">
        <v>4517</v>
      </c>
      <c r="E241" t="s">
        <v>18066</v>
      </c>
      <c r="F241" t="s">
        <v>2655</v>
      </c>
      <c r="G241" t="s">
        <v>18047</v>
      </c>
      <c r="H241" t="s">
        <v>6741</v>
      </c>
      <c r="I241" t="s">
        <v>18045</v>
      </c>
      <c r="J241" t="s">
        <v>18046</v>
      </c>
      <c r="K241" t="s">
        <v>4517</v>
      </c>
      <c r="L241" t="s">
        <v>18074</v>
      </c>
      <c r="M241" t="s">
        <v>25</v>
      </c>
      <c r="N241" t="s">
        <v>18073</v>
      </c>
    </row>
    <row r="242" spans="1:14">
      <c r="A242" t="s">
        <v>18052</v>
      </c>
      <c r="B242" t="s">
        <v>18052</v>
      </c>
      <c r="C242" t="s">
        <v>18061</v>
      </c>
      <c r="D242" t="s">
        <v>4517</v>
      </c>
      <c r="E242" t="s">
        <v>18066</v>
      </c>
      <c r="F242" t="s">
        <v>2655</v>
      </c>
      <c r="G242" t="s">
        <v>18047</v>
      </c>
      <c r="H242" t="s">
        <v>6741</v>
      </c>
      <c r="I242" t="s">
        <v>18045</v>
      </c>
      <c r="J242" t="s">
        <v>18046</v>
      </c>
      <c r="K242" t="s">
        <v>4517</v>
      </c>
      <c r="M242" t="s">
        <v>25</v>
      </c>
    </row>
    <row r="243" spans="1:14">
      <c r="A243" t="s">
        <v>18053</v>
      </c>
      <c r="B243" t="s">
        <v>18053</v>
      </c>
      <c r="C243" t="s">
        <v>18062</v>
      </c>
      <c r="D243" t="s">
        <v>4517</v>
      </c>
      <c r="E243" t="s">
        <v>18066</v>
      </c>
      <c r="F243" t="s">
        <v>2655</v>
      </c>
      <c r="G243" t="s">
        <v>18047</v>
      </c>
      <c r="H243" t="s">
        <v>6741</v>
      </c>
      <c r="I243" t="s">
        <v>18045</v>
      </c>
      <c r="J243" t="s">
        <v>18046</v>
      </c>
      <c r="K243" t="s">
        <v>4517</v>
      </c>
      <c r="M243" t="s">
        <v>25</v>
      </c>
    </row>
    <row r="244" spans="1:14">
      <c r="A244" t="s">
        <v>18054</v>
      </c>
      <c r="B244" t="s">
        <v>18054</v>
      </c>
      <c r="C244" t="s">
        <v>18063</v>
      </c>
      <c r="D244" t="s">
        <v>4517</v>
      </c>
      <c r="E244" t="s">
        <v>18066</v>
      </c>
      <c r="F244" t="s">
        <v>2655</v>
      </c>
      <c r="G244" t="s">
        <v>18047</v>
      </c>
      <c r="H244" t="s">
        <v>6741</v>
      </c>
      <c r="I244" t="s">
        <v>18045</v>
      </c>
      <c r="J244" t="s">
        <v>18046</v>
      </c>
      <c r="K244" t="s">
        <v>4517</v>
      </c>
      <c r="M244" t="s">
        <v>25</v>
      </c>
    </row>
    <row r="245" spans="1:14">
      <c r="A245" t="s">
        <v>18055</v>
      </c>
      <c r="B245" t="s">
        <v>18055</v>
      </c>
      <c r="C245" t="s">
        <v>18064</v>
      </c>
      <c r="D245" t="s">
        <v>4517</v>
      </c>
      <c r="E245" t="s">
        <v>18066</v>
      </c>
      <c r="F245" t="s">
        <v>2655</v>
      </c>
      <c r="G245" t="s">
        <v>18047</v>
      </c>
      <c r="H245" t="s">
        <v>6741</v>
      </c>
      <c r="I245" t="s">
        <v>18045</v>
      </c>
      <c r="J245" t="s">
        <v>18046</v>
      </c>
      <c r="K245" t="s">
        <v>4517</v>
      </c>
      <c r="M245" t="s">
        <v>25</v>
      </c>
    </row>
    <row r="246" spans="1:14">
      <c r="A246" t="s">
        <v>18056</v>
      </c>
      <c r="B246" t="s">
        <v>18056</v>
      </c>
      <c r="C246" t="s">
        <v>18065</v>
      </c>
      <c r="D246" t="s">
        <v>4517</v>
      </c>
      <c r="E246" t="s">
        <v>18066</v>
      </c>
      <c r="F246" t="s">
        <v>2655</v>
      </c>
      <c r="G246" t="s">
        <v>18047</v>
      </c>
      <c r="H246" t="s">
        <v>6741</v>
      </c>
      <c r="I246" t="s">
        <v>18045</v>
      </c>
      <c r="J246" t="s">
        <v>18046</v>
      </c>
      <c r="K246" t="s">
        <v>4517</v>
      </c>
      <c r="L246" t="s">
        <v>18076</v>
      </c>
      <c r="M246" t="s">
        <v>25</v>
      </c>
      <c r="N246" t="s">
        <v>18075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Horat  Andreas</cp:lastModifiedBy>
  <dcterms:created xsi:type="dcterms:W3CDTF">2023-11-15T06:51:24Z</dcterms:created>
  <dcterms:modified xsi:type="dcterms:W3CDTF">2026-05-15T10:26:22Z</dcterms:modified>
</cp:coreProperties>
</file>